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comments10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6D2381E24288812B/"/>
    </mc:Choice>
  </mc:AlternateContent>
  <xr:revisionPtr revIDLastSave="0" documentId="8_{2A517174-CFF3-4012-92E2-FCA100377A59}" xr6:coauthVersionLast="47" xr6:coauthVersionMax="47" xr10:uidLastSave="{00000000-0000-0000-0000-000000000000}"/>
  <bookViews>
    <workbookView xWindow="0" yWindow="680" windowWidth="34200" windowHeight="21460" firstSheet="8" activeTab="10" xr2:uid="{00000000-000D-0000-FFFF-FFFF00000000}"/>
  </bookViews>
  <sheets>
    <sheet name="Cover" sheetId="1" r:id="rId1"/>
    <sheet name="Assumptions" sheetId="2" r:id="rId2"/>
    <sheet name="Members" sheetId="3" r:id="rId3"/>
    <sheet name="ARPU" sheetId="4" r:id="rId4"/>
    <sheet name="Revenue Build" sheetId="5" r:id="rId5"/>
    <sheet name="P&amp;L" sheetId="6" r:id="rId6"/>
    <sheet name="FCF" sheetId="7" r:id="rId7"/>
    <sheet name="WC &amp; Cash" sheetId="19" r:id="rId8"/>
    <sheet name="DCF" sheetId="8" r:id="rId9"/>
    <sheet name="RealOptions" sheetId="9" r:id="rId10"/>
    <sheet name="Comps" sheetId="10" r:id="rId11"/>
    <sheet name="Precedents" sheetId="11" r:id="rId12"/>
    <sheet name="Cap Table" sheetId="12" r:id="rId13"/>
    <sheet name="Football Field" sheetId="13" r:id="rId14"/>
    <sheet name="Scenarios" sheetId="14" r:id="rId15"/>
    <sheet name="Sensitivity" sheetId="15" r:id="rId16"/>
    <sheet name="Checks" sheetId="16" r:id="rId17"/>
    <sheet name="Sources" sheetId="17" r:id="rId18"/>
    <sheet name="CalibrationLog" sheetId="18" r:id="rId19"/>
  </sheets>
  <definedNames>
    <definedName name="Scenario">Assumptions!$B$3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3" l="1"/>
  <c r="G17" i="13" s="1"/>
  <c r="I14" i="13"/>
  <c r="E12" i="13"/>
  <c r="D12" i="13"/>
  <c r="C12" i="13"/>
  <c r="E11" i="13"/>
  <c r="H11" i="13" s="1"/>
  <c r="D11" i="13"/>
  <c r="C11" i="13"/>
  <c r="B51" i="10"/>
  <c r="C44" i="10"/>
  <c r="H35" i="10"/>
  <c r="H34" i="10"/>
  <c r="H33" i="10"/>
  <c r="H32" i="10"/>
  <c r="G35" i="10"/>
  <c r="G34" i="10"/>
  <c r="G33" i="10"/>
  <c r="G32" i="10"/>
  <c r="F35" i="10"/>
  <c r="F34" i="10"/>
  <c r="F33" i="10"/>
  <c r="F32" i="10"/>
  <c r="E35" i="10"/>
  <c r="E34" i="10"/>
  <c r="E33" i="10"/>
  <c r="E32" i="10"/>
  <c r="N26" i="10"/>
  <c r="N25" i="10"/>
  <c r="N24" i="10"/>
  <c r="N23" i="10"/>
  <c r="M26" i="10"/>
  <c r="M25" i="10"/>
  <c r="M24" i="10"/>
  <c r="M23" i="10"/>
  <c r="L26" i="10"/>
  <c r="L25" i="10"/>
  <c r="L24" i="10"/>
  <c r="L23" i="10"/>
  <c r="J26" i="10"/>
  <c r="J25" i="10"/>
  <c r="J24" i="10"/>
  <c r="J23" i="10"/>
  <c r="I26" i="10"/>
  <c r="I25" i="10"/>
  <c r="I24" i="10"/>
  <c r="I23" i="10"/>
  <c r="H27" i="10"/>
  <c r="H26" i="10"/>
  <c r="H25" i="10"/>
  <c r="H24" i="10"/>
  <c r="H23" i="10"/>
  <c r="G27" i="10"/>
  <c r="G26" i="10"/>
  <c r="G25" i="10"/>
  <c r="G24" i="10"/>
  <c r="G23" i="10"/>
  <c r="N18" i="10"/>
  <c r="N17" i="10"/>
  <c r="N16" i="10"/>
  <c r="N15" i="10"/>
  <c r="N12" i="10"/>
  <c r="N11" i="10"/>
  <c r="N8" i="10"/>
  <c r="M18" i="10"/>
  <c r="M17" i="10"/>
  <c r="M16" i="10"/>
  <c r="M15" i="10"/>
  <c r="M12" i="10"/>
  <c r="M11" i="10"/>
  <c r="M8" i="10"/>
  <c r="G18" i="10"/>
  <c r="G17" i="10"/>
  <c r="G16" i="10"/>
  <c r="G15" i="10"/>
  <c r="G12" i="10"/>
  <c r="G11" i="10"/>
  <c r="G8" i="10"/>
  <c r="F48" i="2"/>
  <c r="C49" i="6"/>
  <c r="D46" i="6"/>
  <c r="F67" i="2"/>
  <c r="D39" i="6" s="1"/>
  <c r="E30" i="19"/>
  <c r="D30" i="19"/>
  <c r="D29" i="19"/>
  <c r="E41" i="19"/>
  <c r="D41" i="19"/>
  <c r="D40" i="19"/>
  <c r="C45" i="1"/>
  <c r="C34" i="1"/>
  <c r="D10" i="16"/>
  <c r="B10" i="16"/>
  <c r="C52" i="8"/>
  <c r="C51" i="8"/>
  <c r="C50" i="8"/>
  <c r="C53" i="8" s="1"/>
  <c r="C42" i="1" s="1"/>
  <c r="F53" i="2"/>
  <c r="C17" i="5"/>
  <c r="D28" i="4"/>
  <c r="D34" i="4" s="1"/>
  <c r="F149" i="2"/>
  <c r="F148" i="2"/>
  <c r="E27" i="4" s="1"/>
  <c r="F27" i="4" s="1"/>
  <c r="G27" i="4" s="1"/>
  <c r="H27" i="4" s="1"/>
  <c r="I27" i="4" s="1"/>
  <c r="J27" i="4" s="1"/>
  <c r="K27" i="4" s="1"/>
  <c r="L27" i="4" s="1"/>
  <c r="F147" i="2"/>
  <c r="E26" i="4" s="1"/>
  <c r="F144" i="2"/>
  <c r="F143" i="2"/>
  <c r="D23" i="4" s="1"/>
  <c r="F140" i="2"/>
  <c r="F139" i="2"/>
  <c r="F138" i="2"/>
  <c r="F137" i="2"/>
  <c r="F134" i="2"/>
  <c r="F133" i="2"/>
  <c r="F132" i="2"/>
  <c r="D10" i="4" s="1"/>
  <c r="F131" i="2"/>
  <c r="D9" i="4" s="1"/>
  <c r="E9" i="4" s="1"/>
  <c r="F9" i="4" s="1"/>
  <c r="G9" i="4" s="1"/>
  <c r="H9" i="4" s="1"/>
  <c r="I9" i="4" s="1"/>
  <c r="J9" i="4" s="1"/>
  <c r="K9" i="4" s="1"/>
  <c r="L9" i="4" s="1"/>
  <c r="F130" i="2"/>
  <c r="D8" i="4" s="1"/>
  <c r="D49" i="3"/>
  <c r="D51" i="3" s="1"/>
  <c r="F123" i="2"/>
  <c r="F122" i="2"/>
  <c r="F121" i="2"/>
  <c r="E48" i="3" s="1"/>
  <c r="F119" i="2"/>
  <c r="F118" i="2"/>
  <c r="F117" i="2"/>
  <c r="E9" i="9"/>
  <c r="D8" i="9"/>
  <c r="E7" i="9"/>
  <c r="E6" i="9"/>
  <c r="E5" i="9"/>
  <c r="L30" i="8"/>
  <c r="C10" i="5"/>
  <c r="C9" i="5"/>
  <c r="F102" i="2"/>
  <c r="F101" i="2"/>
  <c r="F100" i="2"/>
  <c r="F99" i="2"/>
  <c r="F98" i="2"/>
  <c r="F97" i="2"/>
  <c r="E94" i="2"/>
  <c r="D94" i="2"/>
  <c r="F94" i="2" s="1"/>
  <c r="C94" i="2"/>
  <c r="F93" i="2"/>
  <c r="F92" i="2"/>
  <c r="F91" i="2"/>
  <c r="F90" i="2"/>
  <c r="E87" i="2"/>
  <c r="D87" i="2"/>
  <c r="F87" i="2" s="1"/>
  <c r="B7" i="16" s="1"/>
  <c r="D7" i="16" s="1"/>
  <c r="C87" i="2"/>
  <c r="F86" i="2"/>
  <c r="F85" i="2"/>
  <c r="F84" i="2"/>
  <c r="F81" i="2"/>
  <c r="F80" i="2"/>
  <c r="F79" i="2"/>
  <c r="F78" i="2"/>
  <c r="C28" i="8" s="1"/>
  <c r="F77" i="2"/>
  <c r="E74" i="2"/>
  <c r="D74" i="2"/>
  <c r="F74" i="2" s="1"/>
  <c r="C74" i="2"/>
  <c r="F73" i="2"/>
  <c r="F72" i="2"/>
  <c r="F71" i="2"/>
  <c r="F70" i="2"/>
  <c r="F69" i="2"/>
  <c r="F66" i="2"/>
  <c r="F65" i="2"/>
  <c r="E64" i="2"/>
  <c r="D64" i="2"/>
  <c r="F64" i="2" s="1"/>
  <c r="C64" i="2"/>
  <c r="F63" i="2"/>
  <c r="C44" i="8" s="1"/>
  <c r="C37" i="1" s="1"/>
  <c r="F62" i="2"/>
  <c r="C43" i="8" s="1"/>
  <c r="C38" i="1" s="1"/>
  <c r="F61" i="2"/>
  <c r="F60" i="2"/>
  <c r="F59" i="2"/>
  <c r="F58" i="2"/>
  <c r="F57" i="2"/>
  <c r="F56" i="2"/>
  <c r="F55" i="2"/>
  <c r="C46" i="8" s="1"/>
  <c r="F52" i="2"/>
  <c r="F51" i="2"/>
  <c r="F50" i="2"/>
  <c r="F49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28" i="2"/>
  <c r="F27" i="2"/>
  <c r="F26" i="2"/>
  <c r="F25" i="2"/>
  <c r="F24" i="2"/>
  <c r="F23" i="2"/>
  <c r="F22" i="2"/>
  <c r="F21" i="2"/>
  <c r="E17" i="3" s="1"/>
  <c r="F20" i="2"/>
  <c r="G16" i="3" s="1"/>
  <c r="F19" i="2"/>
  <c r="I15" i="3" s="1"/>
  <c r="F18" i="2"/>
  <c r="F17" i="2"/>
  <c r="F16" i="2"/>
  <c r="F15" i="2"/>
  <c r="F14" i="2"/>
  <c r="F13" i="2"/>
  <c r="F11" i="2"/>
  <c r="D38" i="4" s="1"/>
  <c r="E10" i="2"/>
  <c r="E12" i="2" s="1"/>
  <c r="D10" i="2"/>
  <c r="C10" i="2"/>
  <c r="C12" i="2" s="1"/>
  <c r="F9" i="2"/>
  <c r="F8" i="2"/>
  <c r="D9" i="3" s="1"/>
  <c r="B47" i="10" l="1"/>
  <c r="I35" i="10"/>
  <c r="J35" i="10" s="1"/>
  <c r="I34" i="10"/>
  <c r="I33" i="10"/>
  <c r="I32" i="10"/>
  <c r="B35" i="13"/>
  <c r="F11" i="13"/>
  <c r="D35" i="13"/>
  <c r="J11" i="13"/>
  <c r="G11" i="13"/>
  <c r="B36" i="13"/>
  <c r="F12" i="13"/>
  <c r="D36" i="13"/>
  <c r="J12" i="13"/>
  <c r="G12" i="13"/>
  <c r="C36" i="13"/>
  <c r="H12" i="13"/>
  <c r="F10" i="2"/>
  <c r="D12" i="2"/>
  <c r="F12" i="2" s="1"/>
  <c r="C28" i="15"/>
  <c r="D28" i="15"/>
  <c r="E28" i="15"/>
  <c r="F28" i="15"/>
  <c r="C29" i="15"/>
  <c r="D29" i="15"/>
  <c r="E29" i="15"/>
  <c r="F29" i="15"/>
  <c r="C30" i="15"/>
  <c r="D30" i="15"/>
  <c r="E30" i="15"/>
  <c r="F30" i="15"/>
  <c r="C31" i="15"/>
  <c r="D31" i="15"/>
  <c r="E31" i="15"/>
  <c r="F31" i="15"/>
  <c r="C32" i="15"/>
  <c r="D32" i="15"/>
  <c r="E32" i="15"/>
  <c r="F32" i="15"/>
  <c r="B29" i="15"/>
  <c r="B30" i="15"/>
  <c r="B31" i="15"/>
  <c r="B32" i="15"/>
  <c r="B28" i="15"/>
  <c r="B11" i="16"/>
  <c r="D11" i="16" s="1"/>
  <c r="K12" i="8"/>
  <c r="K14" i="8" s="1"/>
  <c r="J12" i="8"/>
  <c r="J14" i="8" s="1"/>
  <c r="I12" i="8"/>
  <c r="I14" i="8" s="1"/>
  <c r="H12" i="8"/>
  <c r="H14" i="8" s="1"/>
  <c r="G12" i="8"/>
  <c r="G14" i="8" s="1"/>
  <c r="F12" i="8"/>
  <c r="F14" i="8" s="1"/>
  <c r="E12" i="8"/>
  <c r="E14" i="8" s="1"/>
  <c r="D12" i="8"/>
  <c r="D14" i="8" s="1"/>
  <c r="F12" i="4"/>
  <c r="G12" i="4"/>
  <c r="H12" i="4"/>
  <c r="I12" i="4"/>
  <c r="J12" i="4"/>
  <c r="K12" i="4"/>
  <c r="L12" i="4"/>
  <c r="E12" i="4"/>
  <c r="D12" i="4"/>
  <c r="E16" i="4"/>
  <c r="D16" i="4"/>
  <c r="E17" i="4"/>
  <c r="F17" i="4" s="1"/>
  <c r="G17" i="4" s="1"/>
  <c r="H17" i="4" s="1"/>
  <c r="I17" i="4" s="1"/>
  <c r="J17" i="4" s="1"/>
  <c r="K17" i="4" s="1"/>
  <c r="L17" i="4" s="1"/>
  <c r="D17" i="4"/>
  <c r="E18" i="4"/>
  <c r="F18" i="4" s="1"/>
  <c r="G18" i="4" s="1"/>
  <c r="H18" i="4" s="1"/>
  <c r="I18" i="4" s="1"/>
  <c r="J18" i="4" s="1"/>
  <c r="K18" i="4" s="1"/>
  <c r="L18" i="4" s="1"/>
  <c r="D18" i="4"/>
  <c r="D33" i="4"/>
  <c r="E23" i="4"/>
  <c r="F26" i="4"/>
  <c r="E28" i="4"/>
  <c r="E34" i="4" s="1"/>
  <c r="E8" i="4"/>
  <c r="D11" i="4"/>
  <c r="D13" i="4" s="1"/>
  <c r="D31" i="4" s="1"/>
  <c r="F16" i="4"/>
  <c r="E20" i="4"/>
  <c r="E32" i="4" s="1"/>
  <c r="F48" i="3"/>
  <c r="G48" i="3" s="1"/>
  <c r="H48" i="3" s="1"/>
  <c r="I48" i="3" s="1"/>
  <c r="J48" i="3" s="1"/>
  <c r="K48" i="3" s="1"/>
  <c r="L48" i="3" s="1"/>
  <c r="D9" i="5"/>
  <c r="D12" i="3"/>
  <c r="J15" i="3"/>
  <c r="H16" i="3"/>
  <c r="F17" i="3"/>
  <c r="C15" i="3"/>
  <c r="C20" i="3" s="1"/>
  <c r="K15" i="3"/>
  <c r="I16" i="3"/>
  <c r="G17" i="3"/>
  <c r="D15" i="3"/>
  <c r="D20" i="3" s="1"/>
  <c r="L15" i="3"/>
  <c r="J16" i="3"/>
  <c r="H17" i="3"/>
  <c r="E15" i="3"/>
  <c r="C16" i="3"/>
  <c r="C21" i="3" s="1"/>
  <c r="C27" i="3" s="1"/>
  <c r="K16" i="3"/>
  <c r="I17" i="3"/>
  <c r="F15" i="3"/>
  <c r="D16" i="3"/>
  <c r="D21" i="3" s="1"/>
  <c r="D27" i="3" s="1"/>
  <c r="L16" i="3"/>
  <c r="J17" i="3"/>
  <c r="G15" i="3"/>
  <c r="E16" i="3"/>
  <c r="C17" i="3"/>
  <c r="C22" i="3" s="1"/>
  <c r="C28" i="3" s="1"/>
  <c r="K17" i="3"/>
  <c r="H15" i="3"/>
  <c r="F16" i="3"/>
  <c r="D17" i="3"/>
  <c r="L17" i="3"/>
  <c r="C8" i="13" l="1"/>
  <c r="J32" i="10"/>
  <c r="D8" i="13"/>
  <c r="J33" i="10"/>
  <c r="E8" i="13"/>
  <c r="J34" i="10"/>
  <c r="B50" i="10"/>
  <c r="B52" i="10" s="1"/>
  <c r="B48" i="10"/>
  <c r="B49" i="10" s="1"/>
  <c r="G26" i="4"/>
  <c r="F28" i="4"/>
  <c r="F34" i="4" s="1"/>
  <c r="E33" i="4"/>
  <c r="F23" i="4"/>
  <c r="D20" i="4"/>
  <c r="D32" i="4" s="1"/>
  <c r="D35" i="4" s="1"/>
  <c r="G16" i="4"/>
  <c r="F20" i="4"/>
  <c r="F32" i="4" s="1"/>
  <c r="F8" i="4"/>
  <c r="E10" i="4"/>
  <c r="E11" i="4" s="1"/>
  <c r="E13" i="4" s="1"/>
  <c r="E31" i="4" s="1"/>
  <c r="E35" i="4" s="1"/>
  <c r="E17" i="5" s="1"/>
  <c r="D26" i="3"/>
  <c r="D22" i="3"/>
  <c r="D28" i="3" s="1"/>
  <c r="C26" i="3"/>
  <c r="C34" i="3" s="1"/>
  <c r="C23" i="3"/>
  <c r="C33" i="13" l="1"/>
  <c r="H8" i="13"/>
  <c r="D33" i="13"/>
  <c r="J8" i="13"/>
  <c r="G8" i="13"/>
  <c r="B33" i="13"/>
  <c r="F8" i="13"/>
  <c r="D17" i="5"/>
  <c r="D39" i="4"/>
  <c r="D40" i="4" s="1"/>
  <c r="D41" i="4" s="1"/>
  <c r="F33" i="4"/>
  <c r="G23" i="4"/>
  <c r="H26" i="4"/>
  <c r="G28" i="4"/>
  <c r="G34" i="4" s="1"/>
  <c r="G8" i="4"/>
  <c r="F10" i="4"/>
  <c r="F11" i="4"/>
  <c r="F13" i="4" s="1"/>
  <c r="F31" i="4" s="1"/>
  <c r="F35" i="4" s="1"/>
  <c r="F17" i="5" s="1"/>
  <c r="H16" i="4"/>
  <c r="G20" i="4"/>
  <c r="G32" i="4" s="1"/>
  <c r="E12" i="3"/>
  <c r="D31" i="3"/>
  <c r="D13" i="6" s="1"/>
  <c r="C12" i="5"/>
  <c r="C25" i="5" s="1"/>
  <c r="C35" i="3"/>
  <c r="C13" i="5" s="1"/>
  <c r="E11" i="3"/>
  <c r="D23" i="3"/>
  <c r="C11" i="5"/>
  <c r="C40" i="3"/>
  <c r="C14" i="5"/>
  <c r="C38" i="3"/>
  <c r="C20" i="5" l="1"/>
  <c r="C33" i="5"/>
  <c r="C32" i="5"/>
  <c r="C31" i="5"/>
  <c r="C30" i="5"/>
  <c r="C34" i="5" s="1"/>
  <c r="C35" i="5" s="1"/>
  <c r="I26" i="4"/>
  <c r="H28" i="4"/>
  <c r="H34" i="4" s="1"/>
  <c r="G33" i="4"/>
  <c r="H23" i="4"/>
  <c r="I16" i="4"/>
  <c r="H20" i="4"/>
  <c r="H32" i="4" s="1"/>
  <c r="H8" i="4"/>
  <c r="G10" i="4"/>
  <c r="G11" i="4"/>
  <c r="G13" i="4" s="1"/>
  <c r="G31" i="4" s="1"/>
  <c r="G35" i="4" s="1"/>
  <c r="G17" i="5" s="1"/>
  <c r="C26" i="5"/>
  <c r="D10" i="5"/>
  <c r="D38" i="3"/>
  <c r="E10" i="3"/>
  <c r="D40" i="3"/>
  <c r="D14" i="5"/>
  <c r="D11" i="5"/>
  <c r="E21" i="3"/>
  <c r="E27" i="3" s="1"/>
  <c r="D34" i="3"/>
  <c r="E22" i="3"/>
  <c r="D16" i="19" l="1"/>
  <c r="D22" i="19" s="1"/>
  <c r="E50" i="3"/>
  <c r="H33" i="4"/>
  <c r="I23" i="4"/>
  <c r="J26" i="4"/>
  <c r="I28" i="4"/>
  <c r="I34" i="4" s="1"/>
  <c r="C21" i="5"/>
  <c r="C8" i="6"/>
  <c r="I8" i="4"/>
  <c r="H10" i="4"/>
  <c r="H11" i="4"/>
  <c r="H13" i="4" s="1"/>
  <c r="H31" i="4" s="1"/>
  <c r="H35" i="4" s="1"/>
  <c r="H17" i="5" s="1"/>
  <c r="J16" i="4"/>
  <c r="I20" i="4"/>
  <c r="I32" i="4" s="1"/>
  <c r="E28" i="3"/>
  <c r="F12" i="3" s="1"/>
  <c r="E20" i="3"/>
  <c r="E23" i="3" s="1"/>
  <c r="D39" i="3"/>
  <c r="D12" i="5"/>
  <c r="D25" i="5" s="1"/>
  <c r="D41" i="3"/>
  <c r="E9" i="3"/>
  <c r="D35" i="3"/>
  <c r="D13" i="5" l="1"/>
  <c r="K26" i="4"/>
  <c r="J28" i="4"/>
  <c r="J34" i="4" s="1"/>
  <c r="I33" i="4"/>
  <c r="J23" i="4"/>
  <c r="K16" i="4"/>
  <c r="J20" i="4"/>
  <c r="J32" i="4" s="1"/>
  <c r="J8" i="4"/>
  <c r="I10" i="4"/>
  <c r="I11" i="4"/>
  <c r="I13" i="4" s="1"/>
  <c r="I31" i="4" s="1"/>
  <c r="I35" i="4" s="1"/>
  <c r="I17" i="5" s="1"/>
  <c r="E14" i="5"/>
  <c r="E11" i="5"/>
  <c r="E40" i="3"/>
  <c r="E26" i="3"/>
  <c r="E9" i="5"/>
  <c r="F22" i="3"/>
  <c r="J33" i="4" l="1"/>
  <c r="K23" i="4"/>
  <c r="L26" i="4"/>
  <c r="L28" i="4" s="1"/>
  <c r="L34" i="4" s="1"/>
  <c r="K28" i="4"/>
  <c r="K34" i="4" s="1"/>
  <c r="D20" i="5"/>
  <c r="B41" i="10" s="1"/>
  <c r="D33" i="5"/>
  <c r="D32" i="5"/>
  <c r="D31" i="5"/>
  <c r="D19" i="6" s="1"/>
  <c r="D30" i="5"/>
  <c r="K8" i="4"/>
  <c r="J10" i="4"/>
  <c r="J11" i="4"/>
  <c r="J13" i="4" s="1"/>
  <c r="J31" i="4" s="1"/>
  <c r="J35" i="4" s="1"/>
  <c r="J17" i="5" s="1"/>
  <c r="L16" i="4"/>
  <c r="L20" i="4" s="1"/>
  <c r="L32" i="4" s="1"/>
  <c r="K20" i="4"/>
  <c r="K32" i="4" s="1"/>
  <c r="F11" i="3"/>
  <c r="D12" i="6" l="1"/>
  <c r="D34" i="5"/>
  <c r="D35" i="5" s="1"/>
  <c r="E47" i="3"/>
  <c r="D8" i="6"/>
  <c r="D27" i="6" s="1"/>
  <c r="B5" i="16"/>
  <c r="D5" i="16" s="1"/>
  <c r="D26" i="5"/>
  <c r="D22" i="5"/>
  <c r="D21" i="5"/>
  <c r="D27" i="5"/>
  <c r="K33" i="4"/>
  <c r="L23" i="4"/>
  <c r="L33" i="4" s="1"/>
  <c r="L8" i="4"/>
  <c r="K10" i="4"/>
  <c r="K11" i="4"/>
  <c r="K13" i="4" s="1"/>
  <c r="K31" i="4" s="1"/>
  <c r="K35" i="4" s="1"/>
  <c r="K17" i="5" s="1"/>
  <c r="F21" i="3"/>
  <c r="D19" i="19" l="1"/>
  <c r="D25" i="19" s="1"/>
  <c r="C8" i="8"/>
  <c r="D15" i="7"/>
  <c r="D14" i="7"/>
  <c r="D25" i="6"/>
  <c r="D26" i="6" s="1"/>
  <c r="D23" i="6"/>
  <c r="D24" i="6" s="1"/>
  <c r="D21" i="6"/>
  <c r="D9" i="6"/>
  <c r="D28" i="6"/>
  <c r="E49" i="3"/>
  <c r="E51" i="3" s="1"/>
  <c r="E31" i="3" s="1"/>
  <c r="E23" i="6"/>
  <c r="D14" i="6"/>
  <c r="D17" i="6"/>
  <c r="L10" i="4"/>
  <c r="L11" i="4"/>
  <c r="L13" i="4" s="1"/>
  <c r="L31" i="4" s="1"/>
  <c r="L35" i="4" s="1"/>
  <c r="L17" i="5" s="1"/>
  <c r="F27" i="3"/>
  <c r="F28" i="3" s="1"/>
  <c r="D18" i="19" l="1"/>
  <c r="D24" i="19" s="1"/>
  <c r="D15" i="6"/>
  <c r="B6" i="16"/>
  <c r="D6" i="16" s="1"/>
  <c r="E13" i="6"/>
  <c r="E38" i="3"/>
  <c r="E10" i="5"/>
  <c r="F10" i="3"/>
  <c r="E34" i="3"/>
  <c r="D22" i="6"/>
  <c r="D29" i="6"/>
  <c r="G12" i="3"/>
  <c r="F50" i="3" l="1"/>
  <c r="E16" i="19"/>
  <c r="E22" i="19" s="1"/>
  <c r="E39" i="3"/>
  <c r="E12" i="5"/>
  <c r="E25" i="5" s="1"/>
  <c r="F9" i="3"/>
  <c r="F9" i="5" s="1"/>
  <c r="E35" i="3"/>
  <c r="E13" i="5" s="1"/>
  <c r="F20" i="3"/>
  <c r="F23" i="3" s="1"/>
  <c r="F26" i="3"/>
  <c r="D17" i="19"/>
  <c r="D23" i="19" s="1"/>
  <c r="D26" i="19" s="1"/>
  <c r="D16" i="7" s="1"/>
  <c r="E18" i="6"/>
  <c r="D16" i="6"/>
  <c r="D34" i="6"/>
  <c r="D32" i="6"/>
  <c r="D33" i="6" s="1"/>
  <c r="D36" i="6" s="1"/>
  <c r="G22" i="3"/>
  <c r="D9" i="7" l="1"/>
  <c r="D40" i="6"/>
  <c r="D35" i="6"/>
  <c r="G11" i="3"/>
  <c r="F11" i="5"/>
  <c r="F40" i="3"/>
  <c r="F14" i="5"/>
  <c r="E20" i="5"/>
  <c r="E33" i="5"/>
  <c r="E32" i="5"/>
  <c r="E31" i="5"/>
  <c r="E19" i="6" s="1"/>
  <c r="E30" i="5"/>
  <c r="E26" i="5"/>
  <c r="E9" i="13" l="1"/>
  <c r="D9" i="13"/>
  <c r="C9" i="13"/>
  <c r="B43" i="10"/>
  <c r="E12" i="6"/>
  <c r="E34" i="5"/>
  <c r="E35" i="5" s="1"/>
  <c r="E8" i="6"/>
  <c r="E27" i="6" s="1"/>
  <c r="F47" i="3"/>
  <c r="E22" i="5"/>
  <c r="E21" i="5"/>
  <c r="G21" i="3"/>
  <c r="G27" i="3"/>
  <c r="G28" i="3" s="1"/>
  <c r="D47" i="6"/>
  <c r="D48" i="6"/>
  <c r="D41" i="6" s="1"/>
  <c r="D10" i="7" s="1"/>
  <c r="D11" i="7" s="1"/>
  <c r="D42" i="6"/>
  <c r="D43" i="6" s="1"/>
  <c r="H12" i="3"/>
  <c r="B34" i="13" l="1"/>
  <c r="F9" i="13"/>
  <c r="D34" i="13"/>
  <c r="J9" i="13"/>
  <c r="G9" i="13"/>
  <c r="H9" i="13"/>
  <c r="C34" i="13"/>
  <c r="D42" i="19"/>
  <c r="D44" i="19" s="1"/>
  <c r="E40" i="19" s="1"/>
  <c r="D18" i="7"/>
  <c r="D49" i="6"/>
  <c r="E46" i="6" s="1"/>
  <c r="F49" i="3"/>
  <c r="F51" i="3" s="1"/>
  <c r="F31" i="3" s="1"/>
  <c r="F23" i="6"/>
  <c r="E19" i="19"/>
  <c r="E25" i="19" s="1"/>
  <c r="D8" i="8"/>
  <c r="E15" i="7"/>
  <c r="E14" i="7"/>
  <c r="E9" i="6"/>
  <c r="E28" i="6"/>
  <c r="E25" i="6"/>
  <c r="E26" i="6" s="1"/>
  <c r="E21" i="6"/>
  <c r="E24" i="6"/>
  <c r="E14" i="6"/>
  <c r="E17" i="6"/>
  <c r="H22" i="3"/>
  <c r="E18" i="19" l="1"/>
  <c r="E24" i="19" s="1"/>
  <c r="E15" i="6"/>
  <c r="E29" i="6"/>
  <c r="E22" i="6"/>
  <c r="F13" i="6"/>
  <c r="F10" i="5"/>
  <c r="G10" i="3"/>
  <c r="F38" i="3"/>
  <c r="F34" i="3"/>
  <c r="D31" i="19"/>
  <c r="D33" i="19" s="1"/>
  <c r="C9" i="8"/>
  <c r="C10" i="8" s="1"/>
  <c r="D21" i="7"/>
  <c r="E29" i="19" l="1"/>
  <c r="E39" i="6"/>
  <c r="G50" i="3"/>
  <c r="F16" i="19"/>
  <c r="F22" i="19" s="1"/>
  <c r="F39" i="3"/>
  <c r="F12" i="5"/>
  <c r="F25" i="5" s="1"/>
  <c r="G9" i="3"/>
  <c r="F35" i="3"/>
  <c r="F13" i="5" s="1"/>
  <c r="G20" i="3"/>
  <c r="G23" i="3" s="1"/>
  <c r="G26" i="3"/>
  <c r="E17" i="19"/>
  <c r="E23" i="19" s="1"/>
  <c r="E26" i="19" s="1"/>
  <c r="E16" i="7" s="1"/>
  <c r="F18" i="6"/>
  <c r="E16" i="6"/>
  <c r="E34" i="6"/>
  <c r="E32" i="6"/>
  <c r="E33" i="6" s="1"/>
  <c r="E36" i="6" s="1"/>
  <c r="E9" i="7" l="1"/>
  <c r="E35" i="6"/>
  <c r="H11" i="3"/>
  <c r="H21" i="3" s="1"/>
  <c r="H27" i="3" s="1"/>
  <c r="H28" i="3" s="1"/>
  <c r="I12" i="3" s="1"/>
  <c r="G11" i="5"/>
  <c r="G40" i="3"/>
  <c r="G14" i="5"/>
  <c r="F20" i="5"/>
  <c r="F33" i="5"/>
  <c r="F32" i="5"/>
  <c r="F31" i="5"/>
  <c r="F19" i="6" s="1"/>
  <c r="F30" i="5"/>
  <c r="G9" i="5"/>
  <c r="F26" i="5"/>
  <c r="E40" i="6"/>
  <c r="I22" i="3"/>
  <c r="E47" i="6" l="1"/>
  <c r="E48" i="6"/>
  <c r="E41" i="6" s="1"/>
  <c r="E10" i="7" s="1"/>
  <c r="E11" i="7" s="1"/>
  <c r="E42" i="6"/>
  <c r="E43" i="6" s="1"/>
  <c r="F12" i="6"/>
  <c r="F34" i="5"/>
  <c r="F35" i="5" s="1"/>
  <c r="F8" i="6"/>
  <c r="F27" i="6" s="1"/>
  <c r="G47" i="3"/>
  <c r="F22" i="5"/>
  <c r="F21" i="5"/>
  <c r="G49" i="3" l="1"/>
  <c r="G51" i="3" s="1"/>
  <c r="G31" i="3" s="1"/>
  <c r="G23" i="6"/>
  <c r="F19" i="19"/>
  <c r="F25" i="19" s="1"/>
  <c r="E8" i="8"/>
  <c r="F15" i="7"/>
  <c r="F14" i="7"/>
  <c r="F9" i="6"/>
  <c r="F28" i="6"/>
  <c r="F25" i="6"/>
  <c r="F26" i="6" s="1"/>
  <c r="F21" i="6"/>
  <c r="F24" i="6"/>
  <c r="F14" i="6"/>
  <c r="F17" i="6"/>
  <c r="E42" i="19"/>
  <c r="E44" i="19" s="1"/>
  <c r="F40" i="19" s="1"/>
  <c r="E18" i="7"/>
  <c r="E49" i="6"/>
  <c r="F46" i="6" s="1"/>
  <c r="E31" i="19" l="1"/>
  <c r="E33" i="19" s="1"/>
  <c r="D9" i="8"/>
  <c r="E21" i="7"/>
  <c r="E22" i="7" s="1"/>
  <c r="F18" i="19"/>
  <c r="F24" i="19" s="1"/>
  <c r="F15" i="6"/>
  <c r="F29" i="6"/>
  <c r="F22" i="6"/>
  <c r="G13" i="6"/>
  <c r="G10" i="5"/>
  <c r="H10" i="3"/>
  <c r="H20" i="3" s="1"/>
  <c r="G38" i="3"/>
  <c r="G34" i="3"/>
  <c r="H50" i="3" l="1"/>
  <c r="G16" i="19"/>
  <c r="G22" i="19" s="1"/>
  <c r="G12" i="5"/>
  <c r="G25" i="5" s="1"/>
  <c r="H9" i="3"/>
  <c r="G39" i="3"/>
  <c r="G35" i="3"/>
  <c r="G13" i="5" s="1"/>
  <c r="H26" i="3"/>
  <c r="H23" i="3"/>
  <c r="F17" i="19"/>
  <c r="F23" i="19" s="1"/>
  <c r="F26" i="19" s="1"/>
  <c r="F16" i="7" s="1"/>
  <c r="G18" i="6"/>
  <c r="F16" i="6"/>
  <c r="F34" i="6"/>
  <c r="F32" i="6"/>
  <c r="F33" i="6" s="1"/>
  <c r="F36" i="6" s="1"/>
  <c r="D15" i="8"/>
  <c r="D10" i="8"/>
  <c r="F29" i="19"/>
  <c r="F39" i="6"/>
  <c r="F40" i="6" s="1"/>
  <c r="F47" i="6" l="1"/>
  <c r="F48" i="6"/>
  <c r="F41" i="6" s="1"/>
  <c r="F10" i="7" s="1"/>
  <c r="F42" i="6"/>
  <c r="F43" i="6" s="1"/>
  <c r="F9" i="7"/>
  <c r="F35" i="6"/>
  <c r="H11" i="5"/>
  <c r="H40" i="3"/>
  <c r="H14" i="5"/>
  <c r="I11" i="3"/>
  <c r="G20" i="5"/>
  <c r="G33" i="5"/>
  <c r="G32" i="5"/>
  <c r="G31" i="5"/>
  <c r="G19" i="6" s="1"/>
  <c r="G30" i="5"/>
  <c r="H9" i="5"/>
  <c r="G26" i="5"/>
  <c r="G12" i="6" l="1"/>
  <c r="G34" i="5"/>
  <c r="G35" i="5" s="1"/>
  <c r="G8" i="6"/>
  <c r="G27" i="6" s="1"/>
  <c r="H47" i="3"/>
  <c r="G21" i="5"/>
  <c r="G22" i="5"/>
  <c r="I21" i="3"/>
  <c r="I27" i="3"/>
  <c r="I28" i="3" s="1"/>
  <c r="J12" i="3" s="1"/>
  <c r="F11" i="7"/>
  <c r="F49" i="6"/>
  <c r="G46" i="6" s="1"/>
  <c r="F18" i="7" l="1"/>
  <c r="F42" i="19"/>
  <c r="F44" i="19" s="1"/>
  <c r="G40" i="19" s="1"/>
  <c r="J22" i="3"/>
  <c r="H49" i="3"/>
  <c r="H51" i="3" s="1"/>
  <c r="H31" i="3" s="1"/>
  <c r="H23" i="6"/>
  <c r="G19" i="19"/>
  <c r="G25" i="19" s="1"/>
  <c r="F8" i="8"/>
  <c r="G15" i="7"/>
  <c r="G14" i="7"/>
  <c r="G9" i="6"/>
  <c r="G28" i="6"/>
  <c r="G25" i="6"/>
  <c r="G26" i="6" s="1"/>
  <c r="G21" i="6"/>
  <c r="G24" i="6"/>
  <c r="G14" i="6"/>
  <c r="G17" i="6"/>
  <c r="G18" i="19" l="1"/>
  <c r="G24" i="19" s="1"/>
  <c r="G15" i="6"/>
  <c r="G29" i="6"/>
  <c r="G22" i="6"/>
  <c r="H13" i="6"/>
  <c r="H10" i="5"/>
  <c r="I10" i="3"/>
  <c r="H38" i="3"/>
  <c r="H34" i="3"/>
  <c r="F31" i="19"/>
  <c r="F33" i="19" s="1"/>
  <c r="E9" i="8"/>
  <c r="F21" i="7"/>
  <c r="F22" i="7" s="1"/>
  <c r="E15" i="8" l="1"/>
  <c r="E10" i="8"/>
  <c r="G29" i="19"/>
  <c r="G39" i="6"/>
  <c r="I50" i="3"/>
  <c r="H16" i="19"/>
  <c r="H22" i="19" s="1"/>
  <c r="H12" i="5"/>
  <c r="H25" i="5" s="1"/>
  <c r="I9" i="3"/>
  <c r="H39" i="3"/>
  <c r="H35" i="3"/>
  <c r="H13" i="5" s="1"/>
  <c r="I20" i="3"/>
  <c r="I23" i="3" s="1"/>
  <c r="I26" i="3"/>
  <c r="G17" i="19"/>
  <c r="G23" i="19" s="1"/>
  <c r="G26" i="19" s="1"/>
  <c r="G16" i="7" s="1"/>
  <c r="H18" i="6"/>
  <c r="G16" i="6"/>
  <c r="G34" i="6"/>
  <c r="G32" i="6"/>
  <c r="G33" i="6" s="1"/>
  <c r="G36" i="6" s="1"/>
  <c r="G9" i="7" l="1"/>
  <c r="G35" i="6"/>
  <c r="J11" i="3"/>
  <c r="I11" i="5"/>
  <c r="I40" i="3"/>
  <c r="I14" i="5"/>
  <c r="H20" i="5"/>
  <c r="H33" i="5"/>
  <c r="H32" i="5"/>
  <c r="H31" i="5"/>
  <c r="H19" i="6" s="1"/>
  <c r="H30" i="5"/>
  <c r="I9" i="5"/>
  <c r="H26" i="5"/>
  <c r="G40" i="6"/>
  <c r="G47" i="6" l="1"/>
  <c r="G48" i="6"/>
  <c r="G41" i="6" s="1"/>
  <c r="G10" i="7" s="1"/>
  <c r="G11" i="7" s="1"/>
  <c r="G42" i="6"/>
  <c r="G43" i="6" s="1"/>
  <c r="H12" i="6"/>
  <c r="H34" i="5"/>
  <c r="H35" i="5" s="1"/>
  <c r="H8" i="6"/>
  <c r="H27" i="6" s="1"/>
  <c r="I47" i="3"/>
  <c r="H22" i="5"/>
  <c r="H21" i="5"/>
  <c r="J21" i="3"/>
  <c r="J27" i="3"/>
  <c r="J28" i="3" s="1"/>
  <c r="K12" i="3" s="1"/>
  <c r="K22" i="3" l="1"/>
  <c r="I49" i="3"/>
  <c r="I51" i="3" s="1"/>
  <c r="I31" i="3" s="1"/>
  <c r="I23" i="6"/>
  <c r="H19" i="19"/>
  <c r="H25" i="19" s="1"/>
  <c r="G8" i="8"/>
  <c r="H15" i="7"/>
  <c r="H14" i="7"/>
  <c r="H9" i="6"/>
  <c r="H28" i="6"/>
  <c r="H25" i="6"/>
  <c r="H26" i="6" s="1"/>
  <c r="H21" i="6"/>
  <c r="H24" i="6"/>
  <c r="H14" i="6"/>
  <c r="H17" i="6"/>
  <c r="G42" i="19"/>
  <c r="G44" i="19" s="1"/>
  <c r="H40" i="19" s="1"/>
  <c r="G18" i="7"/>
  <c r="G49" i="6"/>
  <c r="H46" i="6" s="1"/>
  <c r="G31" i="19" l="1"/>
  <c r="G33" i="19" s="1"/>
  <c r="F9" i="8"/>
  <c r="G21" i="7"/>
  <c r="G22" i="7" s="1"/>
  <c r="H18" i="19"/>
  <c r="H24" i="19" s="1"/>
  <c r="H15" i="6"/>
  <c r="H29" i="6"/>
  <c r="H22" i="6"/>
  <c r="I13" i="6"/>
  <c r="I10" i="5"/>
  <c r="J10" i="3"/>
  <c r="I38" i="3"/>
  <c r="I34" i="3"/>
  <c r="J50" i="3" l="1"/>
  <c r="I16" i="19"/>
  <c r="I22" i="19" s="1"/>
  <c r="I12" i="5"/>
  <c r="I25" i="5" s="1"/>
  <c r="J9" i="3"/>
  <c r="I39" i="3"/>
  <c r="I35" i="3"/>
  <c r="I13" i="5" s="1"/>
  <c r="J20" i="3"/>
  <c r="J23" i="3" s="1"/>
  <c r="J26" i="3"/>
  <c r="H17" i="19"/>
  <c r="H23" i="19" s="1"/>
  <c r="H26" i="19" s="1"/>
  <c r="H16" i="7" s="1"/>
  <c r="I18" i="6"/>
  <c r="H16" i="6"/>
  <c r="H34" i="6"/>
  <c r="H32" i="6"/>
  <c r="H33" i="6" s="1"/>
  <c r="H36" i="6" s="1"/>
  <c r="F15" i="8"/>
  <c r="F10" i="8"/>
  <c r="H29" i="19"/>
  <c r="H39" i="6"/>
  <c r="H40" i="6" s="1"/>
  <c r="H47" i="6" l="1"/>
  <c r="H48" i="6"/>
  <c r="H41" i="6" s="1"/>
  <c r="H10" i="7" s="1"/>
  <c r="H42" i="6"/>
  <c r="H43" i="6" s="1"/>
  <c r="H9" i="7"/>
  <c r="H35" i="6"/>
  <c r="K11" i="3"/>
  <c r="J11" i="5"/>
  <c r="J40" i="3"/>
  <c r="J14" i="5"/>
  <c r="I20" i="5"/>
  <c r="I33" i="5"/>
  <c r="I32" i="5"/>
  <c r="I31" i="5"/>
  <c r="I19" i="6" s="1"/>
  <c r="I30" i="5"/>
  <c r="J9" i="5"/>
  <c r="I26" i="5"/>
  <c r="I12" i="6" l="1"/>
  <c r="I34" i="5"/>
  <c r="I35" i="5" s="1"/>
  <c r="I8" i="6"/>
  <c r="I27" i="6" s="1"/>
  <c r="J47" i="3"/>
  <c r="I22" i="5"/>
  <c r="I21" i="5"/>
  <c r="K21" i="3"/>
  <c r="K27" i="3"/>
  <c r="K28" i="3" s="1"/>
  <c r="L12" i="3" s="1"/>
  <c r="H11" i="7"/>
  <c r="H49" i="6"/>
  <c r="I46" i="6" s="1"/>
  <c r="H42" i="19" l="1"/>
  <c r="H44" i="19" s="1"/>
  <c r="I40" i="19" s="1"/>
  <c r="H18" i="7"/>
  <c r="L22" i="3"/>
  <c r="J49" i="3"/>
  <c r="J51" i="3" s="1"/>
  <c r="J31" i="3" s="1"/>
  <c r="J23" i="6"/>
  <c r="I19" i="19"/>
  <c r="I25" i="19" s="1"/>
  <c r="H8" i="8"/>
  <c r="I15" i="7"/>
  <c r="I14" i="7"/>
  <c r="I9" i="6"/>
  <c r="I28" i="6"/>
  <c r="I25" i="6"/>
  <c r="I26" i="6" s="1"/>
  <c r="I21" i="6"/>
  <c r="I24" i="6"/>
  <c r="I14" i="6"/>
  <c r="I17" i="6"/>
  <c r="I18" i="19" l="1"/>
  <c r="I24" i="19" s="1"/>
  <c r="I15" i="6"/>
  <c r="I29" i="6"/>
  <c r="I22" i="6"/>
  <c r="J13" i="6"/>
  <c r="J10" i="5"/>
  <c r="K10" i="3"/>
  <c r="K20" i="3" s="1"/>
  <c r="J38" i="3"/>
  <c r="J34" i="3"/>
  <c r="H31" i="19"/>
  <c r="H33" i="19" s="1"/>
  <c r="G9" i="8"/>
  <c r="H21" i="7"/>
  <c r="H22" i="7" s="1"/>
  <c r="G15" i="8" l="1"/>
  <c r="G10" i="8"/>
  <c r="I29" i="19"/>
  <c r="I39" i="6"/>
  <c r="K50" i="3"/>
  <c r="J16" i="19"/>
  <c r="J22" i="19" s="1"/>
  <c r="K9" i="3"/>
  <c r="J39" i="3"/>
  <c r="J12" i="5"/>
  <c r="J25" i="5" s="1"/>
  <c r="J35" i="3"/>
  <c r="J13" i="5" s="1"/>
  <c r="K26" i="3"/>
  <c r="K23" i="3"/>
  <c r="I17" i="19"/>
  <c r="I23" i="19" s="1"/>
  <c r="I26" i="19" s="1"/>
  <c r="I16" i="7" s="1"/>
  <c r="J18" i="6"/>
  <c r="I16" i="6"/>
  <c r="I34" i="6"/>
  <c r="I32" i="6"/>
  <c r="I33" i="6" s="1"/>
  <c r="I36" i="6" s="1"/>
  <c r="I9" i="7" l="1"/>
  <c r="I35" i="6"/>
  <c r="K11" i="5"/>
  <c r="K40" i="3"/>
  <c r="K14" i="5"/>
  <c r="L11" i="3"/>
  <c r="J20" i="5"/>
  <c r="J33" i="5"/>
  <c r="J32" i="5"/>
  <c r="J31" i="5"/>
  <c r="J19" i="6" s="1"/>
  <c r="J30" i="5"/>
  <c r="J26" i="5"/>
  <c r="K9" i="5"/>
  <c r="I40" i="6"/>
  <c r="I47" i="6" l="1"/>
  <c r="I48" i="6"/>
  <c r="I41" i="6" s="1"/>
  <c r="I10" i="7" s="1"/>
  <c r="I11" i="7" s="1"/>
  <c r="I42" i="6"/>
  <c r="I43" i="6" s="1"/>
  <c r="J12" i="6"/>
  <c r="J34" i="5"/>
  <c r="J35" i="5" s="1"/>
  <c r="J8" i="6"/>
  <c r="J27" i="6" s="1"/>
  <c r="K47" i="3"/>
  <c r="J22" i="5"/>
  <c r="J21" i="5"/>
  <c r="L21" i="3"/>
  <c r="L27" i="3"/>
  <c r="L28" i="3" s="1"/>
  <c r="K49" i="3" l="1"/>
  <c r="K51" i="3" s="1"/>
  <c r="K31" i="3" s="1"/>
  <c r="K23" i="6"/>
  <c r="J19" i="19"/>
  <c r="J25" i="19" s="1"/>
  <c r="I8" i="8"/>
  <c r="J15" i="7"/>
  <c r="J14" i="7"/>
  <c r="J9" i="6"/>
  <c r="J28" i="6"/>
  <c r="J25" i="6"/>
  <c r="J26" i="6" s="1"/>
  <c r="J21" i="6"/>
  <c r="J24" i="6"/>
  <c r="J14" i="6"/>
  <c r="J17" i="6"/>
  <c r="I42" i="19"/>
  <c r="I44" i="19" s="1"/>
  <c r="J40" i="19" s="1"/>
  <c r="I18" i="7"/>
  <c r="I49" i="6"/>
  <c r="J46" i="6" s="1"/>
  <c r="I31" i="19" l="1"/>
  <c r="I33" i="19" s="1"/>
  <c r="H9" i="8"/>
  <c r="I21" i="7"/>
  <c r="I22" i="7" s="1"/>
  <c r="J18" i="19"/>
  <c r="J24" i="19" s="1"/>
  <c r="J15" i="6"/>
  <c r="J29" i="6"/>
  <c r="J22" i="6"/>
  <c r="K13" i="6"/>
  <c r="K10" i="5"/>
  <c r="L10" i="3"/>
  <c r="K38" i="3"/>
  <c r="K34" i="3"/>
  <c r="K16" i="19" l="1"/>
  <c r="K22" i="19" s="1"/>
  <c r="L50" i="3"/>
  <c r="L9" i="3"/>
  <c r="K39" i="3"/>
  <c r="K12" i="5"/>
  <c r="K25" i="5" s="1"/>
  <c r="K35" i="3"/>
  <c r="K13" i="5" s="1"/>
  <c r="L20" i="3"/>
  <c r="L23" i="3" s="1"/>
  <c r="L26" i="3"/>
  <c r="J17" i="19"/>
  <c r="J23" i="19" s="1"/>
  <c r="J26" i="19" s="1"/>
  <c r="J16" i="7" s="1"/>
  <c r="K18" i="6"/>
  <c r="J16" i="6"/>
  <c r="J34" i="6"/>
  <c r="J32" i="6"/>
  <c r="J33" i="6" s="1"/>
  <c r="J36" i="6" s="1"/>
  <c r="H15" i="8"/>
  <c r="H10" i="8"/>
  <c r="J29" i="19"/>
  <c r="J39" i="6"/>
  <c r="J40" i="6" s="1"/>
  <c r="J47" i="6" l="1"/>
  <c r="J48" i="6"/>
  <c r="J41" i="6" s="1"/>
  <c r="J10" i="7" s="1"/>
  <c r="J42" i="6"/>
  <c r="J43" i="6" s="1"/>
  <c r="J9" i="7"/>
  <c r="J35" i="6"/>
  <c r="L40" i="3"/>
  <c r="L14" i="5"/>
  <c r="L11" i="5"/>
  <c r="K20" i="5"/>
  <c r="K33" i="5"/>
  <c r="K32" i="5"/>
  <c r="K31" i="5"/>
  <c r="K19" i="6" s="1"/>
  <c r="K30" i="5"/>
  <c r="K26" i="5"/>
  <c r="L9" i="5"/>
  <c r="K12" i="6" l="1"/>
  <c r="K34" i="5"/>
  <c r="K35" i="5" s="1"/>
  <c r="K8" i="6"/>
  <c r="K27" i="6" s="1"/>
  <c r="L47" i="3"/>
  <c r="K22" i="5"/>
  <c r="K21" i="5"/>
  <c r="J11" i="7"/>
  <c r="J49" i="6"/>
  <c r="K46" i="6" s="1"/>
  <c r="J42" i="19" l="1"/>
  <c r="J44" i="19" s="1"/>
  <c r="K40" i="19" s="1"/>
  <c r="J18" i="7"/>
  <c r="L49" i="3"/>
  <c r="L51" i="3" s="1"/>
  <c r="L31" i="3" s="1"/>
  <c r="L23" i="6"/>
  <c r="K19" i="19"/>
  <c r="K25" i="19" s="1"/>
  <c r="J8" i="8"/>
  <c r="K15" i="7"/>
  <c r="K14" i="7"/>
  <c r="K9" i="6"/>
  <c r="K28" i="6"/>
  <c r="K25" i="6"/>
  <c r="K26" i="6" s="1"/>
  <c r="K21" i="6"/>
  <c r="K24" i="6"/>
  <c r="K14" i="6"/>
  <c r="K17" i="6"/>
  <c r="K18" i="19" l="1"/>
  <c r="K24" i="19" s="1"/>
  <c r="K15" i="6"/>
  <c r="K29" i="6"/>
  <c r="K22" i="6"/>
  <c r="L13" i="6"/>
  <c r="L10" i="5"/>
  <c r="L38" i="3"/>
  <c r="B12" i="16"/>
  <c r="D12" i="16" s="1"/>
  <c r="L34" i="3"/>
  <c r="J31" i="19"/>
  <c r="J33" i="19" s="1"/>
  <c r="I9" i="8"/>
  <c r="J21" i="7"/>
  <c r="J22" i="7" s="1"/>
  <c r="I15" i="8" l="1"/>
  <c r="I10" i="8"/>
  <c r="K29" i="19"/>
  <c r="K39" i="6"/>
  <c r="L16" i="19"/>
  <c r="L22" i="19" s="1"/>
  <c r="L39" i="3"/>
  <c r="L12" i="5"/>
  <c r="L25" i="5" s="1"/>
  <c r="L35" i="3"/>
  <c r="L13" i="5" s="1"/>
  <c r="K17" i="19"/>
  <c r="L18" i="6"/>
  <c r="K16" i="6"/>
  <c r="K34" i="6"/>
  <c r="K32" i="6"/>
  <c r="K33" i="6" s="1"/>
  <c r="K36" i="6" s="1"/>
  <c r="K9" i="7" l="1"/>
  <c r="K35" i="6"/>
  <c r="K23" i="19"/>
  <c r="K26" i="19" s="1"/>
  <c r="K16" i="7" s="1"/>
  <c r="L17" i="19"/>
  <c r="L23" i="19" s="1"/>
  <c r="L20" i="5"/>
  <c r="L33" i="5"/>
  <c r="L32" i="5"/>
  <c r="L31" i="5"/>
  <c r="L19" i="6" s="1"/>
  <c r="L30" i="5"/>
  <c r="L26" i="5"/>
  <c r="K40" i="6"/>
  <c r="K47" i="6" l="1"/>
  <c r="K48" i="6"/>
  <c r="K41" i="6" s="1"/>
  <c r="K10" i="7" s="1"/>
  <c r="K11" i="7" s="1"/>
  <c r="K42" i="6"/>
  <c r="K43" i="6" s="1"/>
  <c r="L12" i="6"/>
  <c r="L34" i="5"/>
  <c r="L35" i="5" s="1"/>
  <c r="L8" i="6"/>
  <c r="L27" i="6" s="1"/>
  <c r="L22" i="5"/>
  <c r="L21" i="5"/>
  <c r="L19" i="19" l="1"/>
  <c r="L25" i="19" s="1"/>
  <c r="K8" i="8"/>
  <c r="C25" i="8" s="1"/>
  <c r="C29" i="8" s="1"/>
  <c r="C32" i="8" s="1"/>
  <c r="C33" i="8" s="1"/>
  <c r="L15" i="7"/>
  <c r="L14" i="7"/>
  <c r="L9" i="6"/>
  <c r="L28" i="6"/>
  <c r="L25" i="6"/>
  <c r="L26" i="6" s="1"/>
  <c r="L21" i="6"/>
  <c r="L24" i="6"/>
  <c r="L14" i="6"/>
  <c r="L17" i="6"/>
  <c r="K42" i="19"/>
  <c r="K44" i="19" s="1"/>
  <c r="L40" i="19" s="1"/>
  <c r="K18" i="7"/>
  <c r="K49" i="6"/>
  <c r="L46" i="6" s="1"/>
  <c r="K31" i="19" l="1"/>
  <c r="K33" i="19" s="1"/>
  <c r="J9" i="8"/>
  <c r="K21" i="7"/>
  <c r="K22" i="7" s="1"/>
  <c r="L18" i="19"/>
  <c r="L24" i="19" s="1"/>
  <c r="L26" i="19" s="1"/>
  <c r="L16" i="7" s="1"/>
  <c r="L15" i="6"/>
  <c r="L29" i="6"/>
  <c r="L22" i="6"/>
  <c r="C38" i="8"/>
  <c r="L32" i="6" l="1"/>
  <c r="L16" i="6"/>
  <c r="L34" i="6"/>
  <c r="J15" i="8"/>
  <c r="J10" i="8"/>
  <c r="L29" i="19"/>
  <c r="L39" i="6"/>
  <c r="L40" i="6" s="1"/>
  <c r="L47" i="6" l="1"/>
  <c r="L48" i="6"/>
  <c r="L41" i="6" s="1"/>
  <c r="L10" i="7" s="1"/>
  <c r="L42" i="6"/>
  <c r="L43" i="6" s="1"/>
  <c r="C26" i="8"/>
  <c r="L33" i="6"/>
  <c r="L36" i="6" s="1"/>
  <c r="L9" i="7"/>
  <c r="L35" i="6"/>
  <c r="L11" i="7" l="1"/>
  <c r="L49" i="6"/>
  <c r="L18" i="7" l="1"/>
  <c r="L42" i="19"/>
  <c r="L44" i="19" s="1"/>
  <c r="L31" i="19" l="1"/>
  <c r="L33" i="19" s="1"/>
  <c r="K9" i="8"/>
  <c r="L21" i="7"/>
  <c r="L22" i="7" s="1"/>
  <c r="B13" i="16" s="1"/>
  <c r="D13" i="16" s="1"/>
  <c r="C27" i="8" l="1"/>
  <c r="C30" i="8" s="1"/>
  <c r="C31" i="8" s="1"/>
  <c r="B9" i="16" s="1"/>
  <c r="D9" i="16" s="1"/>
  <c r="K15" i="8"/>
  <c r="K10" i="8"/>
  <c r="C36" i="15" a="1"/>
  <c r="C36" i="15" s="1"/>
  <c r="D36" i="15" a="1"/>
  <c r="D36" i="15" s="1"/>
  <c r="E36" i="15" a="1"/>
  <c r="E36" i="15" s="1"/>
  <c r="F36" i="15" a="1"/>
  <c r="F36" i="15" s="1"/>
  <c r="C37" i="15" a="1"/>
  <c r="C37" i="15" s="1"/>
  <c r="D37" i="15" a="1"/>
  <c r="D37" i="15" s="1"/>
  <c r="C46" i="15" s="1"/>
  <c r="E37" i="15" a="1"/>
  <c r="E37" i="15" s="1"/>
  <c r="F37" i="15" a="1"/>
  <c r="F37" i="15" s="1"/>
  <c r="C38" i="15" a="1"/>
  <c r="C38" i="15" s="1"/>
  <c r="D38" i="15" a="1"/>
  <c r="D38" i="15" s="1"/>
  <c r="E38" i="15" a="1"/>
  <c r="E38" i="15" s="1"/>
  <c r="F38" i="15" a="1"/>
  <c r="F38" i="15" s="1"/>
  <c r="C39" i="15" a="1"/>
  <c r="C39" i="15" s="1"/>
  <c r="D39" i="15" a="1"/>
  <c r="D39" i="15" s="1"/>
  <c r="E39" i="15" a="1"/>
  <c r="E39" i="15" s="1"/>
  <c r="F39" i="15" a="1"/>
  <c r="F39" i="15" s="1"/>
  <c r="C40" i="15" a="1"/>
  <c r="C40" i="15" s="1"/>
  <c r="D40" i="15" a="1"/>
  <c r="D40" i="15" s="1"/>
  <c r="E40" i="15" a="1"/>
  <c r="E40" i="15" s="1"/>
  <c r="F40" i="15" a="1"/>
  <c r="F40" i="15" s="1"/>
  <c r="B37" i="15" a="1"/>
  <c r="B37" i="15" s="1"/>
  <c r="B38" i="15" a="1"/>
  <c r="B38" i="15" s="1"/>
  <c r="B39" i="15" a="1"/>
  <c r="B39" i="15" s="1"/>
  <c r="B40" i="15" a="1"/>
  <c r="B40" i="15" s="1"/>
  <c r="B36" i="15" a="1"/>
  <c r="B36" i="15" s="1"/>
  <c r="C17" i="15" a="1"/>
  <c r="C17" i="15" s="1"/>
  <c r="D17" i="15" a="1"/>
  <c r="D17" i="15" s="1"/>
  <c r="E17" i="15" a="1"/>
  <c r="E17" i="15" s="1"/>
  <c r="F17" i="15" a="1"/>
  <c r="F17" i="15" s="1"/>
  <c r="G17" i="15" a="1"/>
  <c r="G17" i="15" s="1"/>
  <c r="H17" i="15" a="1"/>
  <c r="H17" i="15" s="1"/>
  <c r="C18" i="15" a="1"/>
  <c r="C18" i="15" s="1"/>
  <c r="D18" i="15" a="1"/>
  <c r="D18" i="15" s="1"/>
  <c r="E18" i="15" a="1"/>
  <c r="E18" i="15" s="1"/>
  <c r="F18" i="15" a="1"/>
  <c r="F18" i="15" s="1"/>
  <c r="G18" i="15" a="1"/>
  <c r="G18" i="15" s="1"/>
  <c r="H18" i="15" a="1"/>
  <c r="H18" i="15" s="1"/>
  <c r="C19" i="15" a="1"/>
  <c r="C19" i="15" s="1"/>
  <c r="D19" i="15" a="1"/>
  <c r="D19" i="15" s="1"/>
  <c r="E19" i="15" a="1"/>
  <c r="E19" i="15" s="1"/>
  <c r="F19" i="15" a="1"/>
  <c r="F19" i="15" s="1"/>
  <c r="G19" i="15" a="1"/>
  <c r="G19" i="15" s="1"/>
  <c r="H19" i="15" a="1"/>
  <c r="H19" i="15" s="1"/>
  <c r="C20" i="15" a="1"/>
  <c r="C20" i="15" s="1"/>
  <c r="D20" i="15" a="1"/>
  <c r="D20" i="15" s="1"/>
  <c r="E20" i="15" a="1"/>
  <c r="E20" i="15" s="1"/>
  <c r="C45" i="15" s="1"/>
  <c r="F20" i="15" a="1"/>
  <c r="F20" i="15" s="1"/>
  <c r="G20" i="15" a="1"/>
  <c r="G20" i="15" s="1"/>
  <c r="H20" i="15" a="1"/>
  <c r="H20" i="15" s="1"/>
  <c r="C21" i="15" a="1"/>
  <c r="C21" i="15" s="1"/>
  <c r="D21" i="15" a="1"/>
  <c r="D21" i="15" s="1"/>
  <c r="E21" i="15" a="1"/>
  <c r="E21" i="15" s="1"/>
  <c r="F21" i="15" a="1"/>
  <c r="F21" i="15" s="1"/>
  <c r="G21" i="15" a="1"/>
  <c r="G21" i="15" s="1"/>
  <c r="H21" i="15" a="1"/>
  <c r="H21" i="15" s="1"/>
  <c r="C22" i="15" a="1"/>
  <c r="C22" i="15" s="1"/>
  <c r="D22" i="15" a="1"/>
  <c r="D22" i="15" s="1"/>
  <c r="E22" i="15" a="1"/>
  <c r="E22" i="15" s="1"/>
  <c r="F22" i="15" a="1"/>
  <c r="F22" i="15" s="1"/>
  <c r="G22" i="15" a="1"/>
  <c r="G22" i="15" s="1"/>
  <c r="H22" i="15" a="1"/>
  <c r="H22" i="15" s="1"/>
  <c r="C23" i="15" a="1"/>
  <c r="C23" i="15" s="1"/>
  <c r="D23" i="15" a="1"/>
  <c r="D23" i="15" s="1"/>
  <c r="E23" i="15" a="1"/>
  <c r="E23" i="15" s="1"/>
  <c r="F23" i="15" a="1"/>
  <c r="F23" i="15" s="1"/>
  <c r="G23" i="15" a="1"/>
  <c r="G23" i="15" s="1"/>
  <c r="H23" i="15" a="1"/>
  <c r="H23" i="15" s="1"/>
  <c r="B18" i="15" a="1"/>
  <c r="B18" i="15" s="1"/>
  <c r="B19" i="15" a="1"/>
  <c r="B19" i="15" s="1"/>
  <c r="B20" i="15" a="1"/>
  <c r="B20" i="15" s="1"/>
  <c r="B21" i="15" a="1"/>
  <c r="B21" i="15" s="1"/>
  <c r="B22" i="15" a="1"/>
  <c r="B22" i="15" s="1"/>
  <c r="B23" i="15" a="1"/>
  <c r="B23" i="15" s="1"/>
  <c r="B17" i="15" a="1"/>
  <c r="B17" i="15" s="1"/>
  <c r="C6" i="15" a="1"/>
  <c r="C6" i="15" s="1"/>
  <c r="D6" i="15" a="1"/>
  <c r="D6" i="15" s="1"/>
  <c r="E6" i="15" a="1"/>
  <c r="E6" i="15" s="1"/>
  <c r="F6" i="15" a="1"/>
  <c r="F6" i="15" s="1"/>
  <c r="G6" i="15" a="1"/>
  <c r="G6" i="15" s="1"/>
  <c r="H6" i="15" a="1"/>
  <c r="H6" i="15" s="1"/>
  <c r="C7" i="15" a="1"/>
  <c r="C7" i="15" s="1"/>
  <c r="D7" i="15" a="1"/>
  <c r="D7" i="15" s="1"/>
  <c r="E7" i="15" a="1"/>
  <c r="E7" i="15" s="1"/>
  <c r="F7" i="15" a="1"/>
  <c r="F7" i="15" s="1"/>
  <c r="G7" i="15" a="1"/>
  <c r="G7" i="15" s="1"/>
  <c r="H7" i="15" a="1"/>
  <c r="H7" i="15" s="1"/>
  <c r="C8" i="15" a="1"/>
  <c r="C8" i="15" s="1"/>
  <c r="D8" i="15" a="1"/>
  <c r="D8" i="15" s="1"/>
  <c r="E8" i="15" a="1"/>
  <c r="E8" i="15" s="1"/>
  <c r="F8" i="15" a="1"/>
  <c r="F8" i="15" s="1"/>
  <c r="G8" i="15" a="1"/>
  <c r="G8" i="15" s="1"/>
  <c r="H8" i="15" a="1"/>
  <c r="H8" i="15" s="1"/>
  <c r="C9" i="15" a="1"/>
  <c r="C9" i="15" s="1"/>
  <c r="D9" i="15" a="1"/>
  <c r="D9" i="15" s="1"/>
  <c r="E9" i="15" a="1"/>
  <c r="E9" i="15" s="1"/>
  <c r="C44" i="15" s="1"/>
  <c r="D6" i="13" s="1"/>
  <c r="F9" i="15" a="1"/>
  <c r="F9" i="15" s="1"/>
  <c r="G9" i="15" a="1"/>
  <c r="G9" i="15" s="1"/>
  <c r="H9" i="15" a="1"/>
  <c r="H9" i="15" s="1"/>
  <c r="C10" i="15" a="1"/>
  <c r="C10" i="15" s="1"/>
  <c r="D10" i="15" a="1"/>
  <c r="D10" i="15" s="1"/>
  <c r="E10" i="15" a="1"/>
  <c r="E10" i="15" s="1"/>
  <c r="F10" i="15" a="1"/>
  <c r="F10" i="15" s="1"/>
  <c r="G10" i="15" a="1"/>
  <c r="G10" i="15" s="1"/>
  <c r="H10" i="15" a="1"/>
  <c r="H10" i="15" s="1"/>
  <c r="C11" i="15" a="1"/>
  <c r="C11" i="15" s="1"/>
  <c r="D11" i="15" a="1"/>
  <c r="D11" i="15" s="1"/>
  <c r="E11" i="15" a="1"/>
  <c r="E11" i="15" s="1"/>
  <c r="F11" i="15" a="1"/>
  <c r="F11" i="15" s="1"/>
  <c r="G11" i="15" a="1"/>
  <c r="G11" i="15" s="1"/>
  <c r="H11" i="15" a="1"/>
  <c r="H11" i="15" s="1"/>
  <c r="C12" i="15" a="1"/>
  <c r="C12" i="15" s="1"/>
  <c r="D12" i="15" a="1"/>
  <c r="D12" i="15" s="1"/>
  <c r="E12" i="15" a="1"/>
  <c r="E12" i="15" s="1"/>
  <c r="F12" i="15" a="1"/>
  <c r="F12" i="15" s="1"/>
  <c r="G12" i="15" a="1"/>
  <c r="G12" i="15" s="1"/>
  <c r="H12" i="15" a="1"/>
  <c r="H12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6" i="15" a="1"/>
  <c r="B6" i="15" s="1"/>
  <c r="J6" i="13" l="1"/>
  <c r="D16" i="13" s="1"/>
  <c r="G6" i="13"/>
  <c r="D31" i="13"/>
  <c r="D22" i="13"/>
  <c r="D21" i="13"/>
  <c r="G21" i="13" s="1"/>
  <c r="D44" i="15"/>
  <c r="E6" i="13" s="1"/>
  <c r="B44" i="15"/>
  <c r="D45" i="15"/>
  <c r="B45" i="15"/>
  <c r="E45" i="15" s="1"/>
  <c r="D46" i="15"/>
  <c r="B46" i="15"/>
  <c r="E46" i="15" s="1"/>
  <c r="C37" i="8"/>
  <c r="C39" i="8" s="1"/>
  <c r="C34" i="8"/>
  <c r="B8" i="16" s="1"/>
  <c r="D8" i="16" s="1"/>
  <c r="E7" i="13" l="1"/>
  <c r="H6" i="13"/>
  <c r="D23" i="13"/>
  <c r="G22" i="13"/>
  <c r="G23" i="13" s="1"/>
  <c r="E44" i="15"/>
  <c r="C6" i="13"/>
  <c r="C49" i="1"/>
  <c r="G16" i="13"/>
  <c r="D37" i="13"/>
  <c r="B37" i="13"/>
  <c r="D18" i="13"/>
  <c r="C51" i="1" s="1"/>
  <c r="B19" i="16"/>
  <c r="C56" i="1" s="1"/>
  <c r="B18" i="16"/>
  <c r="C55" i="1" s="1"/>
  <c r="B17" i="16"/>
  <c r="C54" i="1" s="1"/>
  <c r="B16" i="16"/>
  <c r="C36" i="1"/>
  <c r="C57" i="8"/>
  <c r="C60" i="8" s="1"/>
  <c r="C46" i="1" s="1"/>
  <c r="C54" i="8"/>
  <c r="D7" i="13" s="1"/>
  <c r="C42" i="8"/>
  <c r="C45" i="8" s="1"/>
  <c r="B31" i="13" l="1"/>
  <c r="C7" i="13"/>
  <c r="F6" i="13"/>
  <c r="C32" i="13"/>
  <c r="H7" i="13"/>
  <c r="G7" i="13"/>
  <c r="D32" i="13"/>
  <c r="B21" i="13"/>
  <c r="B22" i="13"/>
  <c r="G18" i="13"/>
  <c r="C50" i="1"/>
  <c r="C31" i="13"/>
  <c r="C39" i="1"/>
  <c r="C47" i="8"/>
  <c r="C40" i="1" s="1"/>
  <c r="C43" i="1"/>
  <c r="C58" i="8"/>
  <c r="C61" i="8" s="1"/>
  <c r="C47" i="1" s="1"/>
  <c r="B20" i="16"/>
  <c r="C57" i="1" s="1"/>
  <c r="B32" i="13" l="1"/>
  <c r="F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40" authorId="0" shapeId="0" xr:uid="{F24EE6C8-DB2D-4E32-BFB0-481F60541CED}">
      <text>
        <r>
          <rPr>
            <sz val="11"/>
            <color theme="1"/>
            <rFont val="Calibri"/>
            <family val="2"/>
            <scheme val="minor"/>
          </rPr>
          <t>BEAR R&amp;D terminal: 12% — WHOOP becomes Garmin (commodity device, R&amp;D plateaus). Per peer benchmarks: Garmin 11%, Peloton (distress) 6%.</t>
        </r>
      </text>
    </comment>
    <comment ref="D40" authorId="0" shapeId="0" xr:uid="{9B0AC414-2FD2-4A20-8709-7052841012F2}">
      <text>
        <r>
          <rPr>
            <sz val="11"/>
            <color theme="1"/>
            <rFont val="Calibri"/>
            <family val="2"/>
            <scheme val="minor"/>
          </rPr>
          <t>BASE R&amp;D terminal: 15% — WHOOP becomes Masimo (continued device + software investment). Above B3 median 9% reflecting AI/biomarker development as core differentiator.</t>
        </r>
      </text>
    </comment>
    <comment ref="E40" authorId="0" shapeId="0" xr:uid="{664E147F-774B-48A0-A4AF-D5DFBBAAA808}">
      <text>
        <r>
          <rPr>
            <sz val="11"/>
            <color theme="1"/>
            <rFont val="Calibri"/>
            <family val="2"/>
            <scheme val="minor"/>
          </rPr>
          <t>BULL R&amp;D terminal: 18% — WHOOP becomes Dexcom-plus (continuous sensor/AI investment is the moat). Higher than Dexcom 14% to reflect platform thesis.</t>
        </r>
      </text>
    </comment>
    <comment ref="C46" authorId="0" shapeId="0" xr:uid="{8730474C-3835-4AD2-B916-8B752657C500}">
      <text>
        <r>
          <rPr>
            <sz val="11"/>
            <color theme="1"/>
            <rFont val="Calibri"/>
            <family val="2"/>
            <scheme val="minor"/>
          </rPr>
          <t>BEAR G&amp;A terminal: 13% — inefficient global org, healthcare compliance overhead. Above iRhythm 14% but below early-stage.</t>
        </r>
      </text>
    </comment>
    <comment ref="D46" authorId="0" shapeId="0" xr:uid="{BFBC1A7F-FC1D-45E9-A6A0-A1C54D489ADC}">
      <text>
        <r>
          <rPr>
            <sz val="11"/>
            <color theme="1"/>
            <rFont val="Calibri"/>
            <family val="2"/>
            <scheme val="minor"/>
          </rPr>
          <t>BASE G&amp;A terminal: 11% — Dexcom benchmark; reflects multi-jurisdiction regulated public co with healthcare partnerships.</t>
        </r>
      </text>
    </comment>
    <comment ref="E46" authorId="0" shapeId="0" xr:uid="{D5B2855B-0A74-4E87-AFFF-93284FAF70EC}">
      <text>
        <r>
          <rPr>
            <sz val="11"/>
            <color theme="1"/>
            <rFont val="Calibri"/>
            <family val="2"/>
            <scheme val="minor"/>
          </rPr>
          <t>BULL G&amp;A terminal: 9% — ResMed-like efficiency. Achievable but aspirational for a regulated global health platform.</t>
        </r>
      </text>
    </comment>
    <comment ref="C47" authorId="0" shapeId="0" xr:uid="{75A666E5-4974-46C8-89E4-F37D0E8E3936}">
      <text>
        <r>
          <rPr>
            <sz val="11"/>
            <color theme="1"/>
            <rFont val="Calibri"/>
            <family val="2"/>
            <scheme val="minor"/>
          </rPr>
          <t>BEAR SBC current: 16% — pre-IPO unicorn norm 12-18%. Aggressive grant pace from 600+ planned hires.</t>
        </r>
      </text>
    </comment>
    <comment ref="D47" authorId="0" shapeId="0" xr:uid="{472C5778-4274-4AC9-B059-4E23F622469E}">
      <text>
        <r>
          <rPr>
            <sz val="11"/>
            <color theme="1"/>
            <rFont val="Calibri"/>
            <family val="2"/>
            <scheme val="minor"/>
          </rPr>
          <t>BASE SBC current: 14% — mid-range pre-IPO.</t>
        </r>
      </text>
    </comment>
    <comment ref="E47" authorId="0" shapeId="0" xr:uid="{ACC962E2-E8FD-44AA-B644-EB6A18953B98}">
      <text>
        <r>
          <rPr>
            <sz val="11"/>
            <color theme="1"/>
            <rFont val="Calibri"/>
            <family val="2"/>
            <scheme val="minor"/>
          </rPr>
          <t>BULL SBC current: 12% — lower end of pre-IPO range; suggests disciplined granting.</t>
        </r>
      </text>
    </comment>
    <comment ref="C48" authorId="0" shapeId="0" xr:uid="{F61BA9F7-5815-4581-88A3-966D0268F258}">
      <text>
        <r>
          <rPr>
            <sz val="11"/>
            <color theme="1"/>
            <rFont val="Calibri"/>
            <family val="2"/>
            <scheme val="minor"/>
          </rPr>
          <t>BEAR SBC terminal: 10% — elevated post-IPO; suggests slow scaling. Above iRhythm 13% but below Peloton.</t>
        </r>
      </text>
    </comment>
    <comment ref="D48" authorId="0" shapeId="0" xr:uid="{2A9DA7AD-87CC-4F89-8474-AB9D53B99F36}">
      <text>
        <r>
          <rPr>
            <sz val="11"/>
            <color theme="1"/>
            <rFont val="Calibri"/>
            <family val="2"/>
            <scheme val="minor"/>
          </rPr>
          <t>BASE SBC terminal: 8% — Dexcom benchmark. Mature public health-data co norm.</t>
        </r>
      </text>
    </comment>
    <comment ref="E48" authorId="0" shapeId="0" xr:uid="{A39F8ADF-A92F-4DA3-929A-41F445A70D5E}">
      <text>
        <r>
          <rPr>
            <sz val="11"/>
            <color theme="1"/>
            <rFont val="Calibri"/>
            <family val="2"/>
            <scheme val="minor"/>
          </rPr>
          <t>BULL SBC terminal: 6% — Spotify/ResMed range. Disciplined granting at scale.</t>
        </r>
      </text>
    </comment>
    <comment ref="C67" authorId="0" shapeId="0" xr:uid="{892B3EE0-CAA8-4155-9BFD-97E2735E9489}">
      <text>
        <r>
          <rPr>
            <sz val="11"/>
            <color theme="1"/>
            <rFont val="Calibri"/>
            <family val="2"/>
            <scheme val="minor"/>
          </rPr>
          <t>Bear: rates fall to ~2.5% with Fed cuts. Conservative.</t>
        </r>
      </text>
    </comment>
    <comment ref="D67" authorId="0" shapeId="0" xr:uid="{2279693B-D0FB-4747-ADE8-3C660232F4B6}">
      <text>
        <r>
          <rPr>
            <sz val="11"/>
            <color theme="1"/>
            <rFont val="Calibri"/>
            <family val="2"/>
            <scheme val="minor"/>
          </rPr>
          <t>Base: ~3.5% — institutional money market / Treasury bill yields. SOFR proxy.</t>
        </r>
      </text>
    </comment>
    <comment ref="E67" authorId="0" shapeId="0" xr:uid="{FE2FEEEA-3CFC-4EDA-9FED-3A979061923F}">
      <text>
        <r>
          <rPr>
            <sz val="11"/>
            <color theme="1"/>
            <rFont val="Calibri"/>
            <family val="2"/>
            <scheme val="minor"/>
          </rPr>
          <t>Bull: ~4.5% — elevated rates persist; corporate cash earns at upper end.</t>
        </r>
      </text>
    </comment>
    <comment ref="I137" authorId="0" shapeId="0" xr:uid="{D6C5EAE7-B3CA-4F1B-88FA-E95489DD2379}">
      <text>
        <r>
          <rPr>
            <sz val="11"/>
            <color theme="1"/>
            <rFont val="Calibri"/>
            <family val="2"/>
            <scheme val="minor"/>
          </rPr>
          <t>Source: BusinessWire 9/30/2025 launch press release. 350K waitlist disclosed; member count from Series G.</t>
        </r>
      </text>
    </comment>
    <comment ref="I138" authorId="0" shapeId="0" xr:uid="{43FD3CF9-DC09-476F-B29D-A009C9793098}">
      <text>
        <r>
          <rPr>
            <sz val="11"/>
            <color theme="1"/>
            <rFont val="Calibri"/>
            <family val="2"/>
            <scheme val="minor"/>
          </rPr>
          <t>Source: BusinessWire WHOOP press release 9/30/2025. https://www.businesswire.com/news/home/20250930178710/en/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47" authorId="0" shapeId="0" xr:uid="{11AD4866-A1A5-4394-9818-33466F526430}">
      <text>
        <r>
          <rPr>
            <sz val="11"/>
            <color theme="1"/>
            <rFont val="Calibri"/>
            <family val="2"/>
            <scheme val="minor"/>
          </rPr>
          <t>2025 S&amp;M back-solve: ~30% of $650M revenue. Hardcoded historical anchor.</t>
        </r>
      </text>
    </comment>
    <comment ref="D48" authorId="0" shapeId="0" xr:uid="{772E57F7-231F-4B19-A5A2-2339BEDC5068}">
      <text>
        <r>
          <rPr>
            <sz val="11"/>
            <color theme="1"/>
            <rFont val="Calibri"/>
            <family val="2"/>
            <scheme val="minor"/>
          </rPr>
          <t>2025 calibration blended CAC ($195M / 1.5M gross adds = $130).</t>
        </r>
      </text>
    </comment>
    <comment ref="D50" authorId="0" shapeId="0" xr:uid="{2E4B12BB-32E1-4BE4-8415-18DFE34D3EB7}">
      <text>
        <r>
          <rPr>
            <sz val="11"/>
            <color theme="1"/>
            <rFont val="Calibri"/>
            <family val="2"/>
            <scheme val="minor"/>
          </rPr>
          <t>2025: calibration year, penetration diagnostic begins 2026.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19" authorId="0" shapeId="0" xr:uid="{542AFE5F-A704-4929-AA43-75A4437CF5AE}">
      <text>
        <r>
          <rPr>
            <sz val="11"/>
            <color theme="1"/>
            <rFont val="Calibri"/>
            <family val="2"/>
            <scheme val="minor"/>
          </rPr>
          <t>2025: launched 9/30. ~3mo × ~30% ramp = ~7.5% of full-year potential.</t>
        </r>
      </text>
    </comment>
    <comment ref="D26" authorId="0" shapeId="0" xr:uid="{E0A44CF0-0467-4DCD-BF90-1AFDF22232F8}">
      <text>
        <r>
          <rPr>
            <sz val="11"/>
            <color theme="1"/>
            <rFont val="Calibri"/>
            <family val="2"/>
            <scheme val="minor"/>
          </rPr>
          <t>2025: feature in beta, no paid add-on yet.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E18" authorId="0" shapeId="0" xr:uid="{15908B95-0BB5-426A-AFA9-FB829F088EA2}">
      <text>
        <r>
          <rPr>
            <sz val="11"/>
            <color theme="1"/>
            <rFont val="Calibri"/>
            <family val="2"/>
            <scheme val="minor"/>
          </rPr>
          <t>Hardware contribution margin in $M: Accessories revenue from new gross adds minus hardware loaded cost. Negative = device subsidy (acquisition cost). Methodology Sec 6: hardware-as-acquisition-cost, not COGS — this memo is illustrative of the subsidy magnitude.</t>
        </r>
      </text>
    </comment>
    <comment ref="L24" authorId="0" shapeId="0" xr:uid="{889D7046-4208-4BDC-96D0-5BEF5F82AB8D}">
      <text>
        <r>
          <rPr>
            <sz val="11"/>
            <color theme="1"/>
            <rFont val="Calibri"/>
            <family val="2"/>
            <scheme val="minor"/>
          </rPr>
          <t>FLAG: S&amp;M as % of current revenue runs 16-20%, vs methodology stated ~30% current. Architecture-driven gap: Members tab computes S&amp;M = prior-yr revenue × phase S&amp;M%, so as revenue grows, current-year S&amp;M / current-year revenue is structurally lower than the input rate. NOT an error — it's the consequence of fixed-S&amp;M%-of-prior-rev design. Two reconciliation paths: (a) restate methodology to prior-yr basis, or (b) raise S&amp;M phase % inputs to compensate.</t>
        </r>
      </text>
    </comment>
    <comment ref="D27" authorId="0" shapeId="0" xr:uid="{60ACBF2B-38EB-4FA2-B67F-E2AA9A0C2A23}">
      <text>
        <r>
          <rPr>
            <sz val="11"/>
            <color theme="1"/>
            <rFont val="Calibri"/>
            <family val="2"/>
            <scheme val="minor"/>
          </rPr>
          <t>2025 historical: SBC at current rate (no interpolation). 2026+ tapers from current to terminal.</t>
        </r>
      </text>
    </comment>
    <comment ref="F32" authorId="0" shapeId="0" xr:uid="{FDCCDD18-56DF-40E6-8DF1-D1F0EDB21C0E}">
      <text>
        <r>
          <rPr>
            <sz val="11"/>
            <color theme="1"/>
            <rFont val="Calibri"/>
            <family val="2"/>
            <scheme val="minor"/>
          </rPr>
          <t>FLAG: 2027 EBITDA margin DIPS to 12% from 18% in 2026 despite revenue growth 28%. Driver: Members!F30 gross adds spike to 1.24M (Phase 1 deployment year), bulging hardware COGS to $148M. Mechanically correct but visually jarring. If we accept Phase 1 = 2026-2027 lump deployment, this is real. If smoother gross adds curve preferred, revisit Members!E50:F50 logic.</t>
        </r>
      </text>
    </comment>
    <comment ref="L32" authorId="0" shapeId="0" xr:uid="{AC5777F6-C777-43D9-827D-340B63ECD868}">
      <text>
        <r>
          <rPr>
            <sz val="11"/>
            <color theme="1"/>
            <rFont val="Calibri"/>
            <family val="2"/>
            <scheme val="minor"/>
          </rPr>
          <t>EBITDA margin 2033 = 33%. CALIBRATED: R&amp;D scenarios (12/15/18 Bear/Base/Bull), G&amp;A (13/11/9), SBC tapering 14%→8%. Squarely in methodology terminal range (28-32%, slight edge over). Per Assumptions C40/D40/E40, C46/D46/E46, F47/F48.</t>
        </r>
      </text>
    </comment>
    <comment ref="D39" authorId="0" shapeId="0" xr:uid="{A6C0CB2D-3DD8-446F-B22A-1F9F90448F54}">
      <text>
        <r>
          <rPr>
            <sz val="11"/>
            <color theme="1"/>
            <rFont val="Calibri"/>
            <family val="2"/>
            <scheme val="minor"/>
          </rPr>
          <t>Interest income on idle cash — NOW WIRED. Uses prior-year ending cash × yield (Assumptions F66, 3.5% base). Non-circular by construction. Does NOT flow into UFCF (DCF uses NOPAT, not NI).</t>
        </r>
      </text>
    </comment>
    <comment ref="E39" authorId="0" shapeId="0" xr:uid="{0262E4E5-1198-48B2-970B-B1FFFCB283E9}">
      <text>
        <r>
          <rPr>
            <sz val="11"/>
            <color theme="1"/>
            <rFont val="Calibri"/>
            <family val="2"/>
            <scheme val="minor"/>
          </rPr>
          <t>2026: prior-yr ending cash + half of Series G proceeds (deployed Q1, half-year convention) × yield.</t>
        </r>
      </text>
    </comment>
    <comment ref="D41" authorId="0" shapeId="0" xr:uid="{0B0D33CD-886A-41FF-9777-6EB785084765}">
      <text>
        <r>
          <rPr>
            <sz val="11"/>
            <color theme="1"/>
            <rFont val="Calibri"/>
            <family val="2"/>
            <scheme val="minor"/>
          </rPr>
          <t>Tax = MAX(0, Pretax − NOL utilized) × 23% effective rate. NOL utilization on row 47 (capped at 80% of pretax per TCJA). Schedule rows 44-48.</t>
        </r>
      </text>
    </comment>
    <comment ref="L43" authorId="0" shapeId="0" xr:uid="{286B1F4A-61A8-485B-B5C4-E2A3EAFA6334}">
      <text>
        <r>
          <rPr>
            <sz val="11"/>
            <color theme="1"/>
            <rFont val="Calibri"/>
            <family val="2"/>
            <scheme val="minor"/>
          </rPr>
          <t>Net Margin 2033 = 22%. Reflects calibrated OpEx tapers (R&amp;D/G&amp;A/SBC) + NOL + interest income. UFCF / DCF NOT affected by NI items (uses NOPAT, unlevered).</t>
        </r>
      </text>
    </comment>
    <comment ref="C46" authorId="0" shapeId="0" xr:uid="{39EC7610-01BA-433A-A4A8-BF41F74FC0E5}">
      <text>
        <r>
          <rPr>
            <sz val="11"/>
            <color theme="1"/>
            <rFont val="Calibri"/>
            <family val="2"/>
            <scheme val="minor"/>
          </rPr>
          <t>Pre-2025 NOL balance assumed $0. WHOOP has been pre-tax loss-making historically; revise if known carryforward exists.</t>
        </r>
      </text>
    </comment>
    <comment ref="D48" authorId="0" shapeId="0" xr:uid="{BB041C0B-1061-4F59-8BE9-8F29A5D5D7A3}">
      <text>
        <r>
          <rPr>
            <sz val="11"/>
            <color theme="1"/>
            <rFont val="Calibri"/>
            <family val="2"/>
            <scheme val="minor"/>
          </rPr>
          <t>NOL utilization capped at 80% of current pretax income (post-TCJA rule). Cannot exceed beginning NOL balance.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18" authorId="0" shapeId="0" xr:uid="{768607A7-240E-457E-9C83-B2B473199A65}">
      <text>
        <r>
          <rPr>
            <sz val="11"/>
            <color theme="1"/>
            <rFont val="Calibri"/>
            <family val="2"/>
            <scheme val="minor"/>
          </rPr>
          <t>FLAG: 2027 UFCF dips to $15M from $67M in 2026 — cascade from P&amp;L 2027 EBITDA dip (gross adds bulge → hardware COGS spike). Same root cause as P&amp;L F31. Mechanically correct.</t>
        </r>
      </text>
    </comment>
    <comment ref="L18" authorId="0" shapeId="0" xr:uid="{0A39DE51-46B0-4369-9F81-B9C7F924EC03}">
      <text>
        <r>
          <rPr>
            <sz val="11"/>
            <color theme="1"/>
            <rFont val="Calibri"/>
            <family val="2"/>
            <scheme val="minor"/>
          </rPr>
          <t>FCF margin trajectory: 18% → 25% across forecast (improved from prior 8% → 19% before WC wiring). Now within methodology priors (Phase 3: 20-26%, terminal: 25-28%).</t>
        </r>
      </text>
    </comment>
    <comment ref="L22" authorId="0" shapeId="0" xr:uid="{5186CF52-2A2A-4510-9114-E52D0970AA4B}">
      <text>
        <r>
          <rPr>
            <sz val="11"/>
            <color theme="1"/>
            <rFont val="Calibri"/>
            <family val="2"/>
            <scheme val="minor"/>
          </rPr>
          <t>Rule of 40 (Growth + FCF Margin): 86 (2026) → 42 (2033). Methodology check passes (Phase 3 ≥ 20). Healthy cash generation profile.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51F56F2A-1758-49FC-B2B6-00F330FA5673}">
      <text>
        <r>
          <rPr>
            <sz val="11"/>
            <color theme="1"/>
            <rFont val="Calibri"/>
            <family val="2"/>
            <scheme val="minor"/>
          </rPr>
          <t>Mid-period assumption: average annual subscriber is 6 months into their contract, so 6 months of revenue still to recognize. → Deferred Rev = Members × ARPU × 0.5</t>
        </r>
      </text>
    </comment>
    <comment ref="D9" authorId="0" shapeId="0" xr:uid="{8F4BD9A7-1B42-4E45-835F-77C14C807093}">
      <text>
        <r>
          <rPr>
            <sz val="11"/>
            <color theme="1"/>
            <rFont val="Calibri"/>
            <family val="2"/>
            <scheme val="minor"/>
          </rPr>
          <t>Inventory = ~45 days of next-year hardware COGS. Reflects buffer stock for new member acquisitions; consumer hardware norm 30-60 days.</t>
        </r>
      </text>
    </comment>
    <comment ref="D10" authorId="0" shapeId="0" xr:uid="{139ED07F-7C72-46C2-93DB-1E4903CF826A}">
      <text>
        <r>
          <rPr>
            <sz val="11"/>
            <color theme="1"/>
            <rFont val="Calibri"/>
            <family val="2"/>
            <scheme val="minor"/>
          </rPr>
          <t>AP = ~18 days of COGS payable. Within 15-20 day range typical for hardware/subscription hybrid.</t>
        </r>
      </text>
    </comment>
    <comment ref="D11" authorId="0" shapeId="0" xr:uid="{14C3E613-B66A-43FD-B543-2907C313AAB9}">
      <text>
        <r>
          <rPr>
            <sz val="11"/>
            <color theme="1"/>
            <rFont val="Calibri"/>
            <family val="2"/>
            <scheme val="minor"/>
          </rPr>
          <t>Plug bucket: prepaids, accrued comp/marketing, other receivables. ~1.5% of revenue is a typical fitness/subscription benchmark.</t>
        </r>
      </text>
    </comment>
    <comment ref="D12" authorId="0" shapeId="0" xr:uid="{07F85D4B-D572-4A89-A8E8-054C8BFDACF5}">
      <text>
        <r>
          <rPr>
            <sz val="11"/>
            <color theme="1"/>
            <rFont val="Calibri"/>
            <family val="2"/>
            <scheme val="minor"/>
          </rPr>
          <t>Cash on BS pre-Series G. Estimate $50-100M from 2024 ops + pre-Series G runway.</t>
        </r>
      </text>
    </comment>
    <comment ref="D13" authorId="0" shapeId="0" xr:uid="{C483F1B5-1250-483C-9133-7A78E936B737}">
      <text>
        <r>
          <rPr>
            <sz val="11"/>
            <color theme="1"/>
            <rFont val="Calibri"/>
            <family val="2"/>
            <scheme val="minor"/>
          </rPr>
          <t>$575M Series G closed Q1 2026, lands in 2026 column.</t>
        </r>
      </text>
    </comment>
    <comment ref="L17" authorId="0" shapeId="0" xr:uid="{4C3CB2DB-30EC-4E06-96A0-CB790F92050F}">
      <text>
        <r>
          <rPr>
            <sz val="11"/>
            <color theme="1"/>
            <rFont val="Calibri"/>
            <family val="2"/>
            <scheme val="minor"/>
          </rPr>
          <t>2033 inventory = 2032 × 1.05 (no 2034 hardware COGS available; assume 5% growth)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31" authorId="0" shapeId="0" xr:uid="{5EFD5891-BFCB-4AA4-81B6-BE317CC8A692}">
      <text>
        <r>
          <rPr>
            <sz val="11"/>
            <color theme="1"/>
            <rFont val="Calibri"/>
            <family val="2"/>
            <scheme val="minor"/>
          </rPr>
          <t>FLAG: 30% divergence between Exit Multiple TV ($16.1B) and Gordon TV ($11.8B). Methodology Sec 4 threshold: 25%. Improved from 55% pre-WC wiring — higher terminal FCF tightened the Gordon side. Still slightly above threshold; reflects 4.5x exit multiple's implied ~5-6% terminal growth vs Gordon's 3%.</t>
        </r>
      </text>
    </comment>
    <comment ref="C32" authorId="0" shapeId="0" xr:uid="{4C5BD419-911C-45D8-886E-7870CFAA4349}">
      <text>
        <r>
          <rPr>
            <sz val="11"/>
            <color theme="1"/>
            <rFont val="Calibri"/>
            <family val="2"/>
            <scheme val="minor"/>
          </rPr>
          <t>Selected = Exit Multiple per Assumptions F76. To switch to Gordon, change to =C29.</t>
        </r>
      </text>
    </comment>
    <comment ref="C33" authorId="0" shapeId="0" xr:uid="{0E568DA4-CE97-429E-9112-C9C37BCB7B4C}">
      <text>
        <r>
          <rPr>
            <sz val="11"/>
            <color theme="1"/>
            <rFont val="Calibri"/>
            <family val="2"/>
            <scheme val="minor"/>
          </rPr>
          <t>TV is at end of 2033 (year 8.5 mid-year equivalent). Discounted using K13 = 7.5-year discount factor (TV received at end of forecast period, discounted same as terminal year FCF).</t>
        </r>
      </text>
    </comment>
    <comment ref="C34" authorId="0" shapeId="0" xr:uid="{3D89DECD-4B56-4B23-AA64-F2BFCB3E1D11}">
      <text>
        <r>
          <rPr>
            <sz val="11"/>
            <color theme="1"/>
            <rFont val="Calibri"/>
            <family val="2"/>
            <scheme val="minor"/>
          </rPr>
          <t>FLAG: TV is 78% of total EV. Methodology Sec 4 threshold: 75%. Improved from 85% pre-WC wiring — forecast-period PV jumped from $1.3B to $2.1B. Still slightly above threshold. Mitigations: tighten R&amp;D/G&amp;A tapers (Cal item), extend horizon, or accept structure as appropriate for hypergrowth.</t>
        </r>
      </text>
    </comment>
    <comment ref="C53" authorId="0" shapeId="0" xr:uid="{5EBBBBFB-0165-46D0-9D7E-AE0F7D43D3DE}">
      <text>
        <r>
          <rPr>
            <sz val="11"/>
            <color theme="1"/>
            <rFont val="Calibri"/>
            <family val="2"/>
            <scheme val="minor"/>
          </rPr>
          <t>Real Options total: $2.39B expected value (probability-weighted across three correlated outcome clusters). Per methodology Sec 4: ADDITIVE to base DCF, never embedded. From RealOptions tab E9.</t>
        </r>
      </text>
    </comment>
    <comment ref="C59" authorId="0" shapeId="0" xr:uid="{399907FC-5FA5-4E5C-A274-29523E0EDD10}">
      <text>
        <r>
          <rPr>
            <sz val="11"/>
            <color theme="1"/>
            <rFont val="Calibri"/>
            <family val="2"/>
            <scheme val="minor"/>
          </rPr>
          <t>Series G $10.1B mark, March 2026. From Pitchbook/press.</t>
        </r>
      </text>
    </comment>
    <comment ref="C60" authorId="0" shapeId="0" xr:uid="{3800A337-221E-4108-899F-F655AA68C339}">
      <text>
        <r>
          <rPr>
            <sz val="11"/>
            <color theme="1"/>
            <rFont val="Calibri"/>
            <family val="2"/>
            <scheme val="minor"/>
          </rPr>
          <t>Base DCF EV $9.54B vs Series G $10.1B mark = -5.6% discount. Tightened materially after wiring detailed WC schedule (deferred revenue captured properly). Base DCF is now within rounding of Series G mark.</t>
        </r>
      </text>
    </comment>
    <comment ref="C61" authorId="0" shapeId="0" xr:uid="{6A71D5AE-90F6-48C5-A33B-0B5566A8920D}">
      <text>
        <r>
          <rPr>
            <sz val="11"/>
            <color theme="1"/>
            <rFont val="Calibri"/>
            <family val="2"/>
            <scheme val="minor"/>
          </rPr>
          <t>DCF + Real Options $11.93B vs Series G $10.1B = +18.1% premium. Suggests Series G mark is reasonable IF cluster probabilities (18/45/37) and value points ($5.5/$2.5/$0.75B) hold.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5" authorId="0" shapeId="0" xr:uid="{9F391928-765C-44CD-A35A-C6FCC14250EF}">
      <text>
        <r>
          <rPr>
            <sz val="11"/>
            <color theme="1"/>
            <rFont val="Calibri"/>
            <family val="2"/>
            <scheme val="minor"/>
          </rPr>
          <t>JUDGMENT INPUT — methodology Sec 4 prior is $5-6B for correlated success cluster. Anchored on: healthcare reimbursement adds ~$2-3B + B2B clinical ~$1-2B + women's health ~$1-2B if all execute together.</t>
        </r>
      </text>
    </comment>
    <comment ref="D5" authorId="0" shapeId="0" xr:uid="{F3BF084D-BB80-4918-A9F7-4A248DD9455B}">
      <text>
        <r>
          <rPr>
            <sz val="11"/>
            <color theme="1"/>
            <rFont val="Calibri"/>
            <family val="2"/>
            <scheme val="minor"/>
          </rPr>
          <t>JUDGMENT INPUT — methodology Sec 4 prior is 15-20%. Not derived from individual option probabilities (rows 12-16). Each 5pp shift moves option value ~$275M. See A18:A22 for full discussion.</t>
        </r>
      </text>
    </comment>
    <comment ref="C6" authorId="0" shapeId="0" xr:uid="{AAB58271-17F8-4D7B-9231-2F7D4D3B7FD5}">
      <text>
        <r>
          <rPr>
            <sz val="11"/>
            <color theme="1"/>
            <rFont val="Calibri"/>
            <family val="2"/>
            <scheme val="minor"/>
          </rPr>
          <t>JUDGMENT INPUT — methodology Sec 4 prior is $2-3B for mixed outcomes (international + partial healthcare).</t>
        </r>
      </text>
    </comment>
    <comment ref="D6" authorId="0" shapeId="0" xr:uid="{0598107D-84C4-469E-A011-0E279DEA5DBA}">
      <text>
        <r>
          <rPr>
            <sz val="11"/>
            <color theme="1"/>
            <rFont val="Calibri"/>
            <family val="2"/>
            <scheme val="minor"/>
          </rPr>
          <t>JUDGMENT INPUT — methodology Sec 4 prior is 40-50%.</t>
        </r>
      </text>
    </comment>
    <comment ref="C7" authorId="0" shapeId="0" xr:uid="{47D00E79-B0DB-48A7-ABCD-E786B3687956}">
      <text>
        <r>
          <rPr>
            <sz val="11"/>
            <color theme="1"/>
            <rFont val="Calibri"/>
            <family val="2"/>
            <scheme val="minor"/>
          </rPr>
          <t>JUDGMENT INPUT — methodology Sec 4 prior is $0.5-1B for correlated failure (healthcare stalls, related options fail). Floor reflects residual brand value + intl business.</t>
        </r>
      </text>
    </comment>
    <comment ref="D7" authorId="0" shapeId="0" xr:uid="{95EBAD66-F1EE-47DB-A987-3A7D969E9676}">
      <text>
        <r>
          <rPr>
            <sz val="11"/>
            <color theme="1"/>
            <rFont val="Calibri"/>
            <family val="2"/>
            <scheme val="minor"/>
          </rPr>
          <t>JUDGMENT INPUT — methodology Sec 4 prior is 30-40%. Note: our 37% is at upper end of bear range.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N8" authorId="0" shapeId="0" xr:uid="{099C9C12-37CC-43B9-B8CD-F5BC622E24C3}">
      <text>
        <r>
          <rPr>
            <sz val="11"/>
            <color theme="1"/>
            <rFont val="Calibri"/>
            <family val="2"/>
            <scheme val="minor"/>
          </rPr>
          <t>Growth-adjusted EV/Rev multiple (EV/Rev ÷ LTM growth %). Methodology Sec 5: analytical anchor that normalizes across growth profiles. WHOOP at 9x / 103% = 0.09.</t>
        </r>
      </text>
    </comment>
    <comment ref="F32" authorId="0" shapeId="0" xr:uid="{EDDE1111-D5A3-40AA-BCF1-2A8E5D55DC46}">
      <text>
        <r>
          <rPr>
            <sz val="11"/>
            <color theme="1"/>
            <rFont val="Calibri"/>
            <family val="2"/>
            <scheme val="minor"/>
          </rPr>
          <t>Bear uses Peloton (B2 distressed end). Methodology says B2 disaggregated, not averaged.</t>
        </r>
      </text>
    </comment>
    <comment ref="I32" authorId="0" shapeId="0" xr:uid="{A14B0CDA-11A5-4A51-B8A1-9EDDF918410C}">
      <text>
        <r>
          <rPr>
            <sz val="11"/>
            <color theme="1"/>
            <rFont val="Calibri"/>
            <family val="2"/>
            <scheme val="minor"/>
          </rPr>
          <t>Implied EV = blended multiple × 2025 revenue ($528M). Using recognized revenue, not bookings (per methodology Sec 3).</t>
        </r>
      </text>
    </comment>
    <comment ref="F33" authorId="0" shapeId="0" xr:uid="{A0CB8F36-597D-4134-9133-E689E4CC962D}">
      <text>
        <r>
          <rPr>
            <sz val="11"/>
            <color theme="1"/>
            <rFont val="Calibri"/>
            <family val="2"/>
            <scheme val="minor"/>
          </rPr>
          <t>Base uses Peloton/Spotify average.</t>
        </r>
      </text>
    </comment>
    <comment ref="F34" authorId="0" shapeId="0" xr:uid="{6757DFDA-072E-4DAB-A653-BBAF6596CB38}">
      <text>
        <r>
          <rPr>
            <sz val="11"/>
            <color theme="1"/>
            <rFont val="Calibri"/>
            <family val="2"/>
            <scheme val="minor"/>
          </rPr>
          <t>Bull uses Spotify (B2 healthier end).</t>
        </r>
      </text>
    </comment>
    <comment ref="F35" authorId="0" shapeId="0" xr:uid="{378AAC9B-28F3-419C-81BB-97C5CB495337}">
      <text>
        <r>
          <rPr>
            <sz val="11"/>
            <color theme="1"/>
            <rFont val="Calibri"/>
            <family val="2"/>
            <scheme val="minor"/>
          </rPr>
          <t>Series G implied weighting uses Spotify as B2 anchor.</t>
        </r>
      </text>
    </comment>
    <comment ref="B42" authorId="0" shapeId="0" xr:uid="{F6440DD9-6BB9-4766-B966-9FC49CF41571}">
      <text>
        <r>
          <rPr>
            <sz val="11"/>
            <color theme="1"/>
            <rFont val="Calibri"/>
            <family val="2"/>
            <scheme val="minor"/>
          </rPr>
          <t>Methodology Sec 3: $1.1B run-rate = December 2025 monthly bookings × 12. Different number than recognized; use bookings basis for hypergrowth multiple comparison.</t>
        </r>
      </text>
    </comment>
    <comment ref="B44" authorId="0" shapeId="0" xr:uid="{BAB4E729-4EC2-4F38-A77F-7227F161E930}">
      <text>
        <r>
          <rPr>
            <sz val="11"/>
            <color theme="1"/>
            <rFont val="Calibri"/>
            <family val="2"/>
            <scheme val="minor"/>
          </rPr>
          <t>Choose 'Recognized', 'Bookings', or 'NTM'. Drives I32:I35 implied EV calc. Methodology default: Bookings for hypergrowth comp comparison.</t>
        </r>
      </text>
    </comment>
    <comment ref="B47" authorId="0" shapeId="0" xr:uid="{B6025324-1B8B-423B-A190-4CC37DD03384}">
      <text>
        <r>
          <rPr>
            <sz val="11"/>
            <color theme="1"/>
            <rFont val="Calibri"/>
            <family val="2"/>
            <scheme val="minor"/>
          </rPr>
          <t>Series G $10.1B ÷ active revenue base. At bookings $1.1B = 9.2x. At recognized $528M = 19x.</t>
        </r>
      </text>
    </comment>
    <comment ref="B48" authorId="0" shapeId="0" xr:uid="{C6F67A4F-A617-4D4E-BC45-C42396B3C098}">
      <text>
        <r>
          <rPr>
            <sz val="11"/>
            <color theme="1"/>
            <rFont val="Calibri"/>
            <family val="2"/>
            <scheme val="minor"/>
          </rPr>
          <t>At methodology base bucket weights (B1=20%, B2=40%, B3=40%), this is the B3 multiple required to justify Series G mark. Compare to actual B3 median (G26 = 5.8x). Premium over median = 'growth premium' market is paying.</t>
        </r>
      </text>
    </comment>
    <comment ref="B49" authorId="0" shapeId="0" xr:uid="{880FA79D-BD0B-449D-B243-BCF19F182686}">
      <text>
        <r>
          <rPr>
            <sz val="11"/>
            <color theme="1"/>
            <rFont val="Calibri"/>
            <family val="2"/>
            <scheme val="minor"/>
          </rPr>
          <t>Series G mult ÷ implied 100% growth (2025 bookings vs 2024 baseline). Methodology: 'WHOOP at 9x/103% = 0.09'.</t>
        </r>
      </text>
    </comment>
    <comment ref="B50" authorId="0" shapeId="0" xr:uid="{D1C24895-691F-4E57-A8FC-7F00EE8EEDC5}">
      <text>
        <r>
          <rPr>
            <sz val="11"/>
            <color theme="1"/>
            <rFont val="Calibri"/>
            <family val="2"/>
            <scheme val="minor"/>
          </rPr>
          <t>Series G mult ÷ implied 100% growth (2025 bookings × 12 vs 2024). Methodology: 'WHOOP at 9x/103% = 0.09'.</t>
        </r>
      </text>
    </comment>
    <comment ref="B51" authorId="0" shapeId="0" xr:uid="{8C0D2E19-B976-4086-ABF6-973DF150E810}">
      <text>
        <r>
          <rPr>
            <sz val="11"/>
            <color theme="1"/>
            <rFont val="Calibri"/>
            <family val="2"/>
            <scheme val="minor"/>
          </rPr>
          <t>B3 comps median EV/Rev ÷ LTM growth %. Pulls from row 26 N column.</t>
        </r>
      </text>
    </comment>
    <comment ref="B52" authorId="0" shapeId="0" xr:uid="{C888B38C-3E60-4D29-BA35-21798464CFED}">
      <text>
        <r>
          <rPr>
            <sz val="11"/>
            <color theme="1"/>
            <rFont val="Calibri"/>
            <family val="2"/>
            <scheme val="minor"/>
          </rPr>
          <t>Methodology Sec 5: WHOOP at 0.09 vs B3 at 0.46 = WHOOP is at 20% of B3's growth-adjusted multiple. Cheap on growth-adjusted basis — implies Series G mark is reasonable IF growth sustains.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9" authorId="0" shapeId="0" xr:uid="{C09CEC01-A7AE-4D28-B379-F5219A99A617}">
      <text>
        <r>
          <rPr>
            <sz val="11"/>
            <color theme="1"/>
            <rFont val="Calibri"/>
            <family val="2"/>
            <scheme val="minor"/>
          </rPr>
          <t>Low: Bear-weighted bucket multiples (40/40/20) × 2026 forecast revenue. Forward-looking version of Method 2.</t>
        </r>
      </text>
    </comment>
    <comment ref="D9" authorId="0" shapeId="0" xr:uid="{86862B13-DA35-4E7B-A339-E1E14E1676A5}">
      <text>
        <r>
          <rPr>
            <sz val="11"/>
            <color theme="1"/>
            <rFont val="Calibri"/>
            <family val="2"/>
            <scheme val="minor"/>
          </rPr>
          <t>Base: Methodology base bucket weights (20/40/40) × 2026 forecast revenue. Captures WHOOP's near-term scaling without paying for unrealized growth.</t>
        </r>
      </text>
    </comment>
    <comment ref="E9" authorId="0" shapeId="0" xr:uid="{32F29225-DA74-402E-B20D-EA1F5F30EF51}">
      <text>
        <r>
          <rPr>
            <sz val="11"/>
            <color theme="1"/>
            <rFont val="Calibri"/>
            <family val="2"/>
            <scheme val="minor"/>
          </rPr>
          <t>High: Bull-weighted bucket multiples (10/30/60) × 2026 forecast revenue.</t>
        </r>
      </text>
    </comment>
    <comment ref="I14" authorId="0" shapeId="0" xr:uid="{17D9792B-B7AF-4444-B1EF-07D892742774}">
      <text>
        <r>
          <rPr>
            <sz val="11"/>
            <color theme="1"/>
            <rFont val="Calibri"/>
            <family val="2"/>
            <scheme val="minor"/>
          </rPr>
          <t>Must equal 100%. DCF + Comps (naive) + Comps (growth-adj) + Last-Round + IPO. Excludes Real Options (additive to DCF) and Precedents (skipped).</t>
        </r>
      </text>
    </comment>
    <comment ref="C35" authorId="0" shapeId="0" xr:uid="{E5569E50-9FEF-4D63-928A-04CB28BCAB45}">
      <text>
        <r>
          <rPr>
            <sz val="11"/>
            <color theme="1"/>
            <rFont val="Calibri"/>
            <family val="2"/>
            <scheme val="minor"/>
          </rPr>
          <t>Last-round is a single point, not a range. Tiny range value to render as a dot.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<sst xmlns="http://schemas.openxmlformats.org/spreadsheetml/2006/main" count="1777" uniqueCount="1205">
  <si>
    <t>WHOOP Inc.</t>
  </si>
  <si>
    <t>Private Company Valuation</t>
  </si>
  <si>
    <t>Investment Committee Memo — Supporting Model</t>
  </si>
  <si>
    <t>Company:</t>
  </si>
  <si>
    <t>Ticker:</t>
  </si>
  <si>
    <t>Private (Pre-IPO)</t>
  </si>
  <si>
    <t>Last Round:</t>
  </si>
  <si>
    <t>Series G — $575M at $10.1B post-money (Mar 31, 2026)</t>
  </si>
  <si>
    <t>Model Date:</t>
  </si>
  <si>
    <t>April 16, 2026</t>
  </si>
  <si>
    <t>Analyst:</t>
  </si>
  <si>
    <t>Landon Brice</t>
  </si>
  <si>
    <t>Fiscal Year:</t>
  </si>
  <si>
    <t>Calendar Year (Jan-Dec)</t>
  </si>
  <si>
    <t>Currency:</t>
  </si>
  <si>
    <t>USD ($M unless noted)</t>
  </si>
  <si>
    <t>Valuation Methods:</t>
  </si>
  <si>
    <t>1. Intrinsic DCF (scenario-based + real options)</t>
  </si>
  <si>
    <t>2. Trading Comps (three-bucket framework)</t>
  </si>
  <si>
    <t>3. Precedent Transactions</t>
  </si>
  <si>
    <t>4. Last-Round Implied ($10.1B)</t>
  </si>
  <si>
    <t>5. Implied IPO Trading Range (back-solved)</t>
  </si>
  <si>
    <t>Color Convention:</t>
  </si>
  <si>
    <t>Hard-coded input</t>
  </si>
  <si>
    <t>Formula / calculation</t>
  </si>
  <si>
    <t>Cross-sheet link</t>
  </si>
  <si>
    <t>Needs verification / FLAGGED_GAP</t>
  </si>
  <si>
    <t>Source Files:</t>
  </si>
  <si>
    <t>Valuation Summary (live, scenario-driven)</t>
  </si>
  <si>
    <t>Active Scenario</t>
  </si>
  <si>
    <t>Base DCF — Enterprise Value</t>
  </si>
  <si>
    <t xml:space="preserve">  + Cash</t>
  </si>
  <si>
    <t xml:space="preserve">  − Debt</t>
  </si>
  <si>
    <t>= Equity Value</t>
  </si>
  <si>
    <t xml:space="preserve">  Per Share (FD)</t>
  </si>
  <si>
    <t>Real Options (Expected)</t>
  </si>
  <si>
    <t>Total EV (DCF + Options)</t>
  </si>
  <si>
    <t>Series G Mark</t>
  </si>
  <si>
    <t>Base DCF vs Series G</t>
  </si>
  <si>
    <t>DCF + Options vs Series G</t>
  </si>
  <si>
    <t>Football Field (multi-method synthesis)</t>
  </si>
  <si>
    <t>Weighted Average EV</t>
  </si>
  <si>
    <t xml:space="preserve">  vs Series G</t>
  </si>
  <si>
    <t>Model Integrity (Checks tab)</t>
  </si>
  <si>
    <t>Passing</t>
  </si>
  <si>
    <t>Warning</t>
  </si>
  <si>
    <t>Failing</t>
  </si>
  <si>
    <t>Overall</t>
  </si>
  <si>
    <t>Framing Decision — Base Case vs Real Options</t>
  </si>
  <si>
    <t>Base DCF reflects WHOOP's subscription-driven unit economics if executed (terminal EBITDA ~33%, GM 76%). The bucket-3 weight (30-40% per methodology) is expressed via the 4.5x exit multiple (50% compressed from B3 ~9x), NOT via P&amp;L margin compression. Real options ($2.4B) capture the platform-becoming-true scenarios (healthcare reimbursement, B2B clinical, women's health) on top of base case execution. By construction these are separate value sources — base case = 'WHOOP executes its current plan'; options = 'WHOOP earns the bucket-3 narrative'.</t>
  </si>
  <si>
    <t>Memo conclusion: Base DCF $9.5B (-6% vs mark) anchors fair value. Multi-method football field $8.6B (-14% vs mark) shows comps undershoot before growth premium. DCF + Real Options $11.9B (+18% vs mark) shows where Series G investors are positioned IF they credit bucket-3 thesis. Series G is paying for growth + optionality, not static comp value.</t>
  </si>
  <si>
    <t>WHOOP — Master Assumptions</t>
  </si>
  <si>
    <t>Scenario:</t>
  </si>
  <si>
    <t>Base</t>
  </si>
  <si>
    <t xml:space="preserve">  Select Bear / Base / Bull — drives Active column F throughout the model. Other tabs reference Active values only.</t>
  </si>
  <si>
    <t>ID</t>
  </si>
  <si>
    <t>Assumption</t>
  </si>
  <si>
    <t>Bear</t>
  </si>
  <si>
    <t>Bull</t>
  </si>
  <si>
    <t>Active</t>
  </si>
  <si>
    <t>Tier</t>
  </si>
  <si>
    <t>Status</t>
  </si>
  <si>
    <t>Notes</t>
  </si>
  <si>
    <t>Section 1: Revenue &amp; Growth</t>
  </si>
  <si>
    <t>R3a</t>
  </si>
  <si>
    <t>2025 Beginning Members (M)</t>
  </si>
  <si>
    <t>Tier 3</t>
  </si>
  <si>
    <t>High</t>
  </si>
  <si>
    <t>Back-solved to reconcile avg×ARPU ≈ $650M base. Bear slower decel; bull faster acquisition.</t>
  </si>
  <si>
    <t>R3b</t>
  </si>
  <si>
    <t>2025 Ending Members (M)</t>
  </si>
  <si>
    <t>Tier 1</t>
  </si>
  <si>
    <t>Critical</t>
  </si>
  <si>
    <t>Series G press release: 2.5M+ paying members</t>
  </si>
  <si>
    <t>R3</t>
  </si>
  <si>
    <t>2025 Average Members (M) — DERIVED</t>
  </si>
  <si>
    <t>Derived</t>
  </si>
  <si>
    <t>Per methodology: ARPU applies to AVERAGE members during period, NOT year-end.</t>
  </si>
  <si>
    <t>R4</t>
  </si>
  <si>
    <t>2025 Blended ARPU ($/yr)</t>
  </si>
  <si>
    <t>v2 build per CLAUDE.md rebuild directives ($300/$338/$375). Single-line; 5-component decomposition deferred to ARPU tab.</t>
  </si>
  <si>
    <t>R1</t>
  </si>
  <si>
    <t>2025 Recognized Revenue ($M) — DERIVED</t>
  </si>
  <si>
    <t>DERIVED: Avg Members × Blended ARPU. Target ~$650M base. Methodology consistency check: must reconcile within ±5%.</t>
  </si>
  <si>
    <t>R2</t>
  </si>
  <si>
    <t>2025 Bookings Run-Rate ($M)</t>
  </si>
  <si>
    <t>Locked</t>
  </si>
  <si>
    <t>Series G press release; CEO statement (Dec 2025 exit rate × 12)</t>
  </si>
  <si>
    <t>R5</t>
  </si>
  <si>
    <t>Subscription Revenue %</t>
  </si>
  <si>
    <t>Tier 2</t>
  </si>
  <si>
    <t>Sacra/BMCT: ~80-88% range</t>
  </si>
  <si>
    <t>R6</t>
  </si>
  <si>
    <t>2025 YoY Subscription Growth</t>
  </si>
  <si>
    <t>Series G press release: 103%</t>
  </si>
  <si>
    <t>R7</t>
  </si>
  <si>
    <t>Phase 1 Revenue Growth (2026-27)</t>
  </si>
  <si>
    <t>Peer trajectories; Series G deployment &amp; WHOOP 5.0 cycle</t>
  </si>
  <si>
    <t>R8</t>
  </si>
  <si>
    <t>Phase 2 Revenue Growth (2028-30)</t>
  </si>
  <si>
    <t>Deceleration shape: Dexcom (bull) / Netflix (base) / Peloton (bear)</t>
  </si>
  <si>
    <t>R9</t>
  </si>
  <si>
    <t>Phase 3 Revenue Growth (2031-33)</t>
  </si>
  <si>
    <t>TAM ceiling; healthcare attach resolution</t>
  </si>
  <si>
    <t>R10a</t>
  </si>
  <si>
    <t>Year-1 Cohort Annual Churn</t>
  </si>
  <si>
    <t>Highest churn ("try and quit"). Will drive Members tab cohort engine.</t>
  </si>
  <si>
    <t>R10b</t>
  </si>
  <si>
    <t>Year-2 Cohort Annual Churn</t>
  </si>
  <si>
    <t>Stabilizing cohort</t>
  </si>
  <si>
    <t>R10c</t>
  </si>
  <si>
    <t>Year-3+ Cohort Annual Churn</t>
  </si>
  <si>
    <t>Retained core; very sticky power users</t>
  </si>
  <si>
    <t>R11</t>
  </si>
  <si>
    <t>International Revenue %</t>
  </si>
  <si>
    <t>Stress-tested: 40-45% base; NYT DealBook source ambiguous on "new sales" vs total</t>
  </si>
  <si>
    <t>R12</t>
  </si>
  <si>
    <t>B2B Unite Revenue %</t>
  </si>
  <si>
    <t>Medium</t>
  </si>
  <si>
    <t>Sacra/BMCT: ~20% recurring revenue; growing rapidly</t>
  </si>
  <si>
    <t>R14</t>
  </si>
  <si>
    <t>Advanced Labs Attach Rate</t>
  </si>
  <si>
    <t>BUCKET-3 THESIS VARIABLE. Bear/Base/Bull per methodology Sec 3. Single most important ARPU assumption — swings $80/member.</t>
  </si>
  <si>
    <t>R15</t>
  </si>
  <si>
    <t>Labs Avg Test Price ($)</t>
  </si>
  <si>
    <t>WHOOP Advanced Labs site: $199-$599. Methodology base: $300.</t>
  </si>
  <si>
    <t>R16</t>
  </si>
  <si>
    <t>Annual Price Inflation</t>
  </si>
  <si>
    <t>CPI + premium brand pricing power</t>
  </si>
  <si>
    <t>R18</t>
  </si>
  <si>
    <t>2026 Gross Adds (M)</t>
  </si>
  <si>
    <t>Methodology priors: 1.8-2.0M base. Members tab will use this; per-year gross adds modeled there. CAC × this = S&amp;M consistency check.</t>
  </si>
  <si>
    <t>R19</t>
  </si>
  <si>
    <t>Deferred Revenue Adjustment (% of bookings)</t>
  </si>
  <si>
    <t>Drag during growth (recognized &lt; booked); ASC 606. Approaches 0 at steady state.</t>
  </si>
  <si>
    <t>Section 2: Cost Structure &amp; Margins</t>
  </si>
  <si>
    <t>C1</t>
  </si>
  <si>
    <t>Hardware BOM per Device ($)</t>
  </si>
  <si>
    <t>Est. $50-80 at scale; 2016 BOM was $250-300 per Contrary Research</t>
  </si>
  <si>
    <t>C2</t>
  </si>
  <si>
    <t>Loaded Hardware Cost per Acquisition ($)</t>
  </si>
  <si>
    <t>C1 + assembly, ship, warranty, returns. Drives unit economics.</t>
  </si>
  <si>
    <t>C4</t>
  </si>
  <si>
    <t>Subscription Delivery Cost (% of sub rev)</t>
  </si>
  <si>
    <t>Infra + support; AWS/GCP benchmarks; declining at scale</t>
  </si>
  <si>
    <t>C5</t>
  </si>
  <si>
    <t>Subscription Gross Margin (standalone)</t>
  </si>
  <si>
    <t>Peer: pure SaaS ~80%, Dexcom ~64% (incl consumables). WHOOP higher quality recurring.</t>
  </si>
  <si>
    <t>C6</t>
  </si>
  <si>
    <t>Hardware Gross Margin (standalone)</t>
  </si>
  <si>
    <t>Subsidized at acquisition; Peloton HW GM trajectory: -18% to +14%</t>
  </si>
  <si>
    <t>C7a</t>
  </si>
  <si>
    <t>Blended GM Phase 1 (2026-27)</t>
  </si>
  <si>
    <t>Derived prior; lower in growth years (more hardware drag)</t>
  </si>
  <si>
    <t>C7b</t>
  </si>
  <si>
    <t>Blended GM Phase 2 (2028-30)</t>
  </si>
  <si>
    <t>Margin expansion as growth decelerates</t>
  </si>
  <si>
    <t>C7c</t>
  </si>
  <si>
    <t>Blended GM Terminal</t>
  </si>
  <si>
    <t>Peer terminal: Dexcom 60%, Spotify 32%; software-heavy mix at scale</t>
  </si>
  <si>
    <t>C8a</t>
  </si>
  <si>
    <t>R&amp;D % of Revenue (current)</t>
  </si>
  <si>
    <t>Peers: Dexcom 13%, Garmin 16%, growth SaaS 20-30%</t>
  </si>
  <si>
    <t>C8b</t>
  </si>
  <si>
    <t>R&amp;D % of Revenue (terminal)</t>
  </si>
  <si>
    <t>Peer steady-state</t>
  </si>
  <si>
    <t>C9</t>
  </si>
  <si>
    <t>S&amp;M % of Revenue (current)</t>
  </si>
  <si>
    <t>Peloton peak 28.4% FY22, current 16.9% FY25. Bear = stuck high.</t>
  </si>
  <si>
    <t>C9a</t>
  </si>
  <si>
    <t>Paid CAC per Gross Add ($)</t>
  </si>
  <si>
    <t>30-50% of first-year ARPU. S&amp;M consistency check on Checks tab.</t>
  </si>
  <si>
    <t>C9b</t>
  </si>
  <si>
    <t>Athlete/Brand Spend ($M/yr)</t>
  </si>
  <si>
    <t>Press, endorsement deals; non-paid S&amp;M floor</t>
  </si>
  <si>
    <t>C9t</t>
  </si>
  <si>
    <t>S&amp;M % of Revenue (terminal)</t>
  </si>
  <si>
    <t>Peer steady-state: Garmin SG&amp;A 14-19%</t>
  </si>
  <si>
    <t>C10</t>
  </si>
  <si>
    <t>G&amp;A % of Revenue (current)</t>
  </si>
  <si>
    <t>IPO step-up 200-300bps in 2027-28 (SOX, IR, legal)</t>
  </si>
  <si>
    <t>C10t</t>
  </si>
  <si>
    <t>G&amp;A % of Revenue (terminal)</t>
  </si>
  <si>
    <t>C11a</t>
  </si>
  <si>
    <t>SBC % of Revenue (current, 2026 pre-IPO peak)</t>
  </si>
  <si>
    <t>Peloton: 9.2% FY25; pre-IPO typically higher. SBC is REAL COST in FCF.</t>
  </si>
  <si>
    <t>C11b</t>
  </si>
  <si>
    <t>SBC % of Revenue (terminal, 2033 post-IPO normalized)</t>
  </si>
  <si>
    <t>Methodology Sec 6: SBC normalizes to 6-10% post-IPO. Linear taper from F47 (current) to F48 (terminal) by 2033.</t>
  </si>
  <si>
    <t>C13</t>
  </si>
  <si>
    <t>CapEx % of Revenue</t>
  </si>
  <si>
    <t>Asset-light; contract manufacturing</t>
  </si>
  <si>
    <t>C16</t>
  </si>
  <si>
    <t>NWC % of Incremental Revenue</t>
  </si>
  <si>
    <t>Negative = WC benefit (deferred rev &gt; inventory drag during growth)</t>
  </si>
  <si>
    <t>C17</t>
  </si>
  <si>
    <t>Advanced Labs COGS %</t>
  </si>
  <si>
    <t>Quest/Labcorp panel margins ~30-40%; bucket-3 sensitivity</t>
  </si>
  <si>
    <t>C15</t>
  </si>
  <si>
    <t>Tax Rate (effective)</t>
  </si>
  <si>
    <t>US statutory; intl mix-shift lowers over time</t>
  </si>
  <si>
    <t>C12</t>
  </si>
  <si>
    <t>D&amp;A % of Revenue</t>
  </si>
  <si>
    <t>D&amp;A trails CapEx (~4% of rev) as PP&amp;E ramps. Lower in bull (asset-light scale economies). Used in FCF tab to compute NOPAT → UFCF bridge.</t>
  </si>
  <si>
    <t>Section 3: Capital Structure &amp; Cap Table (incl. cash yield)</t>
  </si>
  <si>
    <t>S1</t>
  </si>
  <si>
    <t>Fully Diluted Shares Outstanding (M)</t>
  </si>
  <si>
    <t>361.2M common + ~50M option pool est. Pitchbook auth pref 537.9M, outs 361.2M.</t>
  </si>
  <si>
    <t>S2</t>
  </si>
  <si>
    <t>Series G Price per Share ($)</t>
  </si>
  <si>
    <t>Pitchbook Series G data; back-solve from $575M raise / shares issued</t>
  </si>
  <si>
    <t>S3</t>
  </si>
  <si>
    <t>Liquidation Preference Type</t>
  </si>
  <si>
    <t>Participating</t>
  </si>
  <si>
    <t>1x non-participating</t>
  </si>
  <si>
    <t>Pitchbook: 1x non-participating pari passu. Bear assumes participating ratchet.</t>
  </si>
  <si>
    <t>S4</t>
  </si>
  <si>
    <t>Total Liquidation Preference ($M)</t>
  </si>
  <si>
    <t>Sum of preferred raises: ~$1.4B aggregate (Series A through G)</t>
  </si>
  <si>
    <t>S7</t>
  </si>
  <si>
    <t>Option Pool Size (% of FD shares)</t>
  </si>
  <si>
    <t>Typical 10-15% pre-IPO; 600-person hiring surge implies aggressive granting</t>
  </si>
  <si>
    <t>S8</t>
  </si>
  <si>
    <t>Founder Ownership Ahmed (% FD)</t>
  </si>
  <si>
    <t>12-18% est. across 7 rounds + pool refreshes; possibly lower with secondaries</t>
  </si>
  <si>
    <t>S9</t>
  </si>
  <si>
    <t>DLOM (Discount for Lack of Marketability)</t>
  </si>
  <si>
    <t>Oura tender 25%; EquityZen avg 13-29%; Hiive 39-51% deeper discount</t>
  </si>
  <si>
    <t>S10</t>
  </si>
  <si>
    <t>Debt on Balance Sheet ($M)</t>
  </si>
  <si>
    <t>Low</t>
  </si>
  <si>
    <t>Likely minimal/zero; Pitchbook shows $10.13M debt round Mar 2024</t>
  </si>
  <si>
    <t>S11</t>
  </si>
  <si>
    <t>Cash post Series G ($M)</t>
  </si>
  <si>
    <t>Back-solve: $575M raise + operating cash flow positive entering 2026</t>
  </si>
  <si>
    <t>S12</t>
  </si>
  <si>
    <t>EV-to-Equity Bridge ($M) — DERIVED</t>
  </si>
  <si>
    <t>Cash − Debt: add to EV to bridge to equity value</t>
  </si>
  <si>
    <t>S15</t>
  </si>
  <si>
    <t>Series F Ratchet / IPO Provisions</t>
  </si>
  <si>
    <t>Live</t>
  </si>
  <si>
    <t>Likely extinguished</t>
  </si>
  <si>
    <t>Extinguished</t>
  </si>
  <si>
    <t>Likely extinguished at Series G close; SoftBank notably absent from Series G syndicate</t>
  </si>
  <si>
    <t>S16</t>
  </si>
  <si>
    <t>Dual-Class Share Structure (IPO)</t>
  </si>
  <si>
    <t>Single class</t>
  </si>
  <si>
    <t>Dual class</t>
  </si>
  <si>
    <t>Common for founder-led tech IPOs (Meta, Snap, Airbnb); not disclosed</t>
  </si>
  <si>
    <t>C18</t>
  </si>
  <si>
    <t>Cash money-market yield (interest income on idle balance)</t>
  </si>
  <si>
    <t>Yield on idle Series G cash. Apply to PRIOR-YEAR ending cash balance to avoid circularity (no feedback into current year cash).</t>
  </si>
  <si>
    <t>Section 4: WACC / Discount Rate (Damodaran Apr 2026)</t>
  </si>
  <si>
    <t>D1</t>
  </si>
  <si>
    <t>Risk-Free Rate (10yr UST)</t>
  </si>
  <si>
    <t>Fed H.15, Apr 14 2026: 4.26%; rounded 4.3%</t>
  </si>
  <si>
    <t>D2</t>
  </si>
  <si>
    <t>Equity Risk Premium</t>
  </si>
  <si>
    <t>Point Est.</t>
  </si>
  <si>
    <t>Damodaran 4.23% (Jan 2026); Kroll 5.0%; midpoint 4.5%</t>
  </si>
  <si>
    <t>D3</t>
  </si>
  <si>
    <t>Unlevered Beta (bucket-weighted)</t>
  </si>
  <si>
    <t>Sensitivity</t>
  </si>
  <si>
    <t>Damodaran sector: Healthcare 0.83, Electronics 0.83. Bucket-weighted.</t>
  </si>
  <si>
    <t>D4</t>
  </si>
  <si>
    <t>Size Premium</t>
  </si>
  <si>
    <t>Kroll CRSP Decile 3 ($7.3-13.5B): 0.81%</t>
  </si>
  <si>
    <t>D5</t>
  </si>
  <si>
    <t>Company-Specific Risk Premium (CSRP)</t>
  </si>
  <si>
    <t>Pre-IPO execution risk + private illiquidity; 1-3% range</t>
  </si>
  <si>
    <t>D8</t>
  </si>
  <si>
    <t>Implied Cost of Equity / WACC — DERIVED</t>
  </si>
  <si>
    <t>Section 5: Terminal Value</t>
  </si>
  <si>
    <t>D9</t>
  </si>
  <si>
    <t>Terminal Method (primary)</t>
  </si>
  <si>
    <t>Exit Multiple</t>
  </si>
  <si>
    <t>Design</t>
  </si>
  <si>
    <t>Primary: EV/Revenue exit multiple; cross-check: Gordon Growth</t>
  </si>
  <si>
    <t>D11</t>
  </si>
  <si>
    <t>Terminal EV/Revenue Multiple</t>
  </si>
  <si>
    <t>Compressed 40-60% from current comps; reflects terminal growth 10-15%</t>
  </si>
  <si>
    <t>D12</t>
  </si>
  <si>
    <t>Terminal EV/EBITDA Multiple</t>
  </si>
  <si>
    <t>Cross-check only; more stable than revenue multiple at maturity</t>
  </si>
  <si>
    <t>D13</t>
  </si>
  <si>
    <t>Perpetuity Growth Rate (Gordon)</t>
  </si>
  <si>
    <t>GDP growth + inflation; cannot exceed WACC</t>
  </si>
  <si>
    <t>D28</t>
  </si>
  <si>
    <t>Multiple Compression Factor</t>
  </si>
  <si>
    <t>Terminal multiples 40-60% lower than current comps. Applied to derive D11.</t>
  </si>
  <si>
    <t>Section 6: Comp Bucket Weighting — THIS IS THE THESIS</t>
  </si>
  <si>
    <t>V11a</t>
  </si>
  <si>
    <t>Bucket 1 Weight (Consumer Hardware — Garmin)</t>
  </si>
  <si>
    <t>Higher = more bearish (WHOOP as hardware company)</t>
  </si>
  <si>
    <t>V11b</t>
  </si>
  <si>
    <t>Bucket 2 Weight (Consumer Subscription — PTON/SPOT)</t>
  </si>
  <si>
    <t>Peloton-Spotify range disaggregated; where does WHOOP sit?</t>
  </si>
  <si>
    <t>V11c</t>
  </si>
  <si>
    <t>Bucket 3 Weight (Health Data — DXCM/RMD/MASI/IRTC)</t>
  </si>
  <si>
    <t>Higher = healthcare thesis is believed; Series G implied ~70%</t>
  </si>
  <si>
    <t>V11_chk</t>
  </si>
  <si>
    <t>Bucket Weights Sum (must = 100%)</t>
  </si>
  <si>
    <t>Check</t>
  </si>
  <si>
    <t>Sanity check: bucket weights must sum to 100%</t>
  </si>
  <si>
    <t>Section 7: IPO Trading Range &amp; Discount Framework</t>
  </si>
  <si>
    <t>I1</t>
  </si>
  <si>
    <t>IPO Timing (months from Series G)</t>
  </si>
  <si>
    <t>Q2 2027 - Q1 2028; "last private round" per Ahmed</t>
  </si>
  <si>
    <t>I2</t>
  </si>
  <si>
    <t>IPO Pricing Discount (to Stage 1 fair value)</t>
  </si>
  <si>
    <t>Loughran/Ritter IPO pricing studies; 15-25% standard</t>
  </si>
  <si>
    <t>I3</t>
  </si>
  <si>
    <t>Illiquidity / Timing Discount (private vs. IPO)</t>
  </si>
  <si>
    <t>Oura tender 25%; Hiive 39-51%; pre-IPO DLOM shrinkage near window</t>
  </si>
  <si>
    <t>I4</t>
  </si>
  <si>
    <t>Series G Investor Required IRR</t>
  </si>
  <si>
    <t>Late-stage growth equity return expectations (3-5yr hold)</t>
  </si>
  <si>
    <t>I5</t>
  </si>
  <si>
    <t>Implied Stage 1 Public Fair Value ($M) — DERIVED</t>
  </si>
  <si>
    <t>Back-solve: $10.1B / (1-illiquidity) / (1-IPO discount) → $13-15B target</t>
  </si>
  <si>
    <t>Section 8: Precedent Transactions</t>
  </si>
  <si>
    <t>P1</t>
  </si>
  <si>
    <t>Deal Inclusion Window</t>
  </si>
  <si>
    <t>Last 5 years</t>
  </si>
  <si>
    <t>2021-2026 with 3-year primary focus</t>
  </si>
  <si>
    <t>P3</t>
  </si>
  <si>
    <t>Deal Size Threshold ($M EV)</t>
  </si>
  <si>
    <t>Below this, synergy math distorts multiples</t>
  </si>
  <si>
    <t>P5</t>
  </si>
  <si>
    <t>Multiple Extraction Method</t>
  </si>
  <si>
    <t>EV/LTM Rev</t>
  </si>
  <si>
    <t>EV / LTM revenue at announcement; NTM where available</t>
  </si>
  <si>
    <t>P_b1</t>
  </si>
  <si>
    <t>Bucket 1 Precedent Multiple (median)</t>
  </si>
  <si>
    <t>Fitbit/Google ~1.3x; Garmin tuck-ins; mostly distressed exits</t>
  </si>
  <si>
    <t>P_b2</t>
  </si>
  <si>
    <t>Bucket 2 Precedent Multiple (median)</t>
  </si>
  <si>
    <t>Peloton/Precor; connected fitness all value-destructive</t>
  </si>
  <si>
    <t>P_b3</t>
  </si>
  <si>
    <t>Bucket 3 Precedent Multiple (median)</t>
  </si>
  <si>
    <t>Per research/precedent-transactions.md: B3 medtech 6.6-10.1x range</t>
  </si>
  <si>
    <t>Section 9: Real Options — moved to RealOptions tab (additive, never in DCF base case)</t>
  </si>
  <si>
    <t>Real-option probabilities (D19-D23) live on the RealOptions tab — cluster-modeled (correlated success / mixed / failure), additive to base DCF EV. See methodology Sec 4.</t>
  </si>
  <si>
    <t>Legend &amp; Conventions</t>
  </si>
  <si>
    <t>Blue text</t>
  </si>
  <si>
    <t>Black text</t>
  </si>
  <si>
    <t>Formula / derived calculation</t>
  </si>
  <si>
    <t>Green text</t>
  </si>
  <si>
    <t>Cross-sheet link (wired when other tabs are built)</t>
  </si>
  <si>
    <t>Yellow fill</t>
  </si>
  <si>
    <t>FLAGGED_GAP — unsourced critical, needs verification</t>
  </si>
  <si>
    <t>Active col</t>
  </si>
  <si>
    <t>Picks Bear/Base/Bull per scenario selector at $B$3</t>
  </si>
  <si>
    <t>Section 10: Gross Adds Derivation Drivers</t>
  </si>
  <si>
    <t>Gross Adds = (Prior-Yr Rev × S&amp;M%) / Blended CAC. Saturation modeled via CAC inflation only (single mechanism). TAM is a diagnostic check on Members tab — flagged if penetration exceeds 40%. Blended CAC = total S&amp;M / gross adds (incl. paid + brand + athlete partnerships; excl. hardware subsidy which is in COGS).</t>
  </si>
  <si>
    <t>GA1</t>
  </si>
  <si>
    <t>S&amp;M % of Prior-Yr Revenue — Phase 1 (2026-27)</t>
  </si>
  <si>
    <t>Series G deployment phase. ~30% base ties to 2025 calibration ($195M / $650M).</t>
  </si>
  <si>
    <t>GA2</t>
  </si>
  <si>
    <t>S&amp;M % of Prior-Yr Revenue — Phase 2 (2028-30)</t>
  </si>
  <si>
    <t>Post-IPO normalization; public-market margin pressure.</t>
  </si>
  <si>
    <t>GA3</t>
  </si>
  <si>
    <t>S&amp;M % of Prior-Yr Revenue — Phase 3 (2031-33)</t>
  </si>
  <si>
    <t>Mature subscription steady-state.</t>
  </si>
  <si>
    <t>GA4</t>
  </si>
  <si>
    <t>2026 Starting Blended CAC ($)</t>
  </si>
  <si>
    <t>Total S&amp;M / gross adds. Includes paid + brand + athlete partnerships. Excludes hardware subsidy (in COGS). 2025 anchor: ~$130. PLACEHOLDER — validate against research base.</t>
  </si>
  <si>
    <t>GA5</t>
  </si>
  <si>
    <t>Annual Blended CAC Inflation Rate</t>
  </si>
  <si>
    <t>YoY blended CAC growth. Sole saturation mechanism (TAM curve removed to avoid double-counting). 8% base = brand cost drift + mid-cycle marginal acquisition cost rise. Peloton peaked ~25%/yr.</t>
  </si>
  <si>
    <t>GA6</t>
  </si>
  <si>
    <t>TAM — Global Paying Subscribers (M)</t>
  </si>
  <si>
    <t>Diagnostic ceiling, not a damping multiplier. Penetration% shown on Members row 49; flag if &gt;40%. Bear: consumer-fitness only. Base: + international + partial Labs scaling. Bull: full health-data platform.</t>
  </si>
  <si>
    <t>Section 11: ARPU Decomposition Drivers</t>
  </si>
  <si>
    <t>Build: Sub ARPU (tier-mix-driven) + Labs (attach × price × tests) + Accessories + BP/Healthspan (attach × price). Sums to Blended ARPU on ARPU tab. Replaces single-line $338 anchor (R4) with derived value; consistency check on ARPU tab flags if 2025 derived ≠ R4 within ±5%.</t>
  </si>
  <si>
    <t>-- Subscription ARPU --</t>
  </si>
  <si>
    <t>R24a</t>
  </si>
  <si>
    <t>Tier mix — % WHOOP One (entry tier)</t>
  </si>
  <si>
    <t>WHOOP One ~$199/yr. Bear: value-heavy mix (50/35/15). Base: mid-market (30/45/25). Bull: premium-skewed (20/40/40).</t>
  </si>
  <si>
    <t>R24b</t>
  </si>
  <si>
    <t>Tier mix — % WHOOP Peak (mid tier)</t>
  </si>
  <si>
    <t>WHOOP Peak ~$239/yr. Includes Healthspan, Health Monitor, BP Insights, Stress.</t>
  </si>
  <si>
    <t>R24c</t>
  </si>
  <si>
    <t>Tier mix — % WHOOP Life (top tier)</t>
  </si>
  <si>
    <t>WHOOP Life ~$359/yr. Includes ECG, full BP, Healthspan; ships MG (medical-grade) hardware. Methodology Sec 3 "tier premium $20" maps to mix shift into Peak/Life.</t>
  </si>
  <si>
    <t>R24d</t>
  </si>
  <si>
    <t>Monthly-payer share (% of members)</t>
  </si>
  <si>
    <t>Monthly plan adds ~$14/yr premium vs annual prepay. Methodology Sec 3 "monthly plan premium $15". Stable across scenarios.</t>
  </si>
  <si>
    <t>R24e</t>
  </si>
  <si>
    <t>Tier-mix shift YoY (Peak/Life gain per year)</t>
  </si>
  <si>
    <t>Annual % shift FROM One INTO Peak/Life. Captures cohort upgrade behavior. Combined with R26 inflation drives sub ARPU growth.</t>
  </si>
  <si>
    <t>-- Advanced Labs ARPU (THE bucket-3 swing variable) --</t>
  </si>
  <si>
    <t>R25a</t>
  </si>
  <si>
    <t>Labs attach % — 2026 starting</t>
  </si>
  <si>
    <t>Single most important ARPU variable per methodology Sec 3. Bear 5%/Base 10%/Bull 25%. Anchored on 350K waitlist = 14% of 2.5M members at launch (BusinessWire 9/30/2025).</t>
  </si>
  <si>
    <t>R25b</t>
  </si>
  <si>
    <t>Labs avg test price ($)</t>
  </si>
  <si>
    <t>Disclosed pricing $199 (1 test) / $349 (2 tests) / $599 (4 tests). $250 base = mid-tier weighted. Bull pushes to $300 reflecting premium add-on uptake (Women's $299 panel, etc.).</t>
  </si>
  <si>
    <t>R25c</t>
  </si>
  <si>
    <t>Labs tests per attached member per year</t>
  </si>
  <si>
    <t>Avg cadence per attached member. Bear: 1 test (one-and-done). Base: 1.5 (between 1 and 2 plan). Bull: 2.0 (committed retest cycle).</t>
  </si>
  <si>
    <t>R25d</t>
  </si>
  <si>
    <t>Labs attach growth rate (YoY)</t>
  </si>
  <si>
    <t>Compounding attach rate growth. Bear flat (Labs stalls). Base ~9%/yr (steady ramp from 10% to ~20% by 2033). Bull ~18%/yr (healthcare thesis: 25% → ~85% by 2033).</t>
  </si>
  <si>
    <t>-- Accessories ARPU --</t>
  </si>
  <si>
    <t>R26</t>
  </si>
  <si>
    <t>Accessories ARPU ($/member/yr) — 2025 baseline</t>
  </si>
  <si>
    <t>Replacement straps + accessories. Bear: minimal upgrade. Base: typical 1-2 bands/yr at $20-50. Bull: premium SuperKnit Luxe attach.</t>
  </si>
  <si>
    <t>R26b</t>
  </si>
  <si>
    <t>Accessories ARPU YoY growth</t>
  </si>
  <si>
    <t>Modest replacement-cycle inflation. Stable line, not a thesis driver.</t>
  </si>
  <si>
    <t>-- BP/Healthspan ARPU (emerging — paid add-on layer beyond Peak/Life) --</t>
  </si>
  <si>
    <t>R27a</t>
  </si>
  <si>
    <t>BP/Healthspan paid add-on attach %</t>
  </si>
  <si>
    <t>PAID add-on beyond Peak/Life subscription. Bear: 0% (FDA Jul 2025 warning kills upsell). Base: 5%. Bull: 15%. Captures incremental BP-feature monetization above tier price.</t>
  </si>
  <si>
    <t>R27b</t>
  </si>
  <si>
    <t>BP/Healthspan add-on price ($/yr)</t>
  </si>
  <si>
    <t>Bear: $0 (no product). Base: $100 add-on. Bull: $200 (premium clinical-grade tier). FDA Jan 2026 wellness-category guidance opens but doesn't unlock medical claims.</t>
  </si>
  <si>
    <t>R27c</t>
  </si>
  <si>
    <t>BP/Healthspan attach growth (YoY)</t>
  </si>
  <si>
    <t>Compounding attach growth. Real but bounded option.</t>
  </si>
  <si>
    <t>WHOOP — Member Cohort Engine</t>
  </si>
  <si>
    <t>Members in millions; cohort engine drives revenue. 2025 beginning treated as Y3+ legacy block (simplification — see note).</t>
  </si>
  <si>
    <t>Units</t>
  </si>
  <si>
    <t>Historical</t>
  </si>
  <si>
    <t>Phase 1</t>
  </si>
  <si>
    <t>Phase 2</t>
  </si>
  <si>
    <t>Phase 3</t>
  </si>
  <si>
    <t>1. Beginning Members (start of year)</t>
  </si>
  <si>
    <t>Beginning Members (total)</t>
  </si>
  <si>
    <t>M</t>
  </si>
  <si>
    <t xml:space="preserve">  of which: Year-1 cohort</t>
  </si>
  <si>
    <t xml:space="preserve">  of which: Year-2 cohort</t>
  </si>
  <si>
    <t xml:space="preserve">  of which: Year-3+ cohort</t>
  </si>
  <si>
    <t>2. Churn Rates (cohort-aged, from Assumptions)</t>
  </si>
  <si>
    <t>Year-1 churn rate</t>
  </si>
  <si>
    <t>%</t>
  </si>
  <si>
    <t>Year-2 churn rate</t>
  </si>
  <si>
    <t>Year-3+ churn rate</t>
  </si>
  <si>
    <t>3. Churned Members</t>
  </si>
  <si>
    <t xml:space="preserve">  Y1 churned</t>
  </si>
  <si>
    <t xml:space="preserve">  Y2 churned</t>
  </si>
  <si>
    <t xml:space="preserve">  Y3+ churned</t>
  </si>
  <si>
    <t>Total churned</t>
  </si>
  <si>
    <t>4. Surviving Members (end of year, before new adds)</t>
  </si>
  <si>
    <t xml:space="preserve">  Y1 survivors</t>
  </si>
  <si>
    <t xml:space="preserve">  Y2 survivors</t>
  </si>
  <si>
    <t xml:space="preserve">  Y3+ end state (incl. Y2 graduates)</t>
  </si>
  <si>
    <t>5. New Members (Gross Adds — input per year)</t>
  </si>
  <si>
    <t>Gross Adds</t>
  </si>
  <si>
    <t>6. Ending &amp; Average Members</t>
  </si>
  <si>
    <t>Ending Members</t>
  </si>
  <si>
    <t>Average Members</t>
  </si>
  <si>
    <t>7. Diagnostics (output, not input)</t>
  </si>
  <si>
    <t>Net Adds (Gross - Churned)</t>
  </si>
  <si>
    <t>Net Member Growth %</t>
  </si>
  <si>
    <t>Blended Annual Churn Rate (output)</t>
  </si>
  <si>
    <t>2025 ending vs Assumptions R3b (consistency)</t>
  </si>
  <si>
    <t>NOTE: 2025 beginning is treated as Y3+ legacy block (simplification). Replace with audited cohort splits when S-1 data is available. 2024 column is historical reference; engine fully runs 2025 onwards.</t>
  </si>
  <si>
    <t>8. Gross Adds Build (DERIVED — S&amp;M / CAC, with TAM diagnostic)</t>
  </si>
  <si>
    <t>Phase (1=2026-27, 2=2028-30, 3=2031-33)</t>
  </si>
  <si>
    <t>#</t>
  </si>
  <si>
    <t>Hist</t>
  </si>
  <si>
    <t>S&amp;M Budget ($M, % × prior-yr revenue)</t>
  </si>
  <si>
    <t>$M</t>
  </si>
  <si>
    <t>Blended CAC ($)</t>
  </si>
  <si>
    <t>$</t>
  </si>
  <si>
    <t>Unconstrained Gross Adds (M) = S&amp;M / CAC</t>
  </si>
  <si>
    <t>TAM Penetration % (diagnostic — flag if &gt;40%)</t>
  </si>
  <si>
    <t>n/a</t>
  </si>
  <si>
    <t>Final Gross Adds (M)</t>
  </si>
  <si>
    <t>ARPU Decomposition (5 components per Methodology Sec 3)</t>
  </si>
  <si>
    <t>Driven from Assumptions Section 11. Sub ARPU = tier-mix × disclosed prices + monthly premium. Labs = attach × price × tests/yr (with 2025 launch-year scaling). Accessories = baseline × (1+inflation). BP/Healthspan = attach × price (paid add-on layer). Sums to Blended ARPU on row 32; consistency check vs. Assumptions R4 below.</t>
  </si>
  <si>
    <t>Year</t>
  </si>
  <si>
    <t>Unit</t>
  </si>
  <si>
    <t>1. Subscription ARPU (tier-mix-driven)</t>
  </si>
  <si>
    <t xml:space="preserve">  Tier mix: % WHOOP One</t>
  </si>
  <si>
    <t xml:space="preserve">  Tier mix: % WHOOP Peak</t>
  </si>
  <si>
    <t xml:space="preserve">  Tier mix: % WHOOP Life</t>
  </si>
  <si>
    <t xml:space="preserve">  Sub ARPU before monthly premium</t>
  </si>
  <si>
    <t>$/yr</t>
  </si>
  <si>
    <t xml:space="preserve">  Monthly-payer premium ($14 × monthly share)</t>
  </si>
  <si>
    <t xml:space="preserve">  Sub ARPU (final)</t>
  </si>
  <si>
    <t>2. Advanced Labs ARPU (THE bucket-3 swing variable)</t>
  </si>
  <si>
    <t xml:space="preserve">  Labs attach %</t>
  </si>
  <si>
    <t xml:space="preserve">  Avg test price</t>
  </si>
  <si>
    <t xml:space="preserve">  Tests per attached member</t>
  </si>
  <si>
    <t>tests/yr</t>
  </si>
  <si>
    <t xml:space="preserve">  Launch-year scaling (2025 partial)</t>
  </si>
  <si>
    <t>factor</t>
  </si>
  <si>
    <t xml:space="preserve">  Labs ARPU (attach × price × tests)</t>
  </si>
  <si>
    <t>3. Accessories ARPU</t>
  </si>
  <si>
    <t xml:space="preserve">  Accessories ARPU</t>
  </si>
  <si>
    <t>4. BP/Healthspan ARPU (paid add-on layer)</t>
  </si>
  <si>
    <t xml:space="preserve">  BP/Healthspan attach %</t>
  </si>
  <si>
    <t xml:space="preserve">  BP/Healthspan add-on price</t>
  </si>
  <si>
    <t xml:space="preserve">  BP/Healthspan ARPU</t>
  </si>
  <si>
    <t>5. BLENDED ARPU (DERIVED)</t>
  </si>
  <si>
    <t xml:space="preserve">  Sub ARPU</t>
  </si>
  <si>
    <t xml:space="preserve">  + Labs ARPU</t>
  </si>
  <si>
    <t xml:space="preserve">  + Accessories ARPU</t>
  </si>
  <si>
    <t xml:space="preserve">  + BP/Healthspan ARPU</t>
  </si>
  <si>
    <t xml:space="preserve">  = Blended ARPU</t>
  </si>
  <si>
    <t>Consistency Check (vs. Assumptions R4 anchor)</t>
  </si>
  <si>
    <t xml:space="preserve">  R4 anchor (2025 single-line ARPU)</t>
  </si>
  <si>
    <t xml:space="preserve">  Derived (2025 sum of components)</t>
  </si>
  <si>
    <t xml:space="preserve">  Variance</t>
  </si>
  <si>
    <t xml:space="preserve">  Status</t>
  </si>
  <si>
    <t>WHOOP — Revenue Build-Up</t>
  </si>
  <si>
    <t>$M unless noted; Calendar Year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</si>
  <si>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</si>
  <si>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</si>
  <si>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</si>
  <si>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</si>
  <si>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</si>
  <si>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</si>
  <si>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</si>
  <si>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</si>
  <si>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</si>
  <si>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</si>
  <si>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1. Member Economics (linked from Members tab)</t>
  </si>
  <si>
    <t>Beginning Members</t>
  </si>
  <si>
    <t>Churned Members</t>
  </si>
  <si>
    <t>Avg Members</t>
  </si>
  <si>
    <t>Blended Annual Churn (output)</t>
  </si>
  <si>
    <t>2. ARPU (linked from ARPU tab)</t>
  </si>
  <si>
    <t>Blended ARPU</t>
  </si>
  <si>
    <t>3. Revenue Build</t>
  </si>
  <si>
    <t>Recognized Revenue (Total)</t>
  </si>
  <si>
    <t>Memo: Δ Deferred Rev Balance (flows to NWC, not P&amp;L)</t>
  </si>
  <si>
    <t>YoY Revenue Growth</t>
  </si>
  <si>
    <t>4. Bookings Reconciliation</t>
  </si>
  <si>
    <t>Implied Bookings (End × ARPU)</t>
  </si>
  <si>
    <t>Bookings/Revenue Ratio</t>
  </si>
  <si>
    <t>x</t>
  </si>
  <si>
    <t>2025 Recognized vs Assumptions R1 (consistency)</t>
  </si>
  <si>
    <t>5. Revenue by Component (feeds COGS on P&amp;L)</t>
  </si>
  <si>
    <t xml:space="preserve">  Subscription Revenue</t>
  </si>
  <si>
    <t xml:space="preserve">  Labs Revenue</t>
  </si>
  <si>
    <t xml:space="preserve">  Accessories Revenue</t>
  </si>
  <si>
    <t xml:space="preserve">  BP/Healthspan Revenue</t>
  </si>
  <si>
    <t xml:space="preserve">  Memo: Components Sum</t>
  </si>
  <si>
    <t xml:space="preserve">  Memo: Reconciliation vs row 19</t>
  </si>
  <si>
    <t>WHOOP — Projected Income Statement</t>
  </si>
  <si>
    <t>$M; Calendar Year; Scenario per Assumptions toggle</t>
  </si>
  <si>
    <t>Calibration items: see notes on F31 (2027 dip), L23 (S&amp;M architecture). Margin tapers and NOL wired; refer to CalibrationLog for status.</t>
  </si>
  <si>
    <t>Revenue</t>
  </si>
  <si>
    <t>Total Revenue</t>
  </si>
  <si>
    <t>← From Revenue Build tab</t>
  </si>
  <si>
    <t>YoY Growth</t>
  </si>
  <si>
    <t>Cost of Revenue</t>
  </si>
  <si>
    <t>Subscription COGS (% of sub rev)</t>
  </si>
  <si>
    <t>Hardware COGS (gross adds × loaded cost)</t>
  </si>
  <si>
    <t>Total COGS</t>
  </si>
  <si>
    <t>Gross Profit</t>
  </si>
  <si>
    <t>Gross Margin</t>
  </si>
  <si>
    <t xml:space="preserve">  Subscription GM</t>
  </si>
  <si>
    <t>← From Assumptions C2</t>
  </si>
  <si>
    <t xml:space="preserve">  Hardware Margin $ memo (negative = device subsidy, see Sec 6)</t>
  </si>
  <si>
    <t>n/m</t>
  </si>
  <si>
    <t>← From Assumptions C3</t>
  </si>
  <si>
    <t>Labs COGS (% of Labs rev)</t>
  </si>
  <si>
    <t>Operating Expenses</t>
  </si>
  <si>
    <t>R&amp;D</t>
  </si>
  <si>
    <t xml:space="preserve">  R&amp;D % Revenue</t>
  </si>
  <si>
    <t>← From Assumptions C7/C8</t>
  </si>
  <si>
    <t>Sales &amp; Marketing</t>
  </si>
  <si>
    <t xml:space="preserve">  S&amp;M % Revenue</t>
  </si>
  <si>
    <t>← From Assumptions C9/C10</t>
  </si>
  <si>
    <t>General &amp; Administrative</t>
  </si>
  <si>
    <t xml:space="preserve">  G&amp;A % Revenue</t>
  </si>
  <si>
    <t>← From Assumptions C11/C12</t>
  </si>
  <si>
    <t>Stock-Based Compensation</t>
  </si>
  <si>
    <t xml:space="preserve">  SBC % Revenue</t>
  </si>
  <si>
    <t>← From Assumptions C13</t>
  </si>
  <si>
    <t>Total OpEx</t>
  </si>
  <si>
    <t>Profitability</t>
  </si>
  <si>
    <t>EBITDA</t>
  </si>
  <si>
    <t>EBITDA Margin</t>
  </si>
  <si>
    <t>EBIT / Operating Income</t>
  </si>
  <si>
    <t>Operating Margin</t>
  </si>
  <si>
    <t>Rule of 40 Score</t>
  </si>
  <si>
    <t>= Revenue Growth % + EBITDA Margin %</t>
  </si>
  <si>
    <t>Below the Line</t>
  </si>
  <si>
    <t>Interest Income / (Expense)</t>
  </si>
  <si>
    <t>Pre-Tax Income</t>
  </si>
  <si>
    <t>Taxes</t>
  </si>
  <si>
    <t>Net Income</t>
  </si>
  <si>
    <t>Net Margin</t>
  </si>
  <si>
    <t>NOL Carryforward Schedule (post-TCJA, 80% utilization cap)</t>
  </si>
  <si>
    <t>Beginning NOL Balance</t>
  </si>
  <si>
    <t xml:space="preserve">  + Current Year Loss Added (if pretax &lt; 0)</t>
  </si>
  <si>
    <t xml:space="preserve">  − NOL Utilized Against Current Income</t>
  </si>
  <si>
    <t>Ending NOL Balance</t>
  </si>
  <si>
    <t>WHOOP — FCF</t>
  </si>
  <si>
    <t>Free cash flow build. ΔNWC sourced from WC &amp; Cash tab (detailed deferred-rev schedule).</t>
  </si>
  <si>
    <t>1. EBIT to NOPAT</t>
  </si>
  <si>
    <t>EBIT</t>
  </si>
  <si>
    <t>= P&amp;L EBIT (row 33)</t>
  </si>
  <si>
    <t>Less: Cash taxes on EBIT</t>
  </si>
  <si>
    <t>= P&amp;L Cash Taxes (row 40), tax-affected at effective rate</t>
  </si>
  <si>
    <t>NOPAT</t>
  </si>
  <si>
    <t>= EBIT − Cash Taxes</t>
  </si>
  <si>
    <t>2. NOPAT to Unlevered FCF</t>
  </si>
  <si>
    <t>Plus: D&amp;A</t>
  </si>
  <si>
    <t>= Revenue × D&amp;A % (Assumptions F52)</t>
  </si>
  <si>
    <t>Less: CapEx</t>
  </si>
  <si>
    <t>= −(Revenue × CapEx %) (Assumptions F48)</t>
  </si>
  <si>
    <t>Less: Change in NWC</t>
  </si>
  <si>
    <t>= From WC &amp; Cash tab (Section 3, Total ΔNWC)</t>
  </si>
  <si>
    <t>Note: SBC is REAL COST in P&amp;L — do NOT add back</t>
  </si>
  <si>
    <t>Per methodology Sec 6 — SBC stays in P&amp;L as cash-equivalent expense</t>
  </si>
  <si>
    <t>Unlevered Free Cash Flow</t>
  </si>
  <si>
    <t>= NOPAT + D&amp;A + CapEx + ΔNWC</t>
  </si>
  <si>
    <t>3. FCF Diagnostics</t>
  </si>
  <si>
    <t>FCF Margin %</t>
  </si>
  <si>
    <t>FCF / Revenue</t>
  </si>
  <si>
    <t>Rule of 40 (Growth + FCF Margin)</t>
  </si>
  <si>
    <t>Revenue Growth % + FCF Margin %</t>
  </si>
  <si>
    <t>WHOOP — Working Capital &amp; Cash Roll-Forward</t>
  </si>
  <si>
    <t>$M; pre-IPO (no debt service / dividends / buybacks). Replaces FCF-tab ΔNWC plug with explicit WC build.</t>
  </si>
  <si>
    <t>Detailed WC schedule wired into FCF tab as of this session. DCF EV impact: +$813M.</t>
  </si>
  <si>
    <t>1. Drivers</t>
  </si>
  <si>
    <t>Avg months remaining on annual sub (deferred rev)</t>
  </si>
  <si>
    <t>mo</t>
  </si>
  <si>
    <t>Inventory days (gross adds device cost)</t>
  </si>
  <si>
    <t>days</t>
  </si>
  <si>
    <t>Accounts payable days (% of total COGS)</t>
  </si>
  <si>
    <t>Other NWC (% of revenue)</t>
  </si>
  <si>
    <t>Pre-existing cash balance (start 2025)</t>
  </si>
  <si>
    <t>Series G proceeds (closed Mar 2026)</t>
  </si>
  <si>
    <t>2. Working Capital Balances (Liabilities = Source / Assets = Use)</t>
  </si>
  <si>
    <t>Deferred Revenue (= End Members × ARPU × mo/12)</t>
  </si>
  <si>
    <t>Inventory (= ~45 days of NEXT-yr hardware COGS)</t>
  </si>
  <si>
    <t>Accounts Payable (= ~18 days of total COGS)</t>
  </si>
  <si>
    <t>Other NWC (= 1.5% of revenue)</t>
  </si>
  <si>
    <t>3. Change in WC (positive = cash source)</t>
  </si>
  <si>
    <t>Δ Deferred Revenue (liability ↑ = source)</t>
  </si>
  <si>
    <t>Δ Inventory (asset ↑ = use)</t>
  </si>
  <si>
    <t>Δ Accounts Payable (liability ↑ = source)</t>
  </si>
  <si>
    <t>Δ Other NWC (asset ↑ = use)</t>
  </si>
  <si>
    <t>Total Δ NWC (cash impact)</t>
  </si>
  <si>
    <t>4. Cash Roll-Forward (pre-IPO; no debt service / dividends / buybacks)</t>
  </si>
  <si>
    <t>Beginning Cash</t>
  </si>
  <si>
    <t xml:space="preserve">  + Series G proceeds</t>
  </si>
  <si>
    <t xml:space="preserve">  + Unlevered Free Cash Flow (FCF tab)</t>
  </si>
  <si>
    <t>Ending Cash</t>
  </si>
  <si>
    <t xml:space="preserve">  Beginning Cash</t>
  </si>
  <si>
    <t xml:space="preserve">  + UFCF rebuilt: NOPAT + D&amp;A + CapEx + DETAILED ΔNWC</t>
  </si>
  <si>
    <t xml:space="preserve">  Ending Cash</t>
  </si>
  <si>
    <t>WHOOP — Discounted Cash Flow</t>
  </si>
  <si>
    <t>$M; Calendar Year; Base case below — see Sensitivity tab for ranges</t>
  </si>
  <si>
    <t>⚠ Integrity flags: TV divergence 30% (&gt;25% threshold), TV % EV 78% (&gt;75% threshold) — both improved materially after WC wiring. See notes on C30, C33</t>
  </si>
  <si>
    <t>1. Cash Flow &amp; Discounting</t>
  </si>
  <si>
    <t>Revenue (memo)</t>
  </si>
  <si>
    <t>← From P&amp;L tab</t>
  </si>
  <si>
    <t>← From FCF tab (single source of truth)</t>
  </si>
  <si>
    <t>WACC</t>
  </si>
  <si>
    <t>← Assumptions F73</t>
  </si>
  <si>
    <t>Discount Period (mid-year)</t>
  </si>
  <si>
    <t>yrs</t>
  </si>
  <si>
    <t>Mid-year convention</t>
  </si>
  <si>
    <t>Discount Factor</t>
  </si>
  <si>
    <t>PV of Unlevered FCF</t>
  </si>
  <si>
    <t>= UFCF / (1+WACC)^period</t>
  </si>
  <si>
    <t>Discounting</t>
  </si>
  <si>
    <t>← From Assumptions D1-D5</t>
  </si>
  <si>
    <t>Discount Period</t>
  </si>
  <si>
    <t>PV of FCF</t>
  </si>
  <si>
    <t>2. Terminal Value</t>
  </si>
  <si>
    <t>Terminal Year Revenue</t>
  </si>
  <si>
    <t>Terminal Year EBITDA</t>
  </si>
  <si>
    <t>Terminal Year FCF</t>
  </si>
  <si>
    <t>Exit Multiple (EV/Revenue)</t>
  </si>
  <si>
    <t>← From Assumptions D10</t>
  </si>
  <si>
    <t>Terminal Value (Exit Multiple)</t>
  </si>
  <si>
    <t>Terminal Value (Gordon Growth)</t>
  </si>
  <si>
    <t>TV Method Divergence</t>
  </si>
  <si>
    <t>If &gt;25%, an assumption is inconsistent</t>
  </si>
  <si>
    <t>Selected Terminal Value</t>
  </si>
  <si>
    <t>PV of Terminal Value</t>
  </si>
  <si>
    <t>TV as % of Total EV</t>
  </si>
  <si>
    <t>If &gt;75%, explicit forecast doing too little</t>
  </si>
  <si>
    <t>3. Enterprise Value Summary</t>
  </si>
  <si>
    <t>Sum of PV of FCFs (2026-2033)</t>
  </si>
  <si>
    <t>Enterprise Value (DCF Base)</t>
  </si>
  <si>
    <t>4. Equity Bridge</t>
  </si>
  <si>
    <t>Enterprise Value</t>
  </si>
  <si>
    <t>Less: Debt</t>
  </si>
  <si>
    <t>~$0 (minimal)</t>
  </si>
  <si>
    <t>Plus: Cash</t>
  </si>
  <si>
    <t>$600-800M est. post-Series G</t>
  </si>
  <si>
    <t>Equity Value</t>
  </si>
  <si>
    <t>Fully Diluted Shares (M)</t>
  </si>
  <si>
    <t>~900M (PremierAlts est.)</t>
  </si>
  <si>
    <t>Equity Value per Share</t>
  </si>
  <si>
    <t>$/sh</t>
  </si>
  <si>
    <t>5. Real Options (Additive)</t>
  </si>
  <si>
    <t>Correlated Success EV</t>
  </si>
  <si>
    <t>← Probability × Payoff from Assumptions</t>
  </si>
  <si>
    <t>Mixed Outcomes EV</t>
  </si>
  <si>
    <t>Correlated Failure EV</t>
  </si>
  <si>
    <t>Expected Option Value</t>
  </si>
  <si>
    <t>6. Scenario Comparison vs Series G — Framing</t>
  </si>
  <si>
    <t>DCF Base Case EV</t>
  </si>
  <si>
    <t>DCF + Options EV</t>
  </si>
  <si>
    <t>10100</t>
  </si>
  <si>
    <t>DCF Premium / (Discount) to Series G</t>
  </si>
  <si>
    <t>Base case = 'WHOOP executes plan'</t>
  </si>
  <si>
    <t>DCF + Options Premium / (Discount) to Series G</t>
  </si>
  <si>
    <t>Options = 'WHOOP earns bucket-3 narrative'</t>
  </si>
  <si>
    <t>WHOOP — Real Options</t>
  </si>
  <si>
    <t>Cluster framework: correlated outcomes, additive to DCF base case. NEVER embedded in DCF.</t>
  </si>
  <si>
    <t>Cluster</t>
  </si>
  <si>
    <t>Description</t>
  </si>
  <si>
    <t>Value ($B)</t>
  </si>
  <si>
    <t>Probability</t>
  </si>
  <si>
    <t>Weighted Value ($B)</t>
  </si>
  <si>
    <t>Correlated success</t>
  </si>
  <si>
    <t>Healthcare reimbursement + B2B clinical + Women's health all execute</t>
  </si>
  <si>
    <t>Mixed outcomes</t>
  </si>
  <si>
    <t>Geographic expansion works; healthcare stalls partially</t>
  </si>
  <si>
    <t>Correlated failure</t>
  </si>
  <si>
    <t>Healthcare thesis stalls; related options fail together</t>
  </si>
  <si>
    <t>Probability sum (must = 100%)</t>
  </si>
  <si>
    <t>Total Real Option Value (additive to DCF)</t>
  </si>
  <si>
    <t>Individual Option Probabilities (reference, not additive)</t>
  </si>
  <si>
    <t>Healthcare reimbursement</t>
  </si>
  <si>
    <t>20-30% — upgraded by CMS Innovation Center selection (Apr 2026)</t>
  </si>
  <si>
    <t>International expansion</t>
  </si>
  <si>
    <t>40-60% — note ~60% of sales already intl, partially in base</t>
  </si>
  <si>
    <t>B2B enterprise / clinical</t>
  </si>
  <si>
    <t>25-40% — Unite already ~20% of recurring, partially in base</t>
  </si>
  <si>
    <t>Women's health / fertility</t>
  </si>
  <si>
    <t>30-50% — 150% YoY women membership growth</t>
  </si>
  <si>
    <t>Noninvasive glucose monitoring</t>
  </si>
  <si>
    <t>3-7% — deliberately conservative; hardest unsolved problem</t>
  </si>
  <si>
    <t>Probability Justification — Honest Read</t>
  </si>
  <si>
    <t>Cluster probabilities (D5:D7) are methodology-anchored priors, NOT derived from individual option probabilities. Methodology Sec 4 specifies ranges: success 15-20%, mixed 40-50%, failure 30-40%. Our picks (18% / 45% / 37%) are midpoint judgments within those ranges.</t>
  </si>
  <si>
    <t>Individual option probabilities (rows 12-16) have research justification but are NOT mathematically connected to cluster probabilities. They serve as a sanity check that the cluster framing is reasonable, not as inputs to the cluster math.</t>
  </si>
  <si>
    <t>Sensitivity: at methodology's stated probability ranges, option value spans $1.5-3.5B (vs. our $2.4B central case). Each 5pp shift in success cluster probability moves option value ~$275M.</t>
  </si>
  <si>
    <t>MEMO IMPLICATION: Real option value of $2.4B is the highest-leverage, lowest-rigor input in the model. The +18% premium of DCF+Options vs Series G hinges on these probabilities. If cluster probs shift toward bear (10/40/50), DCF+Options drops to ~$10.5B — essentially in line with Series G mark, no premium.</t>
  </si>
  <si>
    <t>WHOOP — Comparable Company Analysis</t>
  </si>
  <si>
    <t>As of April 16, 2026; All USD. Comp data is PLACEHOLDER — verify against current SEC filings / market data before relying on output.</t>
  </si>
  <si>
    <t>Company</t>
  </si>
  <si>
    <t>Ticker</t>
  </si>
  <si>
    <t>Bucket</t>
  </si>
  <si>
    <t>Mkt Cap ($B)</t>
  </si>
  <si>
    <t>EV ($B)</t>
  </si>
  <si>
    <t>LTM Rev ($B)</t>
  </si>
  <si>
    <t>EV/Rev LTM</t>
  </si>
  <si>
    <t>EV/Rev NTM</t>
  </si>
  <si>
    <t>EV/EBITDA</t>
  </si>
  <si>
    <t>Op Margin</t>
  </si>
  <si>
    <t>Rev Growth</t>
  </si>
  <si>
    <t>Rule of 40</t>
  </si>
  <si>
    <t>Growth-Adj Mult</t>
  </si>
  <si>
    <t>$B</t>
  </si>
  <si>
    <t>x ÷ %</t>
  </si>
  <si>
    <t>Bucket 1: Consumer Hardware</t>
  </si>
  <si>
    <t>Garmin</t>
  </si>
  <si>
    <t>GRMN</t>
  </si>
  <si>
    <t>B1</t>
  </si>
  <si>
    <t>Bucket 2: Consumer Subscription Hybrid</t>
  </si>
  <si>
    <t>Peloton</t>
  </si>
  <si>
    <t>PTON</t>
  </si>
  <si>
    <t>B2</t>
  </si>
  <si>
    <t>Spotify</t>
  </si>
  <si>
    <t>SPOT</t>
  </si>
  <si>
    <t>Bucket 3: Health Data / Medical Device</t>
  </si>
  <si>
    <t>Dexcom</t>
  </si>
  <si>
    <t>DXCM</t>
  </si>
  <si>
    <t>B3</t>
  </si>
  <si>
    <t>ResMed</t>
  </si>
  <si>
    <t>RMD</t>
  </si>
  <si>
    <t>Masimo</t>
  </si>
  <si>
    <t>MASI</t>
  </si>
  <si>
    <t>iRhythm</t>
  </si>
  <si>
    <t>IRTC</t>
  </si>
  <si>
    <t>Bucket Summary Statistics</t>
  </si>
  <si>
    <t>B1: Hardware</t>
  </si>
  <si>
    <t>B2: Subscription (Peloton)</t>
  </si>
  <si>
    <t>B2: Subscription (Spotify)</t>
  </si>
  <si>
    <t>B3: Health Data (Median)</t>
  </si>
  <si>
    <t>B3: Health Data (Range)</t>
  </si>
  <si>
    <t>Implied WHOOP Valuation by Bucket Weighting</t>
  </si>
  <si>
    <t>Scenario</t>
  </si>
  <si>
    <t>B1 Wt</t>
  </si>
  <si>
    <t>B2 Wt</t>
  </si>
  <si>
    <t>B3 Wt</t>
  </si>
  <si>
    <t>B1 Mult</t>
  </si>
  <si>
    <t>B2 Mult</t>
  </si>
  <si>
    <t>B3 Mult</t>
  </si>
  <si>
    <t>Blended</t>
  </si>
  <si>
    <t>Impl. EV ($B)</t>
  </si>
  <si>
    <t>vs. $10.1B</t>
  </si>
  <si>
    <t>Series G Implied</t>
  </si>
  <si>
    <t>Note: Blended = (B1Wt × B1Mult) + (B2Wt × B2Mult) + (B3Wt × B3Mult). Implied EV = Blended × 2025 Revenue. vs $10.1B = Implied/Series G mark − 1.</t>
  </si>
  <si>
    <t>Revenue base: $528M (2025 recognized, from Revenue Build D19). Bookings basis would use $1,100M; methodology Sec 3 says use recognized for comp multiples.</t>
  </si>
  <si>
    <t>WHOOP Revenue Base for Implied Valuation</t>
  </si>
  <si>
    <t>2025 Recognized (model)</t>
  </si>
  <si>
    <t>2025 Bookings (methodology proxy)</t>
  </si>
  <si>
    <t>2026 Forecast (NTM)</t>
  </si>
  <si>
    <t>Active denominator</t>
  </si>
  <si>
    <t>Bookings</t>
  </si>
  <si>
    <t>Dual Back-Solve (Methodology Sec 5 — the central analytical move)</t>
  </si>
  <si>
    <t>Series G implied multiple (naive)</t>
  </si>
  <si>
    <t>B3 multiple needed (B1=20%, B2=40%, B3=40% per methodology)</t>
  </si>
  <si>
    <t xml:space="preserve">  → Premium over B3 median (5.8x)</t>
  </si>
  <si>
    <t>WHOOP growth-adjusted multiple (current)</t>
  </si>
  <si>
    <t>Bucket-3 median growth-adjusted</t>
  </si>
  <si>
    <t>WHOOP vs B3 (growth-adjusted ratio)</t>
  </si>
  <si>
    <t>READ: Naive comps say WHOOP needs B3 multiple of 16.5x (vs actual 5.8x median, +184%) to justify Series G — unrealistic. Growth-adjusted says WHOOP at 0.09 is at 20% of B3's growth-adj multiple (0.46) — cheap given growth profile. The dual back-solve resolves: Series G is paying for growth, not just bucket-3 mix.</t>
  </si>
  <si>
    <t>Key Findings (carry to memo)</t>
  </si>
  <si>
    <t>1. Naive comp comparison FAILS to defend Series G. At methodology base bucket weights (20/40/40), would need bucket-3 multiple of 16.5x — nearly 3x current B3 median (5.8x). Means Series G is not defensible on static comp math.</t>
  </si>
  <si>
    <t>2. Growth-adjusted comparison RESOLVES the gap. WHOOP at 0.09 growth-adj multiple is at 20% of B3 median (0.46). On a per-unit-of-growth basis, WHOOP is cheap — implying Series G investors are paying for the growth profile, not bucket-3 narrative alone.</t>
  </si>
  <si>
    <t>3. Implied EV from bucket-blended comps: Bear $4.7B, Base $5.4B, Bull $6.3B (using $1.1B bookings denominator). All well below Series G $10.1B — confirms growth premium is the gap, not 'wrong bucket weighting'.</t>
  </si>
  <si>
    <t>4. Comp data is PLACEHOLDER — refresh with Q1 2026 SEC filings / Bloomberg before relying on output for memo.</t>
  </si>
  <si>
    <t>WHOOP — Precedent Transactions</t>
  </si>
  <si>
    <t>2020-2026; $500M+ EV preferred; All USD</t>
  </si>
  <si>
    <t>Acquirer / Target</t>
  </si>
  <si>
    <t>Date</t>
  </si>
  <si>
    <t>EV/Rev</t>
  </si>
  <si>
    <t>Regime</t>
  </si>
  <si>
    <t>Strategic Rationale</t>
  </si>
  <si>
    <t>Google / Fitbit</t>
  </si>
  <si>
    <t>Jan 2021</t>
  </si>
  <si>
    <t>ZIRP-peak</t>
  </si>
  <si>
    <t>Wearable data acquisition; failed sub pivot</t>
  </si>
  <si>
    <t>Lululemon / Mirror</t>
  </si>
  <si>
    <t>Jul 2020</t>
  </si>
  <si>
    <t>Connected fitness content; 89% write-off</t>
  </si>
  <si>
    <t>Teladoc / Livongo</t>
  </si>
  <si>
    <t>Oct 2020</t>
  </si>
  <si>
    <t>Cross</t>
  </si>
  <si>
    <t>Digital health mega-deal; massive write-down</t>
  </si>
  <si>
    <t>Microsoft / Nuance</t>
  </si>
  <si>
    <t>Mar 2022</t>
  </si>
  <si>
    <t>Transition</t>
  </si>
  <si>
    <t>Healthcare AI voice/NLP platform</t>
  </si>
  <si>
    <t>Masimo / Sound United</t>
  </si>
  <si>
    <t>Apr 2022</t>
  </si>
  <si>
    <t>Consumer audio pivot; $675M value destruction</t>
  </si>
  <si>
    <t>CVS / Signify Health</t>
  </si>
  <si>
    <t>Sep 2022</t>
  </si>
  <si>
    <t>Home health + value-based care platform</t>
  </si>
  <si>
    <t>Amazon / One Medical</t>
  </si>
  <si>
    <t>Feb 2023</t>
  </si>
  <si>
    <t>Primary care distribution; strategic access play</t>
  </si>
  <si>
    <t>J&amp;J / Shockwave Medical</t>
  </si>
  <si>
    <t>May 2024</t>
  </si>
  <si>
    <t>Current</t>
  </si>
  <si>
    <t>OUTLIER: IVL synergies drove 2x+ peer median</t>
  </si>
  <si>
    <t>BSci / Axonics</t>
  </si>
  <si>
    <t>Nov 2024</t>
  </si>
  <si>
    <t>Neuromodulation bolt-on</t>
  </si>
  <si>
    <t>Stryker / Inari Medical</t>
  </si>
  <si>
    <t>Feb 2025</t>
  </si>
  <si>
    <t>Venous thromboembolism devices</t>
  </si>
  <si>
    <t>Danaher / Masimo</t>
  </si>
  <si>
    <t>Feb 2026</t>
  </si>
  <si>
    <t>Patient monitoring platform; pending close</t>
  </si>
  <si>
    <t>Summary by Regime &amp; Bucket</t>
  </si>
  <si>
    <t>Current-regime B3 medtech: 6.6-10.1x (median ~8.5x)</t>
  </si>
  <si>
    <t>Connected fitness deals: uniformly value-destructive</t>
  </si>
  <si>
    <t>Implied WHOOP range: $5-8B (control premium embedded; Series G is minority)</t>
  </si>
  <si>
    <t>WHOOP — Cap Table &amp; Waterfall</t>
  </si>
  <si>
    <t>Sources: Pitchbook + Cap IQ; BUILD WATERFALL FORMULAS</t>
  </si>
  <si>
    <t>Round</t>
  </si>
  <si>
    <t>Amount ($M)</t>
  </si>
  <si>
    <t>Post-Money ($B)</t>
  </si>
  <si>
    <t>Price/Share ($)</t>
  </si>
  <si>
    <t>Shares (M)</t>
  </si>
  <si>
    <t>Ownership %</t>
  </si>
  <si>
    <t>Pref Terms</t>
  </si>
  <si>
    <t>Lead Investor(s)</t>
  </si>
  <si>
    <t>Seed</t>
  </si>
  <si>
    <t>2012</t>
  </si>
  <si>
    <t>1x non-part.</t>
  </si>
  <si>
    <t>DraftKings founders</t>
  </si>
  <si>
    <t>Series A</t>
  </si>
  <si>
    <t>Sep 2014</t>
  </si>
  <si>
    <t>Accomplice, Mousse Partners</t>
  </si>
  <si>
    <t>Series B</t>
  </si>
  <si>
    <t>Sep 2016</t>
  </si>
  <si>
    <t>Foundry Group</t>
  </si>
  <si>
    <t>Series C</t>
  </si>
  <si>
    <t>Oct 2018</t>
  </si>
  <si>
    <t>IVP</t>
  </si>
  <si>
    <t>Series D</t>
  </si>
  <si>
    <t>Series E</t>
  </si>
  <si>
    <t>Aug 2021</t>
  </si>
  <si>
    <t>SoftBank Vision Fund 2</t>
  </si>
  <si>
    <t>Series F</t>
  </si>
  <si>
    <t>Mezz/Bridge</t>
  </si>
  <si>
    <t>2022-2024</t>
  </si>
  <si>
    <t>Various</t>
  </si>
  <si>
    <t>5 interim rounds (VC + debt)</t>
  </si>
  <si>
    <t>Series G</t>
  </si>
  <si>
    <t>Mar 2026</t>
  </si>
  <si>
    <t>Collaborative Fund</t>
  </si>
  <si>
    <t>Total Equity Raised:</t>
  </si>
  <si>
    <t>Key Metrics</t>
  </si>
  <si>
    <t>Authorized Preferred Shares</t>
  </si>
  <si>
    <t>537.9M</t>
  </si>
  <si>
    <t>Pitchbook</t>
  </si>
  <si>
    <t>Outstanding Common Shares</t>
  </si>
  <si>
    <t>361.2M</t>
  </si>
  <si>
    <t>Fully Diluted Shares (est.)</t>
  </si>
  <si>
    <t>~900M</t>
  </si>
  <si>
    <t>PremierAlts/Forge</t>
  </si>
  <si>
    <t>Option Pool (est.)</t>
  </si>
  <si>
    <t>~10-15% of FD</t>
  </si>
  <si>
    <t>Inferred from gap; FLAGGED_GAP</t>
  </si>
  <si>
    <t>All Preferences</t>
  </si>
  <si>
    <t>1x non-participating pari passu</t>
  </si>
  <si>
    <t>Total Liquidation Preference</t>
  </si>
  <si>
    <t>~$1.03B (floor)</t>
  </si>
  <si>
    <t>Sum of equity raised × 1x</t>
  </si>
  <si>
    <t>Waterfall at Exit Scenarios (BUILD FORMULAS)</t>
  </si>
  <si>
    <t>Bear ($5B)</t>
  </si>
  <si>
    <t>Base ($10B)</t>
  </si>
  <si>
    <t>Bull ($20B)</t>
  </si>
  <si>
    <t>Total Exit Proceeds</t>
  </si>
  <si>
    <t>Less: Liquidation Preferences</t>
  </si>
  <si>
    <t>Remaining for Pro-Rata</t>
  </si>
  <si>
    <t>Preferred Conversion Check (convert or take pref?)</t>
  </si>
  <si>
    <t>Common Share Proceeds</t>
  </si>
  <si>
    <t>Common Value per Share</t>
  </si>
  <si>
    <t>Preferred Value per Share</t>
  </si>
  <si>
    <t>Founder Equity Value (est. 12-18% FD)</t>
  </si>
  <si>
    <t>WHOOP — Valuation Football Field</t>
  </si>
  <si>
    <t>Multi-method synthesis. Each method shown with low/base/high EV. Per-share converts via Assumptions F62 (debt), F63 (cash), F55 (FD shares).</t>
  </si>
  <si>
    <t>Method</t>
  </si>
  <si>
    <t>Source</t>
  </si>
  <si>
    <t>Low EV ($B)</t>
  </si>
  <si>
    <t>Base EV ($B)</t>
  </si>
  <si>
    <t>High EV ($B)</t>
  </si>
  <si>
    <t>Low $/sh</t>
  </si>
  <si>
    <t>Base $/sh</t>
  </si>
  <si>
    <t>High $/sh</t>
  </si>
  <si>
    <t>Weight</t>
  </si>
  <si>
    <t>Wtd Base</t>
  </si>
  <si>
    <t>Note</t>
  </si>
  <si>
    <t>1. Intrinsic DCF (base case, no options)</t>
  </si>
  <si>
    <t>Sensitivity Grid 1</t>
  </si>
  <si>
    <t>Primary fundamental method. WACC × Exit Mult range.</t>
  </si>
  <si>
    <t>1b. DCF + Real Options (probability-wtd)</t>
  </si>
  <si>
    <t>DCF C53</t>
  </si>
  <si>
    <t>Cluster-modeled options (success/mixed/failure). Additive to DCF.</t>
  </si>
  <si>
    <t>2. Trading Comps (bucket-weighted, naive)</t>
  </si>
  <si>
    <t>Comps I32:I34</t>
  </si>
  <si>
    <t>Naive comp comparison — fails to defend Series G mark.</t>
  </si>
  <si>
    <t>2b. Comps applied to FORWARD revenue (NTM 2026)</t>
  </si>
  <si>
    <t>Bucket-blended × NTM Rev</t>
  </si>
  <si>
    <t>Comps applied to NTM revenue — captures near-term scaling. Diagnostic shows WHOOP valued reasonably on forward basis.</t>
  </si>
  <si>
    <t>Not yet populated</t>
  </si>
  <si>
    <t>Skipped per session decision. 5-10% memo weight max per methodology.</t>
  </si>
  <si>
    <t>4. Last-Round Implied (Series G)</t>
  </si>
  <si>
    <t>DCF C58</t>
  </si>
  <si>
    <t>Anchor only — single point. Market datapoint, not derived value.</t>
  </si>
  <si>
    <t>5. Implied IPO Trading Range</t>
  </si>
  <si>
    <t>Assumptions C94/D94/E94</t>
  </si>
  <si>
    <t>Back-solve: $10.1B ÷ (1−illiquidity) ÷ (1−IPO discount). Bull = lower discounts, lower implied; Bear = higher discounts, higher implied.</t>
  </si>
  <si>
    <t>Weight Check</t>
  </si>
  <si>
    <t>= Σ(weight × base EV) per method</t>
  </si>
  <si>
    <t>Premium / (Discount) to Series G</t>
  </si>
  <si>
    <t>Positive = methods support a higher mark; negative = Series G is rich.</t>
  </si>
  <si>
    <t>Method Range Summary</t>
  </si>
  <si>
    <t>Lowest method base</t>
  </si>
  <si>
    <t>Highest method base</t>
  </si>
  <si>
    <t>Range across methods</t>
  </si>
  <si>
    <t>Memo Read</t>
  </si>
  <si>
    <t>Multi-method synthesis lands at $8.6B / $22.75 per share, ~14% below Series G $10.1B / $26.32. Methods range $4.4B (forward comps) to $14.0B (IPO range). DCF is the analytical anchor at $9.5B; comps applied to either current or forward revenue undershoot Series G materially — confirming Series G investors are paying a growth premium not captured in static comp math. Real options ($2.4B additive to DCF) bridge most of the gap. IPO range implies $13-15B which is consistent with Series G investors targeting 25%+ IRR over a 15-month hold to IPO.</t>
  </si>
  <si>
    <t>Chart Data (helper table for visual)</t>
  </si>
  <si>
    <t>Low (offset)</t>
  </si>
  <si>
    <t>Range (visible bar)</t>
  </si>
  <si>
    <t>Base marker</t>
  </si>
  <si>
    <t>Series G ref</t>
  </si>
  <si>
    <t>1. Intrinsic DCF</t>
  </si>
  <si>
    <t>1b. DCF + Options</t>
  </si>
  <si>
    <t>2. Comps (LTM)</t>
  </si>
  <si>
    <t>2b. Comps (NTM)</t>
  </si>
  <si>
    <t>4. Last-Round Implied</t>
  </si>
  <si>
    <t>5. IPO Range</t>
  </si>
  <si>
    <t>Weighted Avg</t>
  </si>
  <si>
    <t>WHOOP — Scenario Summary</t>
  </si>
  <si>
    <t>Scenario EV by method; weight sensitivity grid. Populate after DCF + Comps are wired.</t>
  </si>
  <si>
    <t>Bear ($B)</t>
  </si>
  <si>
    <t>Base ($B)</t>
  </si>
  <si>
    <t>Bull ($B)</t>
  </si>
  <si>
    <t>1. Intrinsic DCF (base)</t>
  </si>
  <si>
    <t>Link from DCF tab</t>
  </si>
  <si>
    <t xml:space="preserve">   + Real Options</t>
  </si>
  <si>
    <t>Link from RealOptions tab</t>
  </si>
  <si>
    <t>2. Trading Comps (3-bucket)</t>
  </si>
  <si>
    <t>Link from Comps tab</t>
  </si>
  <si>
    <t>Link from Precedents tab</t>
  </si>
  <si>
    <t>Series G mark = $10.1B (constant)</t>
  </si>
  <si>
    <t>Link from Assumptions I5</t>
  </si>
  <si>
    <t>Probability Weight Sensitivity</t>
  </si>
  <si>
    <t>Weight Scheme</t>
  </si>
  <si>
    <t>Bear Wt</t>
  </si>
  <si>
    <t>Base Wt</t>
  </si>
  <si>
    <t>Bull Wt</t>
  </si>
  <si>
    <t>Weighted EV ($B)</t>
  </si>
  <si>
    <t>Pessimistic</t>
  </si>
  <si>
    <t>Neutral (base)</t>
  </si>
  <si>
    <t>Optimistic</t>
  </si>
  <si>
    <t>WHOOP — Sensitivity Analysis</t>
  </si>
  <si>
    <t>Base case anchored: WACC 10.85%, Exit Mult 4.5x, Terminal Growth 3.0%, CSRP 2.0% → EV $9.54B / Equity $10.23B / $24.95 per share. Yellow cell = base case.</t>
  </si>
  <si>
    <t>Grid 1: WACC × Exit Multiple → Enterprise Value ($B)</t>
  </si>
  <si>
    <t>WACC ↓ / Exit Mult (EV/Rev) →</t>
  </si>
  <si>
    <t>Grid 2: WACC × Terminal Growth (Gordon Method) → Enterprise Value ($B)</t>
  </si>
  <si>
    <t>WACC ↓ / Terminal Growth →</t>
  </si>
  <si>
    <t>Grid 3: Beta × CSRP → Resulting WACC (per methodology Sec 8)</t>
  </si>
  <si>
    <t>Beta ↓ / CSRP →</t>
  </si>
  <si>
    <t>Grid 3b: Same Beta × CSRP applied to DCF → EV ($B) at base 4.5x exit</t>
  </si>
  <si>
    <t>Summary — Equity Value per Share Range</t>
  </si>
  <si>
    <t>Per Share Range ($)</t>
  </si>
  <si>
    <t>Grid 1: WACC × Exit Multiple</t>
  </si>
  <si>
    <t>Grid 2: WACC × Terminal Growth (Gordon)</t>
  </si>
  <si>
    <t>Grid 3b: Beta × CSRP → EV</t>
  </si>
  <si>
    <t>Series G mark $10.1B = $24.63 implied per share. Base DCF base case = $24.95 (-1.3% premium).</t>
  </si>
  <si>
    <t>WHOOP — Diagnostic Checks</t>
  </si>
  <si>
    <t>Automated integrity checks per methodology Sec 9. ANY red FAIL must be resolved before output is trusted.</t>
  </si>
  <si>
    <t>Computed</t>
  </si>
  <si>
    <t>Threshold</t>
  </si>
  <si>
    <t>1. Members × ARPU ≈ Revenue (2025)</t>
  </si>
  <si>
    <t>&lt;5%</t>
  </si>
  <si>
    <t>Avg members × blended ARPU should reconcile to consumer revenue</t>
  </si>
  <si>
    <t>2. S&amp;M coverage: Members.S&amp;M$ ≤ P&amp;L.S&amp;M (2026)</t>
  </si>
  <si>
    <t>&lt;$1M</t>
  </si>
  <si>
    <t>P&amp;L S&amp;M = Members.row 46 (single source); should match exactly</t>
  </si>
  <si>
    <t>3. Comp bucket weights sum = 100%</t>
  </si>
  <si>
    <t>=100%</t>
  </si>
  <si>
    <t>B1+B2+B3 weights must total 1.0</t>
  </si>
  <si>
    <t>4. TV &lt; 75% of total EV (DCF)</t>
  </si>
  <si>
    <t>&lt;75%</t>
  </si>
  <si>
    <t>Methodology Sec 4: TV &gt;75% means explicit forecast doing too little</t>
  </si>
  <si>
    <t>5. Exit Multiple ↔ Gordon TV divergence</t>
  </si>
  <si>
    <t>&lt;25%</t>
  </si>
  <si>
    <t>Methodology Sec 4: divergence &gt;25% means assumption inconsistency</t>
  </si>
  <si>
    <t>6. Real options probability sum = 100%</t>
  </si>
  <si>
    <t>Cluster probabilities (success/mixed/failure) must sum to 1.0</t>
  </si>
  <si>
    <t>7. WACC &gt; Perpetuity growth (Gordon validity)</t>
  </si>
  <si>
    <t>&gt;0%</t>
  </si>
  <si>
    <t>Required for Gordon Growth perpetuity to converge; safer if &gt;3pp</t>
  </si>
  <si>
    <t>8. Gross adds vs historical peak (any year)</t>
  </si>
  <si>
    <t>&lt;2.0x</t>
  </si>
  <si>
    <t>Methodology Sec 9: peak gross adds shouldn't exceed 2x base year</t>
  </si>
  <si>
    <t>9. Rule of 40 ≥ 20 by Phase 3</t>
  </si>
  <si>
    <t>≥20</t>
  </si>
  <si>
    <t>Min Rule of 40 across 2031-2033 forecast</t>
  </si>
  <si>
    <t>Summary</t>
  </si>
  <si>
    <t>Total checks</t>
  </si>
  <si>
    <t>Research File Index</t>
  </si>
  <si>
    <t>File</t>
  </si>
  <si>
    <t>Contents</t>
  </si>
  <si>
    <t>Session</t>
  </si>
  <si>
    <t>research/whoop-research-brief.md</t>
  </si>
  <si>
    <t>Structured research brief</t>
  </si>
  <si>
    <t>S0</t>
  </si>
  <si>
    <t>research/whoop-pitchbook-data.md</t>
  </si>
  <si>
    <t>Pitchbook: cap table, funding, financials</t>
  </si>
  <si>
    <t>research/whoop-capiq-data.md</t>
  </si>
  <si>
    <t>Cap IQ: dilution waterfall, investors</t>
  </si>
  <si>
    <t>research/oura-pitchbook-data.md</t>
  </si>
  <si>
    <t>Oura private comp profile ($11B)</t>
  </si>
  <si>
    <t>research/peloton-10k-analysis.md</t>
  </si>
  <si>
    <t>Peloton deep dive (revenue, margins, subs)</t>
  </si>
  <si>
    <t>research/web-research-sweep.md</t>
  </si>
  <si>
    <t>Market data, Forge, Garmin, Strava</t>
  </si>
  <si>
    <t>research/revenue-bookings-reconciliation.md</t>
  </si>
  <si>
    <t>$1.1B bookings vs revenue, ARPU, churn grids</t>
  </si>
  <si>
    <t>research/investor-deep-research.md</t>
  </si>
  <si>
    <t>Series G investor analysis</t>
  </si>
  <si>
    <t>research/stress-test-international-revenue.md</t>
  </si>
  <si>
    <t>60% intl claim verification</t>
  </si>
  <si>
    <t>research/stress-test-revenue-reconciliation.md</t>
  </si>
  <si>
    <t>Revenue stress test (base: $650M)</t>
  </si>
  <si>
    <t>research/comp-dexcom-dxcm.md</t>
  </si>
  <si>
    <t>Dexcom 10-K (5yr financials)</t>
  </si>
  <si>
    <t>research/comp-garmin-grmn.md</t>
  </si>
  <si>
    <t>Garmin 10-K (5yr, 5 segments)</t>
  </si>
  <si>
    <t>research/comp-resmed-rmd.md</t>
  </si>
  <si>
    <t>ResMed 10-K (connected device + SaaS)</t>
  </si>
  <si>
    <t>research/comp-masimo-masi.md</t>
  </si>
  <si>
    <t>Masimo 10-K (Danaher deal, Sound United)</t>
  </si>
  <si>
    <t>research/comp-irhythm-irtc.md</t>
  </si>
  <si>
    <t>iRhythm 10-K (cardiac wearable + SaaS)</t>
  </si>
  <si>
    <t>research/comp-spotify-spot.md</t>
  </si>
  <si>
    <t>Spotify 20-F (751M MAU, profitability inflection)</t>
  </si>
  <si>
    <t>research/comp-peloton-pton.md</t>
  </si>
  <si>
    <t>Peloton comp profile (trading multiples)</t>
  </si>
  <si>
    <t>research/comp-trading-multiples-summary.md</t>
  </si>
  <si>
    <t>Master multiples + bucket analysis</t>
  </si>
  <si>
    <t>research/damodaran-wacc-inputs.md</t>
  </si>
  <si>
    <t>ERP 4.23%, betas, risk-free 4.3%</t>
  </si>
  <si>
    <t>research/comp-historical-multiples-v19.md</t>
  </si>
  <si>
    <t>3yr time variance: DXCM 13.8x→5.0x</t>
  </si>
  <si>
    <t>research/peloton-10k-gaps.md</t>
  </si>
  <si>
    <t>S&amp;M/G&amp;A split (XBRL), SBC history</t>
  </si>
  <si>
    <t>research/secondary-market-pricing.md</t>
  </si>
  <si>
    <t>Forge/Hiive/EquityZen, DLOM analysis</t>
  </si>
  <si>
    <t>research/precedent-transactions.md</t>
  </si>
  <si>
    <t>14 deals, 3-bucket M&amp;A analysis</t>
  </si>
  <si>
    <t>Web Sources (this build)</t>
  </si>
  <si>
    <t>Used For</t>
  </si>
  <si>
    <t>URL / Reference</t>
  </si>
  <si>
    <t>Date Accessed</t>
  </si>
  <si>
    <t>BusinessWire (WHOOP press release)</t>
  </si>
  <si>
    <t>Advanced Labs pricing: $199/$349/$599 (1/2/4 tests/yr); 350K waitlist on launch</t>
  </si>
  <si>
    <t>businesswire.com/news/home/20250930178710/</t>
  </si>
  <si>
    <t>Sept 30, 2025 launch</t>
  </si>
  <si>
    <t>Boston Globe</t>
  </si>
  <si>
    <t>Women's blood test add-on $299; 150% YoY women membership growth; staff +75%</t>
  </si>
  <si>
    <t>bostonglobe.com/2026/03/10/business/whoop-299-blood-testing-service-women/</t>
  </si>
  <si>
    <t>WHOOP Membership page</t>
  </si>
  <si>
    <t>Tier pricing: One ~$199, Peak ~$239-279, Life ~$359; BP &amp; Healthspan bundled in Peak/Life</t>
  </si>
  <si>
    <t>whoop.com/us/en/membership/</t>
  </si>
  <si>
    <t>WHOOP BP Insights page</t>
  </si>
  <si>
    <t>BP Insights bundled in Peak &amp; Life (NOT separate paid feature)</t>
  </si>
  <si>
    <t>whoop.com/us/en/thelocker/blood-pressure-insights/</t>
  </si>
  <si>
    <t>Bloomberg</t>
  </si>
  <si>
    <t>May 2025 hardware launch: WHOOP 5.0 + WHOOP MG (medical grade); subscription from $199</t>
  </si>
  <si>
    <t>bloomberg.com/news/features/2025-05-08/review-whoop-5-0-whoop-mg</t>
  </si>
  <si>
    <t>TechCrunch</t>
  </si>
  <si>
    <t>Function Health $500/yr quarterly (comp price point); Fountain Life $20K/yr</t>
  </si>
  <si>
    <t>techcrunch.com/2025/09/30/whoop-opens-its-blood-testing-service/</t>
  </si>
  <si>
    <t>WHOOP Valuation — Calibration &amp; Open Items Log</t>
  </si>
  <si>
    <t>Items deferred for next session. Each is non-blocking but should be addressed before relying on numbers for IC/memo. Sorted by priority.</t>
  </si>
  <si>
    <t>Tab</t>
  </si>
  <si>
    <t>Cell / Area</t>
  </si>
  <si>
    <t>Issue</t>
  </si>
  <si>
    <t>Suggested fix</t>
  </si>
  <si>
    <t>Priority</t>
  </si>
  <si>
    <t>DCF</t>
  </si>
  <si>
    <t>C30</t>
  </si>
  <si>
    <t>TV divergence 55% (Exit Mult $16.1B vs Gordon $9.1B); methodology threshold 25%</t>
  </si>
  <si>
    <t>Lower exit mult to ~3.0x for Gordon equivalence, OR accept divergence as bull bias on terminal multiple compression</t>
  </si>
  <si>
    <t>Open</t>
  </si>
  <si>
    <t>C33</t>
  </si>
  <si>
    <t>TV is 85% of total EV; methodology threshold 75%; explicit forecast doing only 15% of work</t>
  </si>
  <si>
    <t>Tighten R&amp;D/G&amp;A tapers (raises FCF in forecast period), OR extend horizon from 8 to 10 years</t>
  </si>
  <si>
    <t>P&amp;L</t>
  </si>
  <si>
    <t>L31</t>
  </si>
  <si>
    <t>Margin tapers calibrated against bucket-3 peer benchmarks. R&amp;D scenarios spread (Bear 12% / Base 15% / Bull 18%) reflect platform thesis. G&amp;A 13/11/9 per Dexcom/ResMed anchors. SBC restructured: now interpolates from F47 (current) to F48 (terminal), 14%→8% Base. Terminal EBITDA: 36% → 33%.</t>
  </si>
  <si>
    <t>DONE — Assumptions C40/D40/E40 (R&amp;D), C46/D46/E46 (G&amp;A), C47-E47 (SBC current), C48-E48 (SBC terminal, NEW row inserted). P&amp;L row 26 SBC formula updated to interpolate.</t>
  </si>
  <si>
    <t>Done</t>
  </si>
  <si>
    <t>RESOLVED</t>
  </si>
  <si>
    <t>D38</t>
  </si>
  <si>
    <t>Interest income wired — prior-yr cash × yield (Assumptions F66, 3.5% base). 2026-2033 NI uplift ~$300M cumulative. Non-circular: does NOT flow into UFCF.</t>
  </si>
  <si>
    <t>DONE — P&amp;L D38:L38 wired to WC &amp; Cash row 32 × Assumptions F66</t>
  </si>
  <si>
    <t>F31</t>
  </si>
  <si>
    <t>2027 EBITDA margin dips 22→12% from gross adds bulge (1.24M units → hardware COGS spike)</t>
  </si>
  <si>
    <t>Smooth Members E50:F50 to even gross adds across Phase 1, OR accept as Phase 1 deployment shape</t>
  </si>
  <si>
    <t>L23</t>
  </si>
  <si>
    <t>S&amp;M as % current revenue runs 16-20% vs methodology stated 30%</t>
  </si>
  <si>
    <t>Architecture-driven gap from prior-yr-rev basis. Either restate methodology, OR raise Members S&amp;M phase % inputs</t>
  </si>
  <si>
    <t>D40</t>
  </si>
  <si>
    <t>NOL carryforward wired — P&amp;L rows 44-48. Begin/Add/Util/End schedule with 80% TCJA utilization cap. Self-balancing: any future losses auto-flow to NOL pool.</t>
  </si>
  <si>
    <t>DONE — P&amp;L D40:L40 tax formula updated to MAX(0, Pretax − NOL_Util) × 23%. 2026/2027 NI uplift modest (~$14M, $7M) at current pretax.</t>
  </si>
  <si>
    <t>Revenue Build</t>
  </si>
  <si>
    <t>Row 19</t>
  </si>
  <si>
    <t>$528M 2025 revenue vs $650M methodology target; gap is Unite B2B + Coach</t>
  </si>
  <si>
    <t>Add Unite B2B as separate revenue line on Revenue Build (Path C). $80-120M anchor.</t>
  </si>
  <si>
    <t>ARPU</t>
  </si>
  <si>
    <t>D34</t>
  </si>
  <si>
    <t>Derived ARPU $278 vs methodology anchor $338 (-17.7% gap)</t>
  </si>
  <si>
    <t>Largely resolved by Unite B2B path above. Revisit anchor language in methodology after.</t>
  </si>
  <si>
    <t>Linked</t>
  </si>
  <si>
    <t>FCF</t>
  </si>
  <si>
    <t>L17</t>
  </si>
  <si>
    <t>FCF margin 19% in 2033, ~5pp below methodology terminal prior of 25-28%</t>
  </si>
  <si>
    <t>Will resolve when EBITDA tapers tightened (linked to L31). Or lower CapEx % from 4% to 3%.</t>
  </si>
  <si>
    <t>Open Tabs / Builds Pending</t>
  </si>
  <si>
    <t>Balance Sheet</t>
  </si>
  <si>
    <t>Not yet built. Unlocks interest income wiring, NWC validation, cash build through forecast.</t>
  </si>
  <si>
    <t>Next</t>
  </si>
  <si>
    <t>Three grids built and live: WACC × Exit Mult, WACC × Terminal Growth (Gordon), Beta × CSRP → EV. Per-share range $14.8-33.7 across method combinations.</t>
  </si>
  <si>
    <t>Football Field</t>
  </si>
  <si>
    <t>Multi-method synthesis live with chart visualization. 5 methods wired to live sources. Weighted avg $8.6B / $22.75 per share, ~14.5% below Series G. Range bar chart added at A29 helper table; Series G $10.1B reference line overlay. Methods range $4.4B (forward comps) to $14.0B (IPO range).</t>
  </si>
  <si>
    <t>DONE — Football Field tab fully wired. All cells formula-driven from DCF / Sensitivity / Comps / Assumptions / RealOptions.</t>
  </si>
  <si>
    <t>Comps</t>
  </si>
  <si>
    <t>Three-bucket framework wired. Per-comp data placeholder (verify vs SEC/Bloomberg). Bucket summary stats (median + range), implied valuation table by scenario, dual back-solve (naive vs growth-adjusted) all live. Implied EVs: Bear $4.7B, Base $5.4B, Bull $6.3B vs Series G $10.1B.</t>
  </si>
  <si>
    <t>DONE — Comps tab fully wired. Data placeholder; refresh with current trading multiples before relying on output.</t>
  </si>
  <si>
    <t>WIRED (data needs refresh)</t>
  </si>
  <si>
    <t>Precedents</t>
  </si>
  <si>
    <t>Tab exists; needs deals populated per Assumptions Sec 8.</t>
  </si>
  <si>
    <t>Later</t>
  </si>
  <si>
    <t>ΔNWC</t>
  </si>
  <si>
    <t>FCF row 15</t>
  </si>
  <si>
    <t>FCF tab now uses detailed WC schedule (was 8% plug). DCF EV +$813M to $9.54B; per share +$1.98 to $24.95.</t>
  </si>
  <si>
    <t>DONE — FCF!D15:L15 wired to 'WC &amp; Cash'!D25:L25</t>
  </si>
  <si>
    <t>Framing</t>
  </si>
  <si>
    <t>Cover B56:B58, DCF A55</t>
  </si>
  <si>
    <t>Discussed and decided: bucket-3 weight is expressed via 4.5x exit multiple (50% compressed from B3 ~9x), NOT via P&amp;L margin compression. Base case 33% terminal EBITDA reflects WHOOP's natural subscription economics if executed. Real options carry the bucket-3-becoming-true upside as separate value source. No double-counting risk verified.</t>
  </si>
  <si>
    <t>DONE — Framing documented on Cover B56:B58 and DCF A55. Base case held; options held. No further OpEx changes.</t>
  </si>
  <si>
    <t>Real Options</t>
  </si>
  <si>
    <t>RealOptions C5:D7</t>
  </si>
  <si>
    <t>Cluster probabilities (18/45/37) and values ($5.5/$2.5/$0.75B) are methodology-anchored priors, NOT derived from research. Highest-leverage, lowest-rigor input. $2.4B option value swings $1.5-3.5B across reasonable probability ranges. The +18% premium of DCF+Options to Series G is sensitive to this judgment.</t>
  </si>
  <si>
    <t>Acknowledged in memo as judgment input. Notes added to RealOptions C5:D7 and A18:A22. No model change; flagged for memo discussion of sensitivity.</t>
  </si>
  <si>
    <t>Memo flag</t>
  </si>
  <si>
    <t>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</si>
</sst>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%"/>
    <numFmt numFmtId="165" formatCode="\$#,##0"/>
    <numFmt numFmtId="166" formatCode="0.0\x"/>
    <numFmt numFmtId="167" formatCode="0.0"/>
    <numFmt numFmtId="168" formatCode="\$#,##0.00"/>
    <numFmt numFmtId="169" formatCode="0.0&quot;x&quot;"/>
    <numFmt numFmtId="170" formatCode="0.00&quot;x&quot;"/>
    <numFmt numFmtId="171" formatCode="0.0%;\(0.0%\);\-"/>
    <numFmt numFmtId="172" formatCode="&quot;$&quot;#,##0;\(&quot;$&quot;#,##0\);\-"/>
    <numFmt numFmtId="173" formatCode="0.0;\(0.0\);\-"/>
    <numFmt numFmtId="174" formatCode="0.000"/>
    <numFmt numFmtId="175" formatCode="&quot;$&quot;#,##0.00"/>
    <numFmt numFmtId="176" formatCode="0.00%;\(0.00%\);\-"/>
    <numFmt numFmtId="177" formatCode="&quot;$&quot;#,##0&quot; M&quot;"/>
    <numFmt numFmtId="178" formatCode="&quot;$&quot;0.00"/>
  </numFmts>
  <fonts count="63">
    <font>
      <sz val="11"/>
      <color theme="1"/>
      <name val="Calibri"/>
      <family val="2"/>
      <scheme val="minor"/>
    </font>
    <font>
      <b/>
      <sz val="24"/>
      <name val="Calibri"/>
      <family val="2"/>
    </font>
    <font>
      <sz val="16"/>
      <color rgb="FF666666"/>
      <name val="Calibri"/>
      <family val="2"/>
    </font>
    <font>
      <sz val="11"/>
      <color rgb="FF666666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CC0000"/>
      <name val="Calibri"/>
      <family val="2"/>
    </font>
    <font>
      <i/>
      <sz val="9"/>
      <color rgb="FF666666"/>
      <name val="Calibri"/>
      <family val="2"/>
    </font>
    <font>
      <b/>
      <sz val="14"/>
      <color rgb="FF000000"/>
      <name val="Calibri"/>
      <family val="2"/>
    </font>
    <font>
      <i/>
      <sz val="9"/>
      <color rgb="FF999999"/>
      <name val="Calibri"/>
      <family val="2"/>
    </font>
    <font>
      <b/>
      <sz val="10"/>
      <color rgb="FFFFFFFF"/>
      <name val="Calibri"/>
      <family val="2"/>
    </font>
    <font>
      <sz val="9"/>
      <color rgb="FF666666"/>
      <name val="Calibri"/>
      <family val="2"/>
    </font>
    <font>
      <b/>
      <sz val="10"/>
      <color rgb="FFC00000"/>
      <name val="Calibri"/>
      <family val="2"/>
    </font>
    <font>
      <b/>
      <sz val="11"/>
      <color rgb="FFFFFFFF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</font>
    <font>
      <b/>
      <i/>
      <sz val="9"/>
      <color rgb="FF666666"/>
      <name val="Calibri"/>
      <family val="2"/>
    </font>
    <font>
      <sz val="11"/>
      <color rgb="FF666666"/>
      <name val="Calibri"/>
      <family val="2"/>
      <scheme val="minor"/>
    </font>
    <font>
      <i/>
      <sz val="10"/>
      <color rgb="FF999999"/>
      <name val="Calibri"/>
      <family val="2"/>
    </font>
    <font>
      <b/>
      <sz val="10"/>
      <color rgb="FF0000FF"/>
      <name val="Calibri"/>
      <family val="2"/>
    </font>
    <font>
      <i/>
      <sz val="9"/>
      <color rgb="FF999999"/>
      <name val="Calibri"/>
      <family val="2"/>
      <scheme val="minor"/>
    </font>
    <font>
      <b/>
      <i/>
      <sz val="10"/>
      <color rgb="FFC00000"/>
      <name val="Calibri"/>
      <family val="2"/>
    </font>
    <font>
      <sz val="11"/>
      <color rgb="FF806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3"/>
      <color rgb="FFFFFFFF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9"/>
      <color rgb="FF006100"/>
      <name val="Calibri"/>
      <family val="2"/>
      <scheme val="minor"/>
    </font>
    <font>
      <i/>
      <sz val="9"/>
      <color rgb="FF806000"/>
      <name val="Calibri"/>
      <family val="2"/>
      <scheme val="minor"/>
    </font>
    <font>
      <i/>
      <sz val="9"/>
      <color rgb="FFC00000"/>
      <name val="Calibri"/>
      <family val="2"/>
    </font>
    <font>
      <b/>
      <sz val="11"/>
      <color rgb="FF80600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i/>
      <sz val="11"/>
      <color rgb="FF999999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0"/>
      <color rgb="FF000000"/>
      <name val="Calibri"/>
      <family val="2"/>
    </font>
    <font>
      <b/>
      <i/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medium">
        <color auto="1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6" fillId="4" borderId="0" xfId="0" applyFont="1" applyFill="1"/>
    <xf numFmtId="3" fontId="5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5" fontId="5" fillId="0" borderId="0" xfId="0" applyNumberFormat="1" applyFont="1"/>
    <xf numFmtId="3" fontId="7" fillId="0" borderId="0" xfId="0" applyNumberFormat="1" applyFont="1"/>
    <xf numFmtId="166" fontId="7" fillId="0" borderId="0" xfId="0" applyNumberFormat="1" applyFont="1"/>
    <xf numFmtId="3" fontId="8" fillId="0" borderId="0" xfId="0" applyNumberFormat="1" applyFont="1"/>
    <xf numFmtId="164" fontId="8" fillId="0" borderId="0" xfId="0" applyNumberFormat="1" applyFont="1"/>
    <xf numFmtId="166" fontId="8" fillId="0" borderId="0" xfId="0" applyNumberFormat="1" applyFont="1"/>
    <xf numFmtId="168" fontId="7" fillId="0" borderId="0" xfId="0" applyNumberFormat="1" applyFont="1"/>
    <xf numFmtId="167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" fontId="7" fillId="0" borderId="0" xfId="0" applyNumberFormat="1" applyFont="1"/>
    <xf numFmtId="2" fontId="5" fillId="0" borderId="0" xfId="0" applyNumberFormat="1" applyFont="1"/>
    <xf numFmtId="0" fontId="9" fillId="0" borderId="0" xfId="0" applyFont="1"/>
    <xf numFmtId="168" fontId="5" fillId="0" borderId="0" xfId="0" applyNumberFormat="1" applyFont="1"/>
    <xf numFmtId="0" fontId="7" fillId="0" borderId="0" xfId="0" applyFont="1" applyAlignment="1">
      <alignment horizontal="left" vertical="center" wrapText="1"/>
    </xf>
    <xf numFmtId="2" fontId="7" fillId="0" borderId="0" xfId="0" applyNumberFormat="1" applyFont="1" applyAlignment="1">
      <alignment horizontal="right" vertical="center"/>
    </xf>
    <xf numFmtId="2" fontId="7" fillId="5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2" fontId="7" fillId="6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3" fontId="7" fillId="6" borderId="0" xfId="0" applyNumberFormat="1" applyFont="1" applyFill="1" applyAlignment="1">
      <alignment horizontal="right" vertical="center"/>
    </xf>
    <xf numFmtId="168" fontId="5" fillId="6" borderId="0" xfId="0" applyNumberFormat="1" applyFont="1" applyFill="1" applyAlignment="1">
      <alignment horizontal="right" vertical="center"/>
    </xf>
    <xf numFmtId="168" fontId="7" fillId="6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10" fontId="7" fillId="5" borderId="0" xfId="0" applyNumberFormat="1" applyFont="1" applyFill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5" fillId="7" borderId="0" xfId="0" applyNumberFormat="1" applyFont="1" applyFill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168" fontId="5" fillId="0" borderId="0" xfId="0" applyNumberFormat="1" applyFont="1" applyAlignment="1">
      <alignment horizontal="right" vertical="center"/>
    </xf>
    <xf numFmtId="168" fontId="7" fillId="5" borderId="0" xfId="0" applyNumberFormat="1" applyFont="1" applyFill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170" fontId="7" fillId="0" borderId="0" xfId="0" applyNumberFormat="1" applyFont="1" applyAlignment="1">
      <alignment horizontal="right" vertical="center"/>
    </xf>
    <xf numFmtId="0" fontId="18" fillId="0" borderId="0" xfId="0" applyFont="1"/>
    <xf numFmtId="164" fontId="21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21" fillId="9" borderId="0" xfId="0" applyNumberFormat="1" applyFont="1" applyFill="1" applyAlignment="1">
      <alignment horizontal="right"/>
    </xf>
    <xf numFmtId="164" fontId="19" fillId="9" borderId="0" xfId="0" applyNumberFormat="1" applyFont="1" applyFill="1" applyAlignment="1">
      <alignment horizontal="right"/>
    </xf>
    <xf numFmtId="2" fontId="19" fillId="0" borderId="0" xfId="0" applyNumberFormat="1" applyFont="1" applyAlignment="1">
      <alignment horizontal="right"/>
    </xf>
    <xf numFmtId="1" fontId="18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right"/>
    </xf>
    <xf numFmtId="2" fontId="24" fillId="10" borderId="0" xfId="0" applyNumberFormat="1" applyFont="1" applyFill="1" applyAlignment="1">
      <alignment horizontal="right"/>
    </xf>
    <xf numFmtId="3" fontId="26" fillId="0" borderId="0" xfId="0" applyNumberFormat="1" applyFont="1" applyAlignment="1">
      <alignment horizontal="right"/>
    </xf>
    <xf numFmtId="1" fontId="21" fillId="9" borderId="0" xfId="0" applyNumberFormat="1" applyFont="1" applyFill="1" applyAlignment="1">
      <alignment horizontal="right"/>
    </xf>
    <xf numFmtId="1" fontId="19" fillId="9" borderId="0" xfId="0" applyNumberFormat="1" applyFont="1" applyFill="1" applyAlignment="1">
      <alignment horizontal="right"/>
    </xf>
    <xf numFmtId="167" fontId="21" fillId="0" borderId="0" xfId="0" applyNumberFormat="1" applyFont="1" applyAlignment="1">
      <alignment horizontal="right"/>
    </xf>
    <xf numFmtId="167" fontId="19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right"/>
    </xf>
    <xf numFmtId="171" fontId="23" fillId="0" borderId="0" xfId="0" applyNumberFormat="1" applyFont="1" applyAlignment="1">
      <alignment horizontal="right"/>
    </xf>
    <xf numFmtId="0" fontId="27" fillId="0" borderId="0" xfId="0" applyFont="1"/>
    <xf numFmtId="164" fontId="20" fillId="0" borderId="0" xfId="0" applyNumberFormat="1" applyFont="1"/>
    <xf numFmtId="164" fontId="0" fillId="0" borderId="0" xfId="0" applyNumberFormat="1"/>
    <xf numFmtId="167" fontId="20" fillId="0" borderId="0" xfId="0" applyNumberFormat="1" applyFont="1"/>
    <xf numFmtId="164" fontId="20" fillId="12" borderId="0" xfId="0" applyNumberFormat="1" applyFont="1" applyFill="1"/>
    <xf numFmtId="167" fontId="0" fillId="0" borderId="0" xfId="0" applyNumberFormat="1"/>
    <xf numFmtId="0" fontId="28" fillId="0" borderId="0" xfId="0" applyFont="1"/>
    <xf numFmtId="0" fontId="28" fillId="10" borderId="0" xfId="0" applyFont="1" applyFill="1"/>
    <xf numFmtId="167" fontId="25" fillId="0" borderId="0" xfId="0" applyNumberFormat="1" applyFont="1"/>
    <xf numFmtId="2" fontId="20" fillId="0" borderId="0" xfId="0" applyNumberFormat="1" applyFont="1"/>
    <xf numFmtId="167" fontId="29" fillId="0" borderId="0" xfId="0" applyNumberFormat="1" applyFont="1"/>
    <xf numFmtId="0" fontId="31" fillId="0" borderId="0" xfId="0" applyFont="1"/>
    <xf numFmtId="171" fontId="0" fillId="0" borderId="0" xfId="0" applyNumberFormat="1"/>
    <xf numFmtId="171" fontId="27" fillId="0" borderId="0" xfId="0" applyNumberFormat="1" applyFont="1"/>
    <xf numFmtId="0" fontId="32" fillId="0" borderId="0" xfId="0" applyFont="1"/>
    <xf numFmtId="172" fontId="8" fillId="0" borderId="0" xfId="0" applyNumberFormat="1" applyFont="1"/>
    <xf numFmtId="172" fontId="7" fillId="0" borderId="0" xfId="0" applyNumberFormat="1" applyFont="1"/>
    <xf numFmtId="172" fontId="0" fillId="0" borderId="0" xfId="0" applyNumberFormat="1"/>
    <xf numFmtId="172" fontId="5" fillId="0" borderId="0" xfId="0" applyNumberFormat="1" applyFont="1"/>
    <xf numFmtId="171" fontId="7" fillId="0" borderId="0" xfId="0" applyNumberFormat="1" applyFont="1"/>
    <xf numFmtId="171" fontId="8" fillId="0" borderId="0" xfId="0" applyNumberFormat="1" applyFont="1"/>
    <xf numFmtId="173" fontId="7" fillId="0" borderId="0" xfId="0" applyNumberFormat="1" applyFont="1"/>
    <xf numFmtId="49" fontId="32" fillId="0" borderId="0" xfId="0" applyNumberFormat="1" applyFont="1" applyAlignment="1">
      <alignment horizontal="right"/>
    </xf>
    <xf numFmtId="172" fontId="32" fillId="0" borderId="0" xfId="0" applyNumberFormat="1" applyFont="1"/>
    <xf numFmtId="172" fontId="28" fillId="0" borderId="0" xfId="0" applyNumberFormat="1" applyFont="1"/>
    <xf numFmtId="173" fontId="0" fillId="0" borderId="0" xfId="0" applyNumberFormat="1"/>
    <xf numFmtId="0" fontId="13" fillId="13" borderId="0" xfId="0" applyFont="1" applyFill="1" applyAlignment="1">
      <alignment horizontal="center" vertical="center"/>
    </xf>
    <xf numFmtId="0" fontId="28" fillId="13" borderId="0" xfId="0" applyFont="1" applyFill="1"/>
    <xf numFmtId="0" fontId="6" fillId="10" borderId="0" xfId="0" applyFont="1" applyFill="1"/>
    <xf numFmtId="0" fontId="34" fillId="0" borderId="0" xfId="0" applyFont="1"/>
    <xf numFmtId="171" fontId="32" fillId="0" borderId="0" xfId="0" applyNumberFormat="1" applyFont="1"/>
    <xf numFmtId="49" fontId="35" fillId="0" borderId="0" xfId="0" applyNumberFormat="1" applyFont="1" applyAlignment="1">
      <alignment horizontal="right"/>
    </xf>
    <xf numFmtId="10" fontId="8" fillId="0" borderId="0" xfId="0" applyNumberFormat="1" applyFont="1"/>
    <xf numFmtId="174" fontId="32" fillId="0" borderId="0" xfId="0" applyNumberFormat="1" applyFont="1"/>
    <xf numFmtId="172" fontId="4" fillId="0" borderId="0" xfId="0" applyNumberFormat="1" applyFont="1"/>
    <xf numFmtId="169" fontId="8" fillId="0" borderId="0" xfId="0" applyNumberFormat="1" applyFont="1"/>
    <xf numFmtId="172" fontId="36" fillId="0" borderId="0" xfId="0" applyNumberFormat="1" applyFont="1"/>
    <xf numFmtId="175" fontId="4" fillId="0" borderId="0" xfId="0" applyNumberFormat="1" applyFont="1"/>
    <xf numFmtId="171" fontId="4" fillId="0" borderId="0" xfId="0" applyNumberFormat="1" applyFont="1"/>
    <xf numFmtId="171" fontId="28" fillId="0" borderId="0" xfId="0" applyNumberFormat="1" applyFont="1"/>
    <xf numFmtId="0" fontId="37" fillId="0" borderId="0" xfId="0" applyFont="1"/>
    <xf numFmtId="0" fontId="33" fillId="0" borderId="0" xfId="0" applyFont="1"/>
    <xf numFmtId="171" fontId="38" fillId="0" borderId="0" xfId="0" applyNumberFormat="1" applyFont="1"/>
    <xf numFmtId="0" fontId="4" fillId="13" borderId="1" xfId="0" applyFont="1" applyFill="1" applyBorder="1" applyAlignment="1">
      <alignment horizontal="center" vertical="center" wrapText="1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0" fillId="0" borderId="0" xfId="0" applyAlignment="1">
      <alignment wrapText="1"/>
    </xf>
    <xf numFmtId="0" fontId="28" fillId="13" borderId="3" xfId="0" applyFont="1" applyFill="1" applyBorder="1"/>
    <xf numFmtId="176" fontId="7" fillId="5" borderId="0" xfId="0" applyNumberFormat="1" applyFont="1" applyFill="1" applyAlignment="1">
      <alignment horizontal="right" vertical="center"/>
    </xf>
    <xf numFmtId="175" fontId="7" fillId="5" borderId="0" xfId="0" applyNumberFormat="1" applyFont="1" applyFill="1" applyAlignment="1">
      <alignment horizontal="right" vertical="center"/>
    </xf>
    <xf numFmtId="171" fontId="7" fillId="5" borderId="0" xfId="0" applyNumberFormat="1" applyFont="1" applyFill="1" applyAlignment="1">
      <alignment horizontal="right" vertical="center"/>
    </xf>
    <xf numFmtId="0" fontId="10" fillId="0" borderId="0" xfId="0" quotePrefix="1" applyFont="1" applyAlignment="1">
      <alignment horizontal="center" vertical="center"/>
    </xf>
    <xf numFmtId="169" fontId="7" fillId="5" borderId="0" xfId="0" applyNumberFormat="1" applyFont="1" applyFill="1" applyAlignment="1">
      <alignment horizontal="right" vertical="center"/>
    </xf>
    <xf numFmtId="167" fontId="7" fillId="5" borderId="0" xfId="0" applyNumberFormat="1" applyFont="1" applyFill="1" applyAlignment="1">
      <alignment horizontal="right" vertical="center"/>
    </xf>
    <xf numFmtId="1" fontId="0" fillId="0" borderId="0" xfId="0" applyNumberFormat="1"/>
    <xf numFmtId="1" fontId="39" fillId="0" borderId="0" xfId="0" applyNumberFormat="1" applyFont="1"/>
    <xf numFmtId="1" fontId="41" fillId="0" borderId="0" xfId="0" applyNumberFormat="1" applyFont="1"/>
    <xf numFmtId="0" fontId="42" fillId="11" borderId="0" xfId="0" applyFont="1" applyFill="1"/>
    <xf numFmtId="0" fontId="0" fillId="11" borderId="0" xfId="0" applyFill="1"/>
    <xf numFmtId="0" fontId="43" fillId="12" borderId="0" xfId="0" applyFont="1" applyFill="1"/>
    <xf numFmtId="177" fontId="44" fillId="0" borderId="0" xfId="0" applyNumberFormat="1" applyFont="1"/>
    <xf numFmtId="177" fontId="25" fillId="0" borderId="0" xfId="0" applyNumberFormat="1" applyFont="1"/>
    <xf numFmtId="0" fontId="28" fillId="0" borderId="0" xfId="0" quotePrefix="1" applyFont="1"/>
    <xf numFmtId="177" fontId="45" fillId="0" borderId="0" xfId="0" applyNumberFormat="1" applyFont="1"/>
    <xf numFmtId="175" fontId="25" fillId="0" borderId="0" xfId="0" applyNumberFormat="1" applyFont="1"/>
    <xf numFmtId="177" fontId="46" fillId="0" borderId="0" xfId="0" applyNumberFormat="1" applyFont="1"/>
    <xf numFmtId="0" fontId="47" fillId="11" borderId="0" xfId="0" applyFont="1" applyFill="1"/>
    <xf numFmtId="1" fontId="48" fillId="0" borderId="0" xfId="0" applyNumberFormat="1" applyFont="1"/>
    <xf numFmtId="0" fontId="49" fillId="10" borderId="0" xfId="0" applyFont="1" applyFill="1"/>
    <xf numFmtId="15" fontId="0" fillId="0" borderId="0" xfId="0" applyNumberFormat="1"/>
    <xf numFmtId="17" fontId="0" fillId="0" borderId="0" xfId="0" applyNumberFormat="1"/>
    <xf numFmtId="0" fontId="20" fillId="0" borderId="0" xfId="0" applyFont="1" applyAlignment="1">
      <alignment wrapText="1"/>
    </xf>
    <xf numFmtId="172" fontId="6" fillId="0" borderId="0" xfId="0" applyNumberFormat="1" applyFont="1" applyAlignment="1">
      <alignment horizontal="right" vertical="center" wrapText="1"/>
    </xf>
    <xf numFmtId="171" fontId="50" fillId="0" borderId="0" xfId="0" applyNumberFormat="1" applyFont="1" applyAlignment="1">
      <alignment horizontal="right" vertical="center" wrapText="1"/>
    </xf>
    <xf numFmtId="173" fontId="50" fillId="0" borderId="0" xfId="0" applyNumberFormat="1" applyFont="1" applyAlignment="1">
      <alignment horizontal="right" vertical="center" wrapText="1"/>
    </xf>
    <xf numFmtId="0" fontId="51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172" fontId="29" fillId="0" borderId="0" xfId="0" applyNumberFormat="1" applyFont="1" applyAlignment="1">
      <alignment horizontal="right"/>
    </xf>
    <xf numFmtId="172" fontId="50" fillId="0" borderId="0" xfId="0" applyNumberFormat="1" applyFont="1" applyAlignment="1">
      <alignment horizontal="right" vertical="center" wrapText="1"/>
    </xf>
    <xf numFmtId="1" fontId="20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0" fontId="48" fillId="0" borderId="0" xfId="0" applyFont="1"/>
    <xf numFmtId="0" fontId="52" fillId="0" borderId="0" xfId="0" applyFont="1"/>
    <xf numFmtId="172" fontId="20" fillId="0" borderId="0" xfId="0" applyNumberFormat="1" applyFont="1"/>
    <xf numFmtId="172" fontId="25" fillId="0" borderId="0" xfId="0" applyNumberFormat="1" applyFont="1"/>
    <xf numFmtId="0" fontId="29" fillId="0" borderId="0" xfId="0" applyFont="1"/>
    <xf numFmtId="0" fontId="54" fillId="0" borderId="0" xfId="0" applyFont="1"/>
    <xf numFmtId="164" fontId="0" fillId="0" borderId="0" xfId="0" applyNumberFormat="1" applyAlignment="1">
      <alignment horizontal="right"/>
    </xf>
    <xf numFmtId="10" fontId="28" fillId="13" borderId="8" xfId="0" applyNumberFormat="1" applyFont="1" applyFill="1" applyBorder="1" applyAlignment="1">
      <alignment horizontal="center"/>
    </xf>
    <xf numFmtId="10" fontId="28" fillId="12" borderId="8" xfId="0" applyNumberFormat="1" applyFont="1" applyFill="1" applyBorder="1" applyAlignment="1">
      <alignment horizontal="center"/>
    </xf>
    <xf numFmtId="10" fontId="28" fillId="13" borderId="9" xfId="0" applyNumberFormat="1" applyFont="1" applyFill="1" applyBorder="1" applyAlignment="1">
      <alignment horizontal="center"/>
    </xf>
    <xf numFmtId="169" fontId="28" fillId="13" borderId="11" xfId="0" applyNumberFormat="1" applyFont="1" applyFill="1" applyBorder="1" applyAlignment="1">
      <alignment horizontal="center"/>
    </xf>
    <xf numFmtId="169" fontId="28" fillId="12" borderId="11" xfId="0" applyNumberFormat="1" applyFont="1" applyFill="1" applyBorder="1" applyAlignment="1">
      <alignment horizontal="center"/>
    </xf>
    <xf numFmtId="169" fontId="28" fillId="13" borderId="12" xfId="0" applyNumberFormat="1" applyFont="1" applyFill="1" applyBorder="1" applyAlignment="1">
      <alignment horizontal="center"/>
    </xf>
    <xf numFmtId="164" fontId="28" fillId="13" borderId="11" xfId="0" applyNumberFormat="1" applyFont="1" applyFill="1" applyBorder="1" applyAlignment="1">
      <alignment horizontal="center"/>
    </xf>
    <xf numFmtId="164" fontId="28" fillId="12" borderId="11" xfId="0" applyNumberFormat="1" applyFont="1" applyFill="1" applyBorder="1" applyAlignment="1">
      <alignment horizontal="center"/>
    </xf>
    <xf numFmtId="164" fontId="28" fillId="13" borderId="12" xfId="0" applyNumberFormat="1" applyFont="1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28" fillId="12" borderId="4" xfId="0" applyNumberFormat="1" applyFont="1" applyFill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2" fontId="28" fillId="13" borderId="8" xfId="0" applyNumberFormat="1" applyFont="1" applyFill="1" applyBorder="1" applyAlignment="1">
      <alignment horizontal="center"/>
    </xf>
    <xf numFmtId="2" fontId="28" fillId="12" borderId="8" xfId="0" applyNumberFormat="1" applyFont="1" applyFill="1" applyBorder="1" applyAlignment="1">
      <alignment horizontal="center"/>
    </xf>
    <xf numFmtId="2" fontId="28" fillId="13" borderId="9" xfId="0" applyNumberFormat="1" applyFont="1" applyFill="1" applyBorder="1" applyAlignment="1">
      <alignment horizontal="center"/>
    </xf>
    <xf numFmtId="0" fontId="18" fillId="0" borderId="0" xfId="0" applyFont="1" applyAlignment="1">
      <alignment wrapText="1"/>
    </xf>
    <xf numFmtId="169" fontId="7" fillId="0" borderId="0" xfId="0" applyNumberFormat="1" applyFont="1"/>
    <xf numFmtId="2" fontId="7" fillId="0" borderId="0" xfId="0" applyNumberFormat="1" applyFont="1"/>
    <xf numFmtId="169" fontId="5" fillId="0" borderId="0" xfId="0" applyNumberFormat="1" applyFont="1"/>
    <xf numFmtId="170" fontId="4" fillId="0" borderId="0" xfId="0" applyNumberFormat="1" applyFont="1"/>
    <xf numFmtId="169" fontId="28" fillId="0" borderId="0" xfId="0" applyNumberFormat="1" applyFont="1"/>
    <xf numFmtId="174" fontId="0" fillId="0" borderId="0" xfId="0" applyNumberFormat="1"/>
    <xf numFmtId="164" fontId="28" fillId="0" borderId="0" xfId="0" applyNumberFormat="1" applyFont="1"/>
    <xf numFmtId="169" fontId="0" fillId="0" borderId="0" xfId="0" applyNumberFormat="1"/>
    <xf numFmtId="174" fontId="28" fillId="0" borderId="0" xfId="0" applyNumberFormat="1" applyFont="1"/>
    <xf numFmtId="0" fontId="56" fillId="0" borderId="0" xfId="0" applyFont="1"/>
    <xf numFmtId="0" fontId="57" fillId="0" borderId="0" xfId="0" applyFont="1" applyAlignment="1">
      <alignment wrapText="1"/>
    </xf>
    <xf numFmtId="178" fontId="0" fillId="0" borderId="0" xfId="0" applyNumberFormat="1"/>
    <xf numFmtId="178" fontId="28" fillId="0" borderId="0" xfId="0" applyNumberFormat="1" applyFont="1"/>
    <xf numFmtId="178" fontId="0" fillId="0" borderId="0" xfId="0" applyNumberFormat="1" applyAlignment="1">
      <alignment horizontal="center"/>
    </xf>
    <xf numFmtId="178" fontId="27" fillId="0" borderId="0" xfId="0" applyNumberFormat="1" applyFont="1"/>
    <xf numFmtId="0" fontId="59" fillId="0" borderId="0" xfId="0" applyFont="1" applyAlignment="1">
      <alignment wrapText="1"/>
    </xf>
    <xf numFmtId="0" fontId="17" fillId="0" borderId="0" xfId="0" applyFont="1" applyAlignment="1">
      <alignment wrapText="1"/>
    </xf>
    <xf numFmtId="1" fontId="51" fillId="13" borderId="1" xfId="0" applyNumberFormat="1" applyFont="1" applyFill="1" applyBorder="1" applyAlignment="1">
      <alignment horizontal="center"/>
    </xf>
    <xf numFmtId="0" fontId="10" fillId="0" borderId="0" xfId="0" quotePrefix="1" applyFont="1"/>
    <xf numFmtId="0" fontId="10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8" fillId="0" borderId="0" xfId="0" quotePrefix="1" applyFont="1"/>
    <xf numFmtId="0" fontId="0" fillId="0" borderId="0" xfId="0"/>
    <xf numFmtId="0" fontId="10" fillId="0" borderId="0" xfId="0" applyFont="1" applyAlignment="1">
      <alignment horizontal="left" vertical="center" wrapText="1"/>
    </xf>
    <xf numFmtId="0" fontId="30" fillId="10" borderId="0" xfId="0" applyFont="1" applyFill="1"/>
    <xf numFmtId="0" fontId="4" fillId="13" borderId="0" xfId="0" applyFont="1" applyFill="1" applyAlignment="1">
      <alignment horizontal="center" vertical="center"/>
    </xf>
    <xf numFmtId="178" fontId="30" fillId="10" borderId="13" xfId="0" applyNumberFormat="1" applyFont="1" applyFill="1" applyBorder="1"/>
    <xf numFmtId="0" fontId="51" fillId="13" borderId="0" xfId="0" applyFont="1" applyFill="1"/>
    <xf numFmtId="0" fontId="0" fillId="0" borderId="0" xfId="0" applyNumberFormat="1"/>
    <xf numFmtId="0" fontId="4" fillId="13" borderId="0" xfId="0" applyNumberFormat="1" applyFont="1" applyFill="1" applyAlignment="1">
      <alignment horizontal="center" vertical="center"/>
    </xf>
    <xf numFmtId="0" fontId="6" fillId="10" borderId="2" xfId="0" applyNumberFormat="1" applyFont="1" applyFill="1" applyBorder="1" applyAlignment="1">
      <alignment horizontal="center" vertical="center"/>
    </xf>
    <xf numFmtId="0" fontId="7" fillId="0" borderId="0" xfId="0" applyNumberFormat="1" applyFont="1"/>
    <xf numFmtId="0" fontId="7" fillId="0" borderId="0" xfId="0" applyNumberFormat="1" applyFont="1" applyAlignment="1">
      <alignment horizontal="left" vertical="center" wrapText="1"/>
    </xf>
    <xf numFmtId="0" fontId="14" fillId="0" borderId="0" xfId="0" applyNumberFormat="1" applyFont="1"/>
    <xf numFmtId="172" fontId="5" fillId="0" borderId="0" xfId="0" applyNumberFormat="1" applyFont="1" applyAlignment="1">
      <alignment horizontal="right" vertical="center"/>
    </xf>
    <xf numFmtId="172" fontId="7" fillId="0" borderId="0" xfId="0" applyNumberFormat="1" applyFont="1" applyAlignment="1">
      <alignment horizontal="right" vertical="center"/>
    </xf>
    <xf numFmtId="172" fontId="7" fillId="5" borderId="0" xfId="0" applyNumberFormat="1" applyFont="1" applyFill="1" applyAlignment="1">
      <alignment horizontal="right" vertical="center"/>
    </xf>
    <xf numFmtId="0" fontId="7" fillId="6" borderId="0" xfId="0" applyNumberFormat="1" applyFont="1" applyFill="1"/>
    <xf numFmtId="0" fontId="7" fillId="6" borderId="0" xfId="0" applyNumberFormat="1" applyFont="1" applyFill="1" applyAlignment="1">
      <alignment horizontal="left" vertical="center" wrapText="1"/>
    </xf>
    <xf numFmtId="0" fontId="14" fillId="6" borderId="0" xfId="0" applyNumberFormat="1" applyFont="1" applyFill="1"/>
    <xf numFmtId="0" fontId="15" fillId="6" borderId="0" xfId="0" applyNumberFormat="1" applyFont="1" applyFill="1"/>
    <xf numFmtId="0" fontId="10" fillId="6" borderId="0" xfId="0" applyNumberFormat="1" applyFont="1" applyFill="1" applyAlignment="1">
      <alignment horizontal="left" vertical="center" wrapText="1"/>
    </xf>
    <xf numFmtId="172" fontId="5" fillId="6" borderId="0" xfId="0" applyNumberFormat="1" applyFont="1" applyFill="1" applyAlignment="1">
      <alignment horizontal="right" vertical="center"/>
    </xf>
    <xf numFmtId="172" fontId="7" fillId="6" borderId="0" xfId="0" applyNumberFormat="1" applyFont="1" applyFill="1" applyAlignment="1">
      <alignment horizontal="right" vertical="center"/>
    </xf>
    <xf numFmtId="0" fontId="5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5" fillId="6" borderId="0" xfId="0" applyNumberFormat="1" applyFont="1" applyFill="1" applyAlignment="1">
      <alignment horizontal="center" vertical="center"/>
    </xf>
    <xf numFmtId="0" fontId="7" fillId="6" borderId="0" xfId="0" applyNumberFormat="1" applyFont="1" applyFill="1" applyAlignment="1">
      <alignment horizontal="center" vertical="center"/>
    </xf>
    <xf numFmtId="0" fontId="19" fillId="0" borderId="0" xfId="0" applyNumberFormat="1" applyFont="1"/>
    <xf numFmtId="0" fontId="10" fillId="0" borderId="0" xfId="0" applyNumberFormat="1" applyFont="1" applyAlignment="1">
      <alignment horizontal="left" vertical="center" wrapText="1"/>
    </xf>
    <xf numFmtId="0" fontId="7" fillId="5" borderId="0" xfId="0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16" fillId="8" borderId="0" xfId="0" applyNumberFormat="1" applyFont="1" applyFill="1" applyAlignment="1">
      <alignment horizontal="left"/>
    </xf>
    <xf numFmtId="0" fontId="0" fillId="8" borderId="0" xfId="0" applyNumberFormat="1" applyFill="1"/>
    <xf numFmtId="0" fontId="18" fillId="0" borderId="0" xfId="0" applyNumberFormat="1" applyFont="1"/>
    <xf numFmtId="0" fontId="17" fillId="0" borderId="0" xfId="0" applyNumberFormat="1" applyFont="1"/>
    <xf numFmtId="0" fontId="22" fillId="0" borderId="0" xfId="0" applyNumberFormat="1" applyFont="1"/>
    <xf numFmtId="0" fontId="19" fillId="9" borderId="0" xfId="0" applyNumberFormat="1" applyFont="1" applyFill="1"/>
    <xf numFmtId="172" fontId="21" fillId="9" borderId="0" xfId="0" applyNumberFormat="1" applyFont="1" applyFill="1" applyAlignment="1">
      <alignment horizontal="right"/>
    </xf>
    <xf numFmtId="172" fontId="19" fillId="9" borderId="0" xfId="0" applyNumberFormat="1" applyFont="1" applyFill="1" applyAlignment="1">
      <alignment horizontal="right"/>
    </xf>
    <xf numFmtId="0" fontId="17" fillId="9" borderId="0" xfId="0" applyNumberFormat="1" applyFont="1" applyFill="1"/>
    <xf numFmtId="0" fontId="22" fillId="9" borderId="0" xfId="0" applyNumberFormat="1" applyFont="1" applyFill="1"/>
    <xf numFmtId="0" fontId="18" fillId="9" borderId="0" xfId="0" applyNumberFormat="1" applyFont="1" applyFill="1"/>
    <xf numFmtId="0" fontId="16" fillId="11" borderId="0" xfId="0" applyNumberFormat="1" applyFont="1" applyFill="1"/>
    <xf numFmtId="0" fontId="27" fillId="0" borderId="0" xfId="0" applyNumberFormat="1" applyFont="1"/>
    <xf numFmtId="171" fontId="20" fillId="0" borderId="0" xfId="0" applyNumberFormat="1" applyFont="1"/>
    <xf numFmtId="0" fontId="51" fillId="13" borderId="1" xfId="0" applyNumberFormat="1" applyFont="1" applyFill="1" applyBorder="1" applyAlignment="1">
      <alignment horizontal="center"/>
    </xf>
    <xf numFmtId="0" fontId="4" fillId="13" borderId="1" xfId="0" applyNumberFormat="1" applyFont="1" applyFill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30" fillId="10" borderId="0" xfId="0" applyNumberFormat="1" applyFont="1" applyFill="1" applyAlignment="1">
      <alignment horizontal="left"/>
    </xf>
    <xf numFmtId="0" fontId="30" fillId="10" borderId="0" xfId="0" applyNumberFormat="1" applyFont="1" applyFill="1"/>
    <xf numFmtId="0" fontId="23" fillId="0" borderId="0" xfId="0" applyNumberFormat="1" applyFont="1"/>
    <xf numFmtId="0" fontId="18" fillId="0" borderId="0" xfId="0" applyNumberFormat="1" applyFont="1" applyAlignment="1">
      <alignment horizontal="center"/>
    </xf>
    <xf numFmtId="172" fontId="21" fillId="0" borderId="0" xfId="0" applyNumberFormat="1" applyFont="1" applyAlignment="1">
      <alignment horizontal="right"/>
    </xf>
    <xf numFmtId="172" fontId="26" fillId="0" borderId="0" xfId="0" applyNumberFormat="1" applyFont="1" applyAlignment="1">
      <alignment horizontal="right"/>
    </xf>
    <xf numFmtId="172" fontId="19" fillId="0" borderId="0" xfId="0" applyNumberFormat="1" applyFont="1" applyAlignment="1">
      <alignment horizontal="right"/>
    </xf>
    <xf numFmtId="0" fontId="24" fillId="0" borderId="0" xfId="0" applyNumberFormat="1" applyFont="1"/>
    <xf numFmtId="0" fontId="28" fillId="10" borderId="0" xfId="0" applyNumberFormat="1" applyFont="1" applyFill="1"/>
    <xf numFmtId="171" fontId="25" fillId="0" borderId="0" xfId="0" applyNumberFormat="1" applyFont="1"/>
    <xf numFmtId="171" fontId="29" fillId="0" borderId="0" xfId="0" applyNumberFormat="1" applyFont="1"/>
    <xf numFmtId="172" fontId="29" fillId="0" borderId="0" xfId="0" applyNumberFormat="1" applyFont="1"/>
    <xf numFmtId="0" fontId="28" fillId="0" borderId="0" xfId="0" applyNumberFormat="1" applyFont="1"/>
    <xf numFmtId="172" fontId="30" fillId="0" borderId="0" xfId="0" applyNumberFormat="1" applyFont="1"/>
    <xf numFmtId="172" fontId="28" fillId="10" borderId="0" xfId="0" applyNumberFormat="1" applyFont="1" applyFill="1"/>
    <xf numFmtId="0" fontId="31" fillId="0" borderId="0" xfId="0" applyNumberFormat="1" applyFont="1"/>
    <xf numFmtId="0" fontId="11" fillId="0" borderId="0" xfId="0" applyNumberFormat="1" applyFont="1"/>
    <xf numFmtId="0" fontId="10" fillId="0" borderId="0" xfId="0" applyNumberFormat="1" applyFont="1"/>
    <xf numFmtId="0" fontId="4" fillId="13" borderId="1" xfId="0" applyNumberFormat="1" applyFont="1" applyFill="1" applyBorder="1" applyAlignment="1">
      <alignment horizontal="center" vertical="center" wrapText="1"/>
    </xf>
    <xf numFmtId="0" fontId="12" fillId="0" borderId="0" xfId="0" applyNumberFormat="1" applyFont="1"/>
    <xf numFmtId="172" fontId="8" fillId="0" borderId="0" xfId="0" applyNumberFormat="1" applyFont="1" applyAlignment="1">
      <alignment horizontal="right" vertical="center"/>
    </xf>
    <xf numFmtId="0" fontId="4" fillId="0" borderId="0" xfId="0" applyNumberFormat="1" applyFont="1"/>
    <xf numFmtId="0" fontId="8" fillId="0" borderId="0" xfId="0" applyNumberFormat="1" applyFont="1"/>
    <xf numFmtId="0" fontId="25" fillId="0" borderId="0" xfId="0" applyNumberFormat="1" applyFont="1"/>
    <xf numFmtId="0" fontId="60" fillId="0" borderId="0" xfId="0" applyNumberFormat="1" applyFont="1"/>
    <xf numFmtId="0" fontId="53" fillId="0" borderId="0" xfId="0" applyNumberFormat="1" applyFont="1"/>
    <xf numFmtId="0" fontId="37" fillId="0" borderId="0" xfId="0" applyNumberFormat="1" applyFont="1"/>
    <xf numFmtId="172" fontId="20" fillId="0" borderId="0" xfId="0" applyNumberFormat="1" applyFont="1" applyAlignment="1">
      <alignment horizontal="right"/>
    </xf>
    <xf numFmtId="0" fontId="55" fillId="0" borderId="0" xfId="0" applyNumberFormat="1" applyFont="1"/>
    <xf numFmtId="0" fontId="12" fillId="0" borderId="0" xfId="0" applyNumberFormat="1" applyFont="1" applyAlignment="1">
      <alignment horizontal="center" vertical="center" wrapText="1"/>
    </xf>
    <xf numFmtId="0" fontId="6" fillId="10" borderId="0" xfId="0" applyNumberFormat="1" applyFont="1" applyFill="1"/>
    <xf numFmtId="0" fontId="5" fillId="0" borderId="0" xfId="0" applyNumberFormat="1" applyFont="1"/>
    <xf numFmtId="0" fontId="4" fillId="3" borderId="1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Alignment="1">
      <alignment horizontal="center"/>
    </xf>
    <xf numFmtId="0" fontId="4" fillId="3" borderId="0" xfId="0" applyNumberFormat="1" applyFont="1" applyFill="1" applyAlignment="1">
      <alignment horizontal="center" vertical="center" wrapText="1"/>
    </xf>
    <xf numFmtId="0" fontId="43" fillId="12" borderId="0" xfId="0" applyNumberFormat="1" applyFont="1" applyFill="1"/>
    <xf numFmtId="0" fontId="16" fillId="10" borderId="0" xfId="0" applyNumberFormat="1" applyFont="1" applyFill="1"/>
    <xf numFmtId="0" fontId="18" fillId="0" borderId="0" xfId="0" applyNumberFormat="1" applyFont="1" applyAlignment="1">
      <alignment wrapText="1"/>
    </xf>
    <xf numFmtId="0" fontId="57" fillId="0" borderId="0" xfId="0" applyNumberFormat="1" applyFont="1" applyAlignment="1">
      <alignment wrapText="1"/>
    </xf>
    <xf numFmtId="0" fontId="40" fillId="0" borderId="0" xfId="0" applyNumberFormat="1" applyFont="1"/>
    <xf numFmtId="0" fontId="28" fillId="13" borderId="3" xfId="0" applyNumberFormat="1" applyFont="1" applyFill="1" applyBorder="1"/>
    <xf numFmtId="0" fontId="28" fillId="13" borderId="3" xfId="0" applyNumberFormat="1" applyFont="1" applyFill="1" applyBorder="1" applyAlignment="1">
      <alignment horizontal="center"/>
    </xf>
    <xf numFmtId="0" fontId="28" fillId="12" borderId="3" xfId="0" applyNumberFormat="1" applyFont="1" applyFill="1" applyBorder="1" applyAlignment="1">
      <alignment horizontal="center"/>
    </xf>
    <xf numFmtId="171" fontId="20" fillId="0" borderId="0" xfId="0" applyNumberFormat="1" applyFont="1" applyAlignment="1">
      <alignment horizontal="center"/>
    </xf>
    <xf numFmtId="172" fontId="27" fillId="0" borderId="0" xfId="0" applyNumberFormat="1" applyFont="1"/>
    <xf numFmtId="172" fontId="43" fillId="0" borderId="0" xfId="0" applyNumberFormat="1" applyFont="1"/>
    <xf numFmtId="0" fontId="58" fillId="0" borderId="0" xfId="0" applyNumberFormat="1" applyFont="1"/>
    <xf numFmtId="0" fontId="58" fillId="0" borderId="0" xfId="0" applyNumberFormat="1" applyFont="1" applyAlignment="1">
      <alignment horizontal="right"/>
    </xf>
    <xf numFmtId="0" fontId="37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171" fontId="28" fillId="0" borderId="0" xfId="0" applyNumberFormat="1" applyFont="1" applyAlignment="1">
      <alignment horizontal="center"/>
    </xf>
    <xf numFmtId="0" fontId="30" fillId="10" borderId="13" xfId="0" applyNumberFormat="1" applyFont="1" applyFill="1" applyBorder="1"/>
    <xf numFmtId="172" fontId="30" fillId="10" borderId="13" xfId="0" applyNumberFormat="1" applyFont="1" applyFill="1" applyBorder="1"/>
    <xf numFmtId="0" fontId="62" fillId="10" borderId="13" xfId="0" quotePrefix="1" applyNumberFormat="1" applyFont="1" applyFill="1" applyBorder="1" applyAlignment="1">
      <alignment wrapText="1"/>
    </xf>
    <xf numFmtId="0" fontId="28" fillId="13" borderId="0" xfId="0" applyNumberFormat="1" applyFont="1" applyFill="1"/>
    <xf numFmtId="0" fontId="28" fillId="13" borderId="0" xfId="0" applyNumberFormat="1" applyFont="1" applyFill="1" applyAlignment="1">
      <alignment horizontal="center"/>
    </xf>
    <xf numFmtId="0" fontId="27" fillId="0" borderId="10" xfId="0" applyNumberFormat="1" applyFont="1" applyBorder="1"/>
    <xf numFmtId="172" fontId="0" fillId="0" borderId="4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72" fontId="28" fillId="12" borderId="4" xfId="0" applyNumberFormat="1" applyFont="1" applyFill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172" fontId="0" fillId="0" borderId="7" xfId="0" applyNumberFormat="1" applyBorder="1" applyAlignment="1">
      <alignment horizontal="center"/>
    </xf>
    <xf numFmtId="0" fontId="28" fillId="13" borderId="10" xfId="0" applyNumberFormat="1" applyFont="1" applyFill="1" applyBorder="1"/>
    <xf numFmtId="0" fontId="28" fillId="13" borderId="11" xfId="0" applyNumberFormat="1" applyFont="1" applyFill="1" applyBorder="1" applyAlignment="1">
      <alignment horizontal="center"/>
    </xf>
    <xf numFmtId="0" fontId="28" fillId="12" borderId="11" xfId="0" applyNumberFormat="1" applyFont="1" applyFill="1" applyBorder="1" applyAlignment="1">
      <alignment horizontal="center"/>
    </xf>
    <xf numFmtId="0" fontId="28" fillId="13" borderId="12" xfId="0" applyNumberFormat="1" applyFont="1" applyFill="1" applyBorder="1" applyAlignment="1">
      <alignment horizontal="center"/>
    </xf>
    <xf numFmtId="0" fontId="28" fillId="0" borderId="8" xfId="0" applyNumberFormat="1" applyFont="1" applyBorder="1"/>
    <xf numFmtId="172" fontId="28" fillId="0" borderId="4" xfId="0" applyNumberFormat="1" applyFon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28" fillId="0" borderId="9" xfId="0" applyNumberFormat="1" applyFont="1" applyBorder="1"/>
    <xf numFmtId="172" fontId="28" fillId="0" borderId="5" xfId="0" applyNumberFormat="1" applyFon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71" fontId="8" fillId="6" borderId="0" xfId="0" applyNumberFormat="1" applyFont="1" applyFill="1" applyAlignment="1">
      <alignment horizontal="right" vertical="center"/>
    </xf>
    <xf numFmtId="171" fontId="7" fillId="6" borderId="0" xfId="0" applyNumberFormat="1" applyFont="1" applyFill="1" applyAlignment="1">
      <alignment horizontal="right" vertical="center"/>
    </xf>
    <xf numFmtId="169" fontId="7" fillId="6" borderId="0" xfId="0" applyNumberFormat="1" applyFont="1" applyFill="1" applyAlignment="1">
      <alignment horizontal="right" vertical="center"/>
    </xf>
    <xf numFmtId="169" fontId="27" fillId="0" borderId="0" xfId="0" applyNumberFormat="1" applyFont="1"/>
    <xf numFmtId="171" fontId="20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 vertical="center"/>
    </xf>
    <xf numFmtId="0" fontId="10" fillId="0" borderId="0" xfId="0" applyNumberFormat="1" applyFont="1" applyAlignment="1">
      <alignment horizontal="left" vertical="center" wrapText="1"/>
    </xf>
    <xf numFmtId="0" fontId="11" fillId="0" borderId="0" xfId="0" applyNumberFormat="1" applyFont="1" applyAlignment="1">
      <alignment horizontal="center" vertical="center"/>
    </xf>
    <xf numFmtId="0" fontId="6" fillId="10" borderId="0" xfId="0" applyNumberFormat="1" applyFont="1" applyFill="1" applyAlignment="1">
      <alignment horizontal="left" vertical="center" indent="1"/>
    </xf>
    <xf numFmtId="0" fontId="61" fillId="13" borderId="0" xfId="0" applyNumberFormat="1" applyFont="1" applyFill="1" applyAlignment="1">
      <alignment horizontal="left" vertical="center" indent="1"/>
    </xf>
    <xf numFmtId="0" fontId="11" fillId="0" borderId="0" xfId="0" applyNumberFormat="1" applyFont="1" applyAlignment="1">
      <alignment horizontal="left" vertical="center" wrapText="1"/>
    </xf>
    <xf numFmtId="0" fontId="6" fillId="10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10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0" fillId="0" borderId="0" xfId="0" applyNumberFormat="1" applyAlignment="1"/>
    <xf numFmtId="0" fontId="51" fillId="13" borderId="0" xfId="0" applyNumberFormat="1" applyFont="1" applyFill="1" applyAlignment="1"/>
    <xf numFmtId="0" fontId="30" fillId="10" borderId="0" xfId="0" applyNumberFormat="1" applyFont="1" applyFill="1" applyAlignment="1"/>
    <xf numFmtId="0" fontId="0" fillId="0" borderId="0" xfId="0" applyAlignment="1"/>
    <xf numFmtId="0" fontId="30" fillId="10" borderId="0" xfId="0" applyFont="1" applyFill="1" applyAlignment="1"/>
  </cellXfs>
  <cellStyles count="1">
    <cellStyle name="Normal" xfId="0" builtinId="0"/>
  </cellStyles>
  <dxfs count="6"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WHOOP Valuation Football Field — Series G mark $10.1B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 Field'!$B$30</c:f>
              <c:strCache>
                <c:ptCount val="1"/>
                <c:pt idx="0">
                  <c:v>Low (offset)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'Football Field'!$A$31:$A$37</c:f>
              <c:strCache>
                <c:ptCount val="7"/>
                <c:pt idx="0">
                  <c:v>1. Intrinsic DCF</c:v>
                </c:pt>
                <c:pt idx="1">
                  <c:v>1b. DCF + Options</c:v>
                </c:pt>
                <c:pt idx="2">
                  <c:v>2. Comps (LTM)</c:v>
                </c:pt>
                <c:pt idx="3">
                  <c:v>2b. Comps (NTM)</c:v>
                </c:pt>
                <c:pt idx="4">
                  <c:v>4. Last-Round Implied</c:v>
                </c:pt>
                <c:pt idx="5">
                  <c:v>5. IPO Range</c:v>
                </c:pt>
                <c:pt idx="6">
                  <c:v>Weighted Avg</c:v>
                </c:pt>
              </c:strCache>
            </c:strRef>
          </c:cat>
          <c:val>
            <c:numRef>
              <c:f>'Football Field'!$B$31:$B$37</c:f>
              <c:numCache>
                <c:formatCode>"$"#,##0;\("$"#,##0\);\-</c:formatCode>
                <c:ptCount val="7"/>
                <c:pt idx="0">
                  <c:v>6.389503176701484</c:v>
                </c:pt>
                <c:pt idx="1">
                  <c:v>6.6670031767014839</c:v>
                </c:pt>
                <c:pt idx="2">
                  <c:v>4.7243704319192474</c:v>
                </c:pt>
                <c:pt idx="3">
                  <c:v>3.8224940132363581</c:v>
                </c:pt>
                <c:pt idx="4">
                  <c:v>10.1</c:v>
                </c:pt>
                <c:pt idx="5">
                  <c:v>12.507739938080496</c:v>
                </c:pt>
                <c:pt idx="6">
                  <c:v>8.6354519753961441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9-48D5-93A6-3B40211673AC}"/>
            </c:ext>
          </c:extLst>
        </c:ser>
        <c:ser>
          <c:idx val="1"/>
          <c:order val="1"/>
          <c:tx>
            <c:strRef>
              <c:f>'Football Field'!$C$30</c:f>
              <c:strCache>
                <c:ptCount val="1"/>
                <c:pt idx="0">
                  <c:v>Range (visible bar)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'Football Field'!$A$31:$A$37</c:f>
              <c:strCache>
                <c:ptCount val="7"/>
                <c:pt idx="0">
                  <c:v>1. Intrinsic DCF</c:v>
                </c:pt>
                <c:pt idx="1">
                  <c:v>1b. DCF + Options</c:v>
                </c:pt>
                <c:pt idx="2">
                  <c:v>2. Comps (LTM)</c:v>
                </c:pt>
                <c:pt idx="3">
                  <c:v>2b. Comps (NTM)</c:v>
                </c:pt>
                <c:pt idx="4">
                  <c:v>4. Last-Round Implied</c:v>
                </c:pt>
                <c:pt idx="5">
                  <c:v>5. IPO Range</c:v>
                </c:pt>
                <c:pt idx="6">
                  <c:v>Weighted Avg</c:v>
                </c:pt>
              </c:strCache>
            </c:strRef>
          </c:cat>
          <c:val>
            <c:numRef>
              <c:f>'Football Field'!$C$31:$C$37</c:f>
              <c:numCache>
                <c:formatCode>"$"#,##0;\("$"#,##0\);\-</c:formatCode>
                <c:ptCount val="7"/>
                <c:pt idx="0">
                  <c:v>6.7532381541288595</c:v>
                </c:pt>
                <c:pt idx="1">
                  <c:v>7.4657381541288599</c:v>
                </c:pt>
                <c:pt idx="2">
                  <c:v>1.5293697145091878</c:v>
                </c:pt>
                <c:pt idx="3">
                  <c:v>1.2374149449075822</c:v>
                </c:pt>
                <c:pt idx="4">
                  <c:v>1E-3</c:v>
                </c:pt>
                <c:pt idx="5">
                  <c:v>3.3353973168214637</c:v>
                </c:pt>
                <c:pt idx="6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9-48D5-93A6-3B4021167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778120"/>
        <c:axId val="154796040"/>
      </c:barChart>
      <c:catAx>
        <c:axId val="154778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6040"/>
        <c:crosses val="autoZero"/>
        <c:auto val="1"/>
        <c:lblAlgn val="ctr"/>
        <c:lblOffset val="100"/>
        <c:noMultiLvlLbl val="0"/>
      </c:catAx>
      <c:valAx>
        <c:axId val="154796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Enterprise Value ($B)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78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114300</xdr:rowOff>
    </xdr:from>
    <xdr:to>
      <xdr:col>9</xdr:col>
      <xdr:colOff>447675</xdr:colOff>
      <xdr:row>65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0A0C2-8158-8727-EAE5-AD7424D39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553804</xdr:colOff>
      <xdr:row>43</xdr:row>
      <xdr:rowOff>187325</xdr:rowOff>
    </xdr:from>
    <xdr:to>
      <xdr:col>5</xdr:col>
      <xdr:colOff>572854</xdr:colOff>
      <xdr:row>46</xdr:row>
      <xdr:rowOff>22225</xdr:rowOff>
    </xdr:to>
    <xdr:sp macro="" textlink="">
      <xdr:nvSpPr>
        <xdr:cNvPr id="7" name="SeriesG_Label">
          <a:extLst>
            <a:ext uri="{FF2B5EF4-FFF2-40B4-BE49-F238E27FC236}">
              <a16:creationId xmlns:a16="http://schemas.microsoft.com/office/drawing/2014/main" id="{A2FCF3D9-E421-FAC5-C46F-7A4C425004EF}"/>
            </a:ext>
            <a:ext uri="{147F2762-F138-4A5C-976F-8EAC2B608ADB}">
              <a16:predDERef xmlns:a16="http://schemas.microsoft.com/office/drawing/2014/main" pred="{9E60A0C2-8158-8727-EAE5-AD7424D393B5}"/>
            </a:ext>
          </a:extLst>
        </xdr:cNvPr>
        <xdr:cNvSpPr txBox="1"/>
      </xdr:nvSpPr>
      <xdr:spPr>
        <a:xfrm>
          <a:off x="5354404" y="21199475"/>
          <a:ext cx="952500" cy="40640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/>
            </a:rPr>
            <a:t>Series G
$10.1B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F3859E-943C-4933-B6A8-2C4356E46C3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51a0b9c-7344-4cdd-89bc-f52463175f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61"/>
  <sheetViews>
    <sheetView showGridLines="0" workbookViewId="0">
      <selection activeCell="C63" sqref="C63"/>
    </sheetView>
  </sheetViews>
  <sheetFormatPr defaultColWidth="8.85546875" defaultRowHeight="15"/>
  <cols>
    <col min="1" max="1" width="5" customWidth="1"/>
    <col min="2" max="2" width="50" customWidth="1"/>
    <col min="3" max="3" width="30" customWidth="1"/>
  </cols>
  <sheetData>
    <row r="1" spans="1:3" ht="18.95">
      <c r="A1" s="127"/>
      <c r="B1" s="213"/>
      <c r="C1" s="213"/>
    </row>
    <row r="3" spans="1:3" ht="30.95">
      <c r="A3" s="213"/>
      <c r="B3" s="1" t="s">
        <v>0</v>
      </c>
      <c r="C3" s="213"/>
    </row>
    <row r="4" spans="1:3" ht="21">
      <c r="A4" s="213"/>
      <c r="B4" s="2" t="s">
        <v>1</v>
      </c>
      <c r="C4" s="213"/>
    </row>
    <row r="5" spans="1:3">
      <c r="A5" s="213"/>
      <c r="B5" s="3" t="s">
        <v>2</v>
      </c>
      <c r="C5" s="213"/>
    </row>
    <row r="8" spans="1:3">
      <c r="A8" s="213"/>
      <c r="B8" s="4" t="s">
        <v>3</v>
      </c>
      <c r="C8" s="5" t="s">
        <v>0</v>
      </c>
    </row>
    <row r="9" spans="1:3">
      <c r="A9" s="213"/>
      <c r="B9" s="4" t="s">
        <v>4</v>
      </c>
      <c r="C9" s="5" t="s">
        <v>5</v>
      </c>
    </row>
    <row r="10" spans="1:3">
      <c r="A10" s="213"/>
      <c r="B10" s="4" t="s">
        <v>6</v>
      </c>
      <c r="C10" s="5" t="s">
        <v>7</v>
      </c>
    </row>
    <row r="11" spans="1:3">
      <c r="A11" s="213"/>
      <c r="B11" s="4" t="s">
        <v>8</v>
      </c>
      <c r="C11" s="5" t="s">
        <v>9</v>
      </c>
    </row>
    <row r="12" spans="1:3">
      <c r="A12" s="213"/>
      <c r="B12" s="4" t="s">
        <v>10</v>
      </c>
      <c r="C12" s="5" t="s">
        <v>11</v>
      </c>
    </row>
    <row r="13" spans="1:3">
      <c r="A13" s="213"/>
      <c r="B13" s="4" t="s">
        <v>12</v>
      </c>
      <c r="C13" s="5" t="s">
        <v>13</v>
      </c>
    </row>
    <row r="14" spans="1:3">
      <c r="A14" s="213"/>
      <c r="B14" s="4" t="s">
        <v>14</v>
      </c>
      <c r="C14" s="5" t="s">
        <v>15</v>
      </c>
    </row>
    <row r="17" spans="2:2">
      <c r="B17" s="6" t="s">
        <v>16</v>
      </c>
    </row>
    <row r="18" spans="2:2">
      <c r="B18" s="7" t="s">
        <v>17</v>
      </c>
    </row>
    <row r="19" spans="2:2">
      <c r="B19" s="7" t="s">
        <v>18</v>
      </c>
    </row>
    <row r="20" spans="2:2">
      <c r="B20" s="7" t="s">
        <v>19</v>
      </c>
    </row>
    <row r="21" spans="2:2">
      <c r="B21" s="7" t="s">
        <v>20</v>
      </c>
    </row>
    <row r="22" spans="2:2">
      <c r="B22" s="7" t="s">
        <v>21</v>
      </c>
    </row>
    <row r="25" spans="2:2">
      <c r="B25" s="6" t="s">
        <v>22</v>
      </c>
    </row>
    <row r="26" spans="2:2">
      <c r="B26" s="5" t="s">
        <v>23</v>
      </c>
    </row>
    <row r="27" spans="2:2">
      <c r="B27" s="7" t="s">
        <v>24</v>
      </c>
    </row>
    <row r="28" spans="2:2">
      <c r="B28" s="8" t="s">
        <v>25</v>
      </c>
    </row>
    <row r="29" spans="2:2">
      <c r="B29" s="9" t="s">
        <v>26</v>
      </c>
    </row>
    <row r="32" spans="2:2">
      <c r="B32" s="6" t="s">
        <v>27</v>
      </c>
    </row>
    <row r="33" spans="2:3" ht="17.100000000000001">
      <c r="B33" s="140" t="s">
        <v>28</v>
      </c>
      <c r="C33" s="141"/>
    </row>
    <row r="34" spans="2:3">
      <c r="B34" s="82" t="s">
        <v>29</v>
      </c>
      <c r="C34" s="142" t="str">
        <f>Assumptions!$B$3</f>
        <v>Base</v>
      </c>
    </row>
    <row r="36" spans="2:3" ht="15.95">
      <c r="B36" s="88" t="s">
        <v>30</v>
      </c>
      <c r="C36" s="143">
        <f>DCF!C39</f>
        <v>9467.9686215489091</v>
      </c>
    </row>
    <row r="37" spans="2:3">
      <c r="B37" s="213" t="s">
        <v>31</v>
      </c>
      <c r="C37" s="144">
        <f>DCF!C44</f>
        <v>700</v>
      </c>
    </row>
    <row r="38" spans="2:3">
      <c r="B38" s="213" t="s">
        <v>32</v>
      </c>
      <c r="C38" s="144">
        <f>DCF!C43</f>
        <v>-10</v>
      </c>
    </row>
    <row r="39" spans="2:3">
      <c r="B39" s="145" t="s">
        <v>33</v>
      </c>
      <c r="C39" s="146">
        <f>DCF!C45</f>
        <v>10157.968621548909</v>
      </c>
    </row>
    <row r="40" spans="2:3">
      <c r="B40" s="213" t="s">
        <v>34</v>
      </c>
      <c r="C40" s="147">
        <f>DCF!C47</f>
        <v>24.775533223290022</v>
      </c>
    </row>
    <row r="42" spans="2:3">
      <c r="B42" s="88" t="s">
        <v>35</v>
      </c>
      <c r="C42" s="144">
        <f>DCF!C53</f>
        <v>2392.5</v>
      </c>
    </row>
    <row r="43" spans="2:3" ht="15.95">
      <c r="B43" s="88" t="s">
        <v>36</v>
      </c>
      <c r="C43" s="143">
        <f>DCF!C54</f>
        <v>11860.468621548909</v>
      </c>
    </row>
    <row r="45" spans="2:3">
      <c r="B45" s="82" t="s">
        <v>37</v>
      </c>
      <c r="C45" s="148">
        <f>DCF!C59</f>
        <v>10100</v>
      </c>
    </row>
    <row r="46" spans="2:3">
      <c r="B46" s="88" t="s">
        <v>38</v>
      </c>
      <c r="C46" s="121">
        <f>DCF!C60</f>
        <v>-6.2577364203078356E-2</v>
      </c>
    </row>
    <row r="47" spans="2:3">
      <c r="B47" s="88" t="s">
        <v>39</v>
      </c>
      <c r="C47" s="121">
        <f>DCF!C61</f>
        <v>0.17430382391573351</v>
      </c>
    </row>
    <row r="48" spans="2:3" ht="17.100000000000001">
      <c r="B48" s="149" t="s">
        <v>40</v>
      </c>
      <c r="C48" s="141"/>
    </row>
    <row r="49" spans="2:3" ht="15.95">
      <c r="B49" s="88" t="s">
        <v>41</v>
      </c>
      <c r="C49" s="143">
        <f>'Football Field'!D16*1000</f>
        <v>8635.4519753961449</v>
      </c>
    </row>
    <row r="50" spans="2:3">
      <c r="B50" s="213" t="s">
        <v>34</v>
      </c>
      <c r="C50" s="147">
        <f>'Football Field'!G16</f>
        <v>22.745004818039376</v>
      </c>
    </row>
    <row r="51" spans="2:3">
      <c r="B51" s="88" t="s">
        <v>42</v>
      </c>
      <c r="C51" s="121">
        <f>'Football Field'!D18</f>
        <v>-0.14500475491127285</v>
      </c>
    </row>
    <row r="53" spans="2:3" ht="17.100000000000001">
      <c r="B53" s="149" t="s">
        <v>43</v>
      </c>
      <c r="C53" s="141"/>
    </row>
    <row r="54" spans="2:3">
      <c r="B54" s="213" t="s">
        <v>44</v>
      </c>
      <c r="C54" s="150">
        <f>Checks!B17</f>
        <v>7</v>
      </c>
    </row>
    <row r="55" spans="2:3">
      <c r="B55" s="213" t="s">
        <v>45</v>
      </c>
      <c r="C55" s="138">
        <f>Checks!B18</f>
        <v>2</v>
      </c>
    </row>
    <row r="56" spans="2:3">
      <c r="B56" s="170" t="s">
        <v>46</v>
      </c>
      <c r="C56" s="139">
        <f>Checks!B19</f>
        <v>0</v>
      </c>
    </row>
    <row r="57" spans="2:3">
      <c r="B57" s="206" t="s">
        <v>47</v>
      </c>
      <c r="C57" s="88" t="str">
        <f>Checks!B20</f>
        <v>WARN</v>
      </c>
    </row>
    <row r="58" spans="2:3">
      <c r="B58" s="207"/>
      <c r="C58" s="213"/>
    </row>
    <row r="59" spans="2:3" ht="17.100000000000001">
      <c r="B59" s="149" t="s">
        <v>48</v>
      </c>
      <c r="C59" s="141"/>
    </row>
    <row r="60" spans="2:3" ht="105">
      <c r="B60" s="190" t="s">
        <v>49</v>
      </c>
      <c r="C60" s="213"/>
    </row>
    <row r="61" spans="2:3" ht="66">
      <c r="B61" s="190" t="s">
        <v>50</v>
      </c>
      <c r="C61" s="2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I149"/>
  <sheetViews>
    <sheetView showGridLines="0" topLeftCell="B29" workbookViewId="0">
      <selection activeCell="D46" sqref="D46"/>
    </sheetView>
  </sheetViews>
  <sheetFormatPr defaultColWidth="8.85546875" defaultRowHeight="15"/>
  <cols>
    <col min="1" max="1" width="35" customWidth="1"/>
    <col min="2" max="2" width="46" customWidth="1"/>
    <col min="3" max="5" width="12" customWidth="1"/>
    <col min="6" max="6" width="13" customWidth="1"/>
    <col min="7" max="7" width="11" customWidth="1"/>
    <col min="8" max="8" width="14" customWidth="1"/>
    <col min="9" max="9" width="62" customWidth="1"/>
  </cols>
  <sheetData>
    <row r="1" spans="1:9" ht="27.95" customHeight="1">
      <c r="A1" s="340" t="s">
        <v>51</v>
      </c>
      <c r="B1" s="348"/>
      <c r="C1" s="348"/>
      <c r="D1" s="348"/>
      <c r="E1" s="348"/>
      <c r="F1" s="348"/>
      <c r="G1" s="348"/>
      <c r="H1" s="348"/>
      <c r="I1" s="348"/>
    </row>
    <row r="2" spans="1:9">
      <c r="A2" s="219"/>
      <c r="B2" s="219"/>
      <c r="C2" s="219"/>
      <c r="D2" s="219"/>
      <c r="E2" s="219"/>
      <c r="F2" s="219"/>
      <c r="G2" s="219"/>
      <c r="H2" s="219"/>
      <c r="I2" s="219"/>
    </row>
    <row r="3" spans="1:9" ht="21.95" customHeight="1">
      <c r="A3" s="220" t="s">
        <v>52</v>
      </c>
      <c r="B3" s="220" t="s">
        <v>53</v>
      </c>
      <c r="C3" s="342" t="s">
        <v>54</v>
      </c>
      <c r="D3" s="349"/>
      <c r="E3" s="349"/>
      <c r="F3" s="349"/>
      <c r="G3" s="349"/>
      <c r="H3" s="349"/>
      <c r="I3" s="349"/>
    </row>
    <row r="4" spans="1:9">
      <c r="A4" s="219"/>
      <c r="B4" s="219"/>
      <c r="C4" s="219"/>
      <c r="D4" s="219"/>
      <c r="E4" s="219"/>
      <c r="F4" s="219"/>
      <c r="G4" s="219"/>
      <c r="H4" s="219"/>
      <c r="I4" s="219"/>
    </row>
    <row r="5" spans="1:9" ht="20.100000000000001" customHeight="1">
      <c r="A5" s="221" t="s">
        <v>55</v>
      </c>
      <c r="B5" s="221" t="s">
        <v>56</v>
      </c>
      <c r="C5" s="221" t="s">
        <v>57</v>
      </c>
      <c r="D5" s="221" t="s">
        <v>53</v>
      </c>
      <c r="E5" s="221" t="s">
        <v>58</v>
      </c>
      <c r="F5" s="221" t="s">
        <v>59</v>
      </c>
      <c r="G5" s="221" t="s">
        <v>60</v>
      </c>
      <c r="H5" s="221" t="s">
        <v>61</v>
      </c>
      <c r="I5" s="221" t="s">
        <v>62</v>
      </c>
    </row>
    <row r="6" spans="1:9">
      <c r="A6" s="219"/>
      <c r="B6" s="219"/>
      <c r="C6" s="219"/>
      <c r="D6" s="219"/>
      <c r="E6" s="219"/>
      <c r="F6" s="219"/>
      <c r="G6" s="219"/>
      <c r="H6" s="219"/>
      <c r="I6" s="219"/>
    </row>
    <row r="7" spans="1:9" ht="21.95" customHeight="1">
      <c r="A7" s="341" t="s">
        <v>63</v>
      </c>
      <c r="B7" s="350"/>
      <c r="C7" s="350"/>
      <c r="D7" s="350"/>
      <c r="E7" s="350"/>
      <c r="F7" s="350"/>
      <c r="G7" s="350"/>
      <c r="H7" s="350"/>
      <c r="I7" s="350"/>
    </row>
    <row r="8" spans="1:9">
      <c r="A8" s="222" t="s">
        <v>64</v>
      </c>
      <c r="B8" s="223" t="s">
        <v>65</v>
      </c>
      <c r="C8" s="29">
        <v>1.5</v>
      </c>
      <c r="D8" s="29">
        <v>1.3</v>
      </c>
      <c r="E8" s="29">
        <v>1.1000000000000001</v>
      </c>
      <c r="F8" s="38">
        <f t="shared" ref="F8:F28" si="0">IF($B$3="Bear",C8,IF($B$3="Bull",E8,D8))</f>
        <v>1.3</v>
      </c>
      <c r="G8" s="224" t="s">
        <v>66</v>
      </c>
      <c r="H8" s="224" t="s">
        <v>67</v>
      </c>
      <c r="I8" s="240" t="s">
        <v>68</v>
      </c>
    </row>
    <row r="9" spans="1:9">
      <c r="A9" s="222" t="s">
        <v>69</v>
      </c>
      <c r="B9" s="223" t="s">
        <v>70</v>
      </c>
      <c r="C9" s="29">
        <v>2.2999999999999998</v>
      </c>
      <c r="D9" s="29">
        <v>2.5</v>
      </c>
      <c r="E9" s="29">
        <v>2.7</v>
      </c>
      <c r="F9" s="38">
        <f t="shared" si="0"/>
        <v>2.5</v>
      </c>
      <c r="G9" s="224" t="s">
        <v>71</v>
      </c>
      <c r="H9" s="224" t="s">
        <v>72</v>
      </c>
      <c r="I9" s="240" t="s">
        <v>73</v>
      </c>
    </row>
    <row r="10" spans="1:9">
      <c r="A10" s="222" t="s">
        <v>74</v>
      </c>
      <c r="B10" s="223" t="s">
        <v>75</v>
      </c>
      <c r="C10" s="39">
        <f>(C8+C9)/2</f>
        <v>1.9</v>
      </c>
      <c r="D10" s="39">
        <f>(D8+D9)/2</f>
        <v>1.9</v>
      </c>
      <c r="E10" s="39">
        <f>(E8+E9)/2</f>
        <v>1.9000000000000001</v>
      </c>
      <c r="F10" s="39">
        <f t="shared" si="0"/>
        <v>1.9</v>
      </c>
      <c r="G10" s="224" t="s">
        <v>76</v>
      </c>
      <c r="H10" s="224" t="s">
        <v>72</v>
      </c>
      <c r="I10" s="240" t="s">
        <v>77</v>
      </c>
    </row>
    <row r="11" spans="1:9" ht="26.1">
      <c r="A11" s="222" t="s">
        <v>78</v>
      </c>
      <c r="B11" s="223" t="s">
        <v>79</v>
      </c>
      <c r="C11" s="225">
        <v>300</v>
      </c>
      <c r="D11" s="225">
        <v>338</v>
      </c>
      <c r="E11" s="225">
        <v>375</v>
      </c>
      <c r="F11" s="226">
        <f t="shared" si="0"/>
        <v>338</v>
      </c>
      <c r="G11" s="224" t="s">
        <v>66</v>
      </c>
      <c r="H11" s="224" t="s">
        <v>72</v>
      </c>
      <c r="I11" s="240" t="s">
        <v>80</v>
      </c>
    </row>
    <row r="12" spans="1:9" ht="26.1">
      <c r="A12" s="222" t="s">
        <v>81</v>
      </c>
      <c r="B12" s="223" t="s">
        <v>82</v>
      </c>
      <c r="C12" s="227">
        <f>C10*C11</f>
        <v>570</v>
      </c>
      <c r="D12" s="227">
        <f>D10*D11</f>
        <v>642.19999999999993</v>
      </c>
      <c r="E12" s="227">
        <f>E10*E11</f>
        <v>712.5</v>
      </c>
      <c r="F12" s="227">
        <f t="shared" si="0"/>
        <v>642.19999999999993</v>
      </c>
      <c r="G12" s="224" t="s">
        <v>76</v>
      </c>
      <c r="H12" s="224" t="s">
        <v>72</v>
      </c>
      <c r="I12" s="240" t="s">
        <v>83</v>
      </c>
    </row>
    <row r="13" spans="1:9">
      <c r="A13" s="222" t="s">
        <v>84</v>
      </c>
      <c r="B13" s="223" t="s">
        <v>85</v>
      </c>
      <c r="C13" s="225">
        <v>1100</v>
      </c>
      <c r="D13" s="225">
        <v>1100</v>
      </c>
      <c r="E13" s="225">
        <v>1100</v>
      </c>
      <c r="F13" s="226">
        <f t="shared" si="0"/>
        <v>1100</v>
      </c>
      <c r="G13" s="224" t="s">
        <v>71</v>
      </c>
      <c r="H13" s="224" t="s">
        <v>86</v>
      </c>
      <c r="I13" s="240" t="s">
        <v>87</v>
      </c>
    </row>
    <row r="14" spans="1:9">
      <c r="A14" s="222" t="s">
        <v>88</v>
      </c>
      <c r="B14" s="223" t="s">
        <v>89</v>
      </c>
      <c r="C14" s="31">
        <v>0.8</v>
      </c>
      <c r="D14" s="31">
        <v>0.85</v>
      </c>
      <c r="E14" s="31">
        <v>0.88</v>
      </c>
      <c r="F14" s="41">
        <f t="shared" si="0"/>
        <v>0.85</v>
      </c>
      <c r="G14" s="224" t="s">
        <v>90</v>
      </c>
      <c r="H14" s="224" t="s">
        <v>67</v>
      </c>
      <c r="I14" s="240" t="s">
        <v>91</v>
      </c>
    </row>
    <row r="15" spans="1:9">
      <c r="A15" s="222" t="s">
        <v>92</v>
      </c>
      <c r="B15" s="223" t="s">
        <v>93</v>
      </c>
      <c r="C15" s="31">
        <v>1.03</v>
      </c>
      <c r="D15" s="31">
        <v>1.03</v>
      </c>
      <c r="E15" s="31">
        <v>1.03</v>
      </c>
      <c r="F15" s="41">
        <f t="shared" si="0"/>
        <v>1.03</v>
      </c>
      <c r="G15" s="224" t="s">
        <v>71</v>
      </c>
      <c r="H15" s="224" t="s">
        <v>86</v>
      </c>
      <c r="I15" s="240" t="s">
        <v>94</v>
      </c>
    </row>
    <row r="16" spans="1:9">
      <c r="A16" s="222" t="s">
        <v>95</v>
      </c>
      <c r="B16" s="223" t="s">
        <v>96</v>
      </c>
      <c r="C16" s="31">
        <v>0.5</v>
      </c>
      <c r="D16" s="31">
        <v>0.7</v>
      </c>
      <c r="E16" s="31">
        <v>0.9</v>
      </c>
      <c r="F16" s="41">
        <f t="shared" si="0"/>
        <v>0.7</v>
      </c>
      <c r="G16" s="224" t="s">
        <v>66</v>
      </c>
      <c r="H16" s="224" t="s">
        <v>72</v>
      </c>
      <c r="I16" s="240" t="s">
        <v>97</v>
      </c>
    </row>
    <row r="17" spans="1:9">
      <c r="A17" s="222" t="s">
        <v>98</v>
      </c>
      <c r="B17" s="223" t="s">
        <v>99</v>
      </c>
      <c r="C17" s="31">
        <v>0.15</v>
      </c>
      <c r="D17" s="31">
        <v>0.25</v>
      </c>
      <c r="E17" s="31">
        <v>0.4</v>
      </c>
      <c r="F17" s="41">
        <f t="shared" si="0"/>
        <v>0.25</v>
      </c>
      <c r="G17" s="224" t="s">
        <v>66</v>
      </c>
      <c r="H17" s="224" t="s">
        <v>72</v>
      </c>
      <c r="I17" s="240" t="s">
        <v>100</v>
      </c>
    </row>
    <row r="18" spans="1:9">
      <c r="A18" s="222" t="s">
        <v>101</v>
      </c>
      <c r="B18" s="223" t="s">
        <v>102</v>
      </c>
      <c r="C18" s="31">
        <v>0.05</v>
      </c>
      <c r="D18" s="31">
        <v>0.12</v>
      </c>
      <c r="E18" s="31">
        <v>0.2</v>
      </c>
      <c r="F18" s="41">
        <f t="shared" si="0"/>
        <v>0.12</v>
      </c>
      <c r="G18" s="224" t="s">
        <v>66</v>
      </c>
      <c r="H18" s="224" t="s">
        <v>67</v>
      </c>
      <c r="I18" s="240" t="s">
        <v>103</v>
      </c>
    </row>
    <row r="19" spans="1:9">
      <c r="A19" s="228" t="s">
        <v>104</v>
      </c>
      <c r="B19" s="229" t="s">
        <v>105</v>
      </c>
      <c r="C19" s="42">
        <v>0.3</v>
      </c>
      <c r="D19" s="42">
        <v>0.22</v>
      </c>
      <c r="E19" s="42">
        <v>0.15</v>
      </c>
      <c r="F19" s="43">
        <f t="shared" si="0"/>
        <v>0.22</v>
      </c>
      <c r="G19" s="230" t="s">
        <v>66</v>
      </c>
      <c r="H19" s="231" t="s">
        <v>72</v>
      </c>
      <c r="I19" s="232" t="s">
        <v>106</v>
      </c>
    </row>
    <row r="20" spans="1:9">
      <c r="A20" s="228" t="s">
        <v>107</v>
      </c>
      <c r="B20" s="229" t="s">
        <v>108</v>
      </c>
      <c r="C20" s="42">
        <v>0.18</v>
      </c>
      <c r="D20" s="42">
        <v>0.14000000000000001</v>
      </c>
      <c r="E20" s="42">
        <v>0.1</v>
      </c>
      <c r="F20" s="43">
        <f t="shared" si="0"/>
        <v>0.14000000000000001</v>
      </c>
      <c r="G20" s="230" t="s">
        <v>66</v>
      </c>
      <c r="H20" s="231" t="s">
        <v>72</v>
      </c>
      <c r="I20" s="232" t="s">
        <v>109</v>
      </c>
    </row>
    <row r="21" spans="1:9">
      <c r="A21" s="228" t="s">
        <v>110</v>
      </c>
      <c r="B21" s="229" t="s">
        <v>111</v>
      </c>
      <c r="C21" s="42">
        <v>0.12</v>
      </c>
      <c r="D21" s="42">
        <v>0.08</v>
      </c>
      <c r="E21" s="42">
        <v>0.05</v>
      </c>
      <c r="F21" s="43">
        <f t="shared" si="0"/>
        <v>0.08</v>
      </c>
      <c r="G21" s="230" t="s">
        <v>66</v>
      </c>
      <c r="H21" s="231" t="s">
        <v>72</v>
      </c>
      <c r="I21" s="232" t="s">
        <v>112</v>
      </c>
    </row>
    <row r="22" spans="1:9">
      <c r="A22" s="222" t="s">
        <v>113</v>
      </c>
      <c r="B22" s="223" t="s">
        <v>114</v>
      </c>
      <c r="C22" s="31">
        <v>0.35</v>
      </c>
      <c r="D22" s="31">
        <v>0.43</v>
      </c>
      <c r="E22" s="31">
        <v>0.55000000000000004</v>
      </c>
      <c r="F22" s="41">
        <f t="shared" si="0"/>
        <v>0.43</v>
      </c>
      <c r="G22" s="224" t="s">
        <v>90</v>
      </c>
      <c r="H22" s="224" t="s">
        <v>67</v>
      </c>
      <c r="I22" s="240" t="s">
        <v>115</v>
      </c>
    </row>
    <row r="23" spans="1:9">
      <c r="A23" s="222" t="s">
        <v>116</v>
      </c>
      <c r="B23" s="223" t="s">
        <v>117</v>
      </c>
      <c r="C23" s="31">
        <v>0.12</v>
      </c>
      <c r="D23" s="31">
        <v>0.18</v>
      </c>
      <c r="E23" s="31">
        <v>0.25</v>
      </c>
      <c r="F23" s="41">
        <f t="shared" si="0"/>
        <v>0.18</v>
      </c>
      <c r="G23" s="224" t="s">
        <v>90</v>
      </c>
      <c r="H23" s="224" t="s">
        <v>118</v>
      </c>
      <c r="I23" s="240" t="s">
        <v>119</v>
      </c>
    </row>
    <row r="24" spans="1:9" ht="26.1">
      <c r="A24" s="228" t="s">
        <v>120</v>
      </c>
      <c r="B24" s="229" t="s">
        <v>121</v>
      </c>
      <c r="C24" s="42">
        <v>0.03</v>
      </c>
      <c r="D24" s="42">
        <v>0.1</v>
      </c>
      <c r="E24" s="42">
        <v>0.25</v>
      </c>
      <c r="F24" s="43">
        <f t="shared" si="0"/>
        <v>0.1</v>
      </c>
      <c r="G24" s="230" t="s">
        <v>66</v>
      </c>
      <c r="H24" s="231" t="s">
        <v>72</v>
      </c>
      <c r="I24" s="232" t="s">
        <v>122</v>
      </c>
    </row>
    <row r="25" spans="1:9">
      <c r="A25" s="228" t="s">
        <v>123</v>
      </c>
      <c r="B25" s="229" t="s">
        <v>124</v>
      </c>
      <c r="C25" s="233">
        <v>250</v>
      </c>
      <c r="D25" s="233">
        <v>300</v>
      </c>
      <c r="E25" s="233">
        <v>350</v>
      </c>
      <c r="F25" s="234">
        <f t="shared" si="0"/>
        <v>300</v>
      </c>
      <c r="G25" s="230" t="s">
        <v>66</v>
      </c>
      <c r="H25" s="231" t="s">
        <v>67</v>
      </c>
      <c r="I25" s="232" t="s">
        <v>125</v>
      </c>
    </row>
    <row r="26" spans="1:9">
      <c r="A26" s="222" t="s">
        <v>126</v>
      </c>
      <c r="B26" s="223" t="s">
        <v>127</v>
      </c>
      <c r="C26" s="31">
        <v>0.02</v>
      </c>
      <c r="D26" s="31">
        <v>0.03</v>
      </c>
      <c r="E26" s="31">
        <v>0.04</v>
      </c>
      <c r="F26" s="41">
        <f t="shared" si="0"/>
        <v>0.03</v>
      </c>
      <c r="G26" s="224" t="s">
        <v>66</v>
      </c>
      <c r="H26" s="224" t="s">
        <v>118</v>
      </c>
      <c r="I26" s="240" t="s">
        <v>128</v>
      </c>
    </row>
    <row r="27" spans="1:9" ht="26.1">
      <c r="A27" s="228" t="s">
        <v>129</v>
      </c>
      <c r="B27" s="229" t="s">
        <v>130</v>
      </c>
      <c r="C27" s="44">
        <v>1.5</v>
      </c>
      <c r="D27" s="44">
        <v>1.9</v>
      </c>
      <c r="E27" s="44">
        <v>2.2999999999999998</v>
      </c>
      <c r="F27" s="45">
        <f t="shared" si="0"/>
        <v>1.9</v>
      </c>
      <c r="G27" s="230" t="s">
        <v>66</v>
      </c>
      <c r="H27" s="231" t="s">
        <v>72</v>
      </c>
      <c r="I27" s="232" t="s">
        <v>131</v>
      </c>
    </row>
    <row r="28" spans="1:9">
      <c r="A28" s="222" t="s">
        <v>132</v>
      </c>
      <c r="B28" s="223" t="s">
        <v>133</v>
      </c>
      <c r="C28" s="31">
        <v>-0.1</v>
      </c>
      <c r="D28" s="31">
        <v>-0.08</v>
      </c>
      <c r="E28" s="31">
        <v>-0.05</v>
      </c>
      <c r="F28" s="41">
        <f t="shared" si="0"/>
        <v>-0.08</v>
      </c>
      <c r="G28" s="224" t="s">
        <v>66</v>
      </c>
      <c r="H28" s="224" t="s">
        <v>118</v>
      </c>
      <c r="I28" s="240" t="s">
        <v>134</v>
      </c>
    </row>
    <row r="29" spans="1:9">
      <c r="A29" s="219"/>
      <c r="B29" s="219"/>
      <c r="C29" s="219"/>
      <c r="D29" s="219"/>
      <c r="E29" s="219"/>
      <c r="F29" s="219"/>
      <c r="G29" s="219"/>
      <c r="H29" s="219"/>
      <c r="I29" s="219"/>
    </row>
    <row r="30" spans="1:9" ht="21.95" customHeight="1">
      <c r="A30" s="341" t="s">
        <v>135</v>
      </c>
      <c r="B30" s="350"/>
      <c r="C30" s="350"/>
      <c r="D30" s="350"/>
      <c r="E30" s="350"/>
      <c r="F30" s="350"/>
      <c r="G30" s="350"/>
      <c r="H30" s="350"/>
      <c r="I30" s="350"/>
    </row>
    <row r="31" spans="1:9">
      <c r="A31" s="228" t="s">
        <v>136</v>
      </c>
      <c r="B31" s="229" t="s">
        <v>137</v>
      </c>
      <c r="C31" s="233">
        <v>100</v>
      </c>
      <c r="D31" s="233">
        <v>80</v>
      </c>
      <c r="E31" s="233">
        <v>60</v>
      </c>
      <c r="F31" s="234">
        <f t="shared" ref="F31:F52" si="1">IF($B$3="Bear",C31,IF($B$3="Bull",E31,D31))</f>
        <v>80</v>
      </c>
      <c r="G31" s="230" t="s">
        <v>66</v>
      </c>
      <c r="H31" s="231" t="s">
        <v>72</v>
      </c>
      <c r="I31" s="232" t="s">
        <v>138</v>
      </c>
    </row>
    <row r="32" spans="1:9">
      <c r="A32" s="228" t="s">
        <v>139</v>
      </c>
      <c r="B32" s="229" t="s">
        <v>140</v>
      </c>
      <c r="C32" s="233">
        <v>150</v>
      </c>
      <c r="D32" s="233">
        <v>120</v>
      </c>
      <c r="E32" s="233">
        <v>90</v>
      </c>
      <c r="F32" s="234">
        <f t="shared" si="1"/>
        <v>120</v>
      </c>
      <c r="G32" s="230" t="s">
        <v>66</v>
      </c>
      <c r="H32" s="231" t="s">
        <v>72</v>
      </c>
      <c r="I32" s="232" t="s">
        <v>141</v>
      </c>
    </row>
    <row r="33" spans="1:9">
      <c r="A33" s="222" t="s">
        <v>142</v>
      </c>
      <c r="B33" s="223" t="s">
        <v>143</v>
      </c>
      <c r="C33" s="31">
        <v>0.15</v>
      </c>
      <c r="D33" s="31">
        <v>0.1</v>
      </c>
      <c r="E33" s="31">
        <v>0.08</v>
      </c>
      <c r="F33" s="41">
        <f t="shared" si="1"/>
        <v>0.1</v>
      </c>
      <c r="G33" s="224" t="s">
        <v>66</v>
      </c>
      <c r="H33" s="224" t="s">
        <v>67</v>
      </c>
      <c r="I33" s="240" t="s">
        <v>144</v>
      </c>
    </row>
    <row r="34" spans="1:9">
      <c r="A34" s="222" t="s">
        <v>145</v>
      </c>
      <c r="B34" s="223" t="s">
        <v>146</v>
      </c>
      <c r="C34" s="31">
        <v>0.72</v>
      </c>
      <c r="D34" s="31">
        <v>0.78</v>
      </c>
      <c r="E34" s="31">
        <v>0.83</v>
      </c>
      <c r="F34" s="41">
        <f t="shared" si="1"/>
        <v>0.78</v>
      </c>
      <c r="G34" s="224" t="s">
        <v>66</v>
      </c>
      <c r="H34" s="224" t="s">
        <v>72</v>
      </c>
      <c r="I34" s="240" t="s">
        <v>147</v>
      </c>
    </row>
    <row r="35" spans="1:9">
      <c r="A35" s="222" t="s">
        <v>148</v>
      </c>
      <c r="B35" s="223" t="s">
        <v>149</v>
      </c>
      <c r="C35" s="31">
        <v>-0.1</v>
      </c>
      <c r="D35" s="31">
        <v>-0.02</v>
      </c>
      <c r="E35" s="31">
        <v>0.05</v>
      </c>
      <c r="F35" s="41">
        <f t="shared" si="1"/>
        <v>-0.02</v>
      </c>
      <c r="G35" s="224" t="s">
        <v>66</v>
      </c>
      <c r="H35" s="224" t="s">
        <v>72</v>
      </c>
      <c r="I35" s="240" t="s">
        <v>150</v>
      </c>
    </row>
    <row r="36" spans="1:9">
      <c r="A36" s="222" t="s">
        <v>151</v>
      </c>
      <c r="B36" s="223" t="s">
        <v>152</v>
      </c>
      <c r="C36" s="31">
        <v>0.56000000000000005</v>
      </c>
      <c r="D36" s="31">
        <v>0.6</v>
      </c>
      <c r="E36" s="31">
        <v>0.64</v>
      </c>
      <c r="F36" s="41">
        <f t="shared" si="1"/>
        <v>0.6</v>
      </c>
      <c r="G36" s="224" t="s">
        <v>66</v>
      </c>
      <c r="H36" s="224" t="s">
        <v>72</v>
      </c>
      <c r="I36" s="240" t="s">
        <v>153</v>
      </c>
    </row>
    <row r="37" spans="1:9">
      <c r="A37" s="222" t="s">
        <v>154</v>
      </c>
      <c r="B37" s="223" t="s">
        <v>155</v>
      </c>
      <c r="C37" s="31">
        <v>0.63</v>
      </c>
      <c r="D37" s="31">
        <v>0.67</v>
      </c>
      <c r="E37" s="31">
        <v>0.72</v>
      </c>
      <c r="F37" s="41">
        <f t="shared" si="1"/>
        <v>0.67</v>
      </c>
      <c r="G37" s="224" t="s">
        <v>66</v>
      </c>
      <c r="H37" s="224" t="s">
        <v>67</v>
      </c>
      <c r="I37" s="240" t="s">
        <v>156</v>
      </c>
    </row>
    <row r="38" spans="1:9">
      <c r="A38" s="222" t="s">
        <v>157</v>
      </c>
      <c r="B38" s="223" t="s">
        <v>158</v>
      </c>
      <c r="C38" s="31">
        <v>0.72</v>
      </c>
      <c r="D38" s="31">
        <v>0.76</v>
      </c>
      <c r="E38" s="31">
        <v>0.8</v>
      </c>
      <c r="F38" s="41">
        <f t="shared" si="1"/>
        <v>0.76</v>
      </c>
      <c r="G38" s="224" t="s">
        <v>66</v>
      </c>
      <c r="H38" s="224" t="s">
        <v>67</v>
      </c>
      <c r="I38" s="240" t="s">
        <v>159</v>
      </c>
    </row>
    <row r="39" spans="1:9">
      <c r="A39" s="222" t="s">
        <v>160</v>
      </c>
      <c r="B39" s="223" t="s">
        <v>161</v>
      </c>
      <c r="C39" s="31">
        <v>0.25</v>
      </c>
      <c r="D39" s="31">
        <v>0.22</v>
      </c>
      <c r="E39" s="31">
        <v>0.2</v>
      </c>
      <c r="F39" s="41">
        <f t="shared" si="1"/>
        <v>0.22</v>
      </c>
      <c r="G39" s="224" t="s">
        <v>66</v>
      </c>
      <c r="H39" s="224" t="s">
        <v>67</v>
      </c>
      <c r="I39" s="240" t="s">
        <v>162</v>
      </c>
    </row>
    <row r="40" spans="1:9">
      <c r="A40" s="222" t="s">
        <v>163</v>
      </c>
      <c r="B40" s="223" t="s">
        <v>164</v>
      </c>
      <c r="C40" s="31">
        <v>0.12</v>
      </c>
      <c r="D40" s="31">
        <v>0.15</v>
      </c>
      <c r="E40" s="31">
        <v>0.18</v>
      </c>
      <c r="F40" s="41">
        <f t="shared" si="1"/>
        <v>0.15</v>
      </c>
      <c r="G40" s="224" t="s">
        <v>66</v>
      </c>
      <c r="H40" s="224" t="s">
        <v>118</v>
      </c>
      <c r="I40" s="240" t="s">
        <v>165</v>
      </c>
    </row>
    <row r="41" spans="1:9">
      <c r="A41" s="222" t="s">
        <v>166</v>
      </c>
      <c r="B41" s="223" t="s">
        <v>167</v>
      </c>
      <c r="C41" s="31">
        <v>0.35</v>
      </c>
      <c r="D41" s="31">
        <v>0.3</v>
      </c>
      <c r="E41" s="31">
        <v>0.25</v>
      </c>
      <c r="F41" s="41">
        <f t="shared" si="1"/>
        <v>0.3</v>
      </c>
      <c r="G41" s="224" t="s">
        <v>66</v>
      </c>
      <c r="H41" s="224" t="s">
        <v>72</v>
      </c>
      <c r="I41" s="240" t="s">
        <v>168</v>
      </c>
    </row>
    <row r="42" spans="1:9">
      <c r="A42" s="228" t="s">
        <v>169</v>
      </c>
      <c r="B42" s="229" t="s">
        <v>170</v>
      </c>
      <c r="C42" s="233">
        <v>220</v>
      </c>
      <c r="D42" s="233">
        <v>175</v>
      </c>
      <c r="E42" s="233">
        <v>130</v>
      </c>
      <c r="F42" s="234">
        <f t="shared" si="1"/>
        <v>175</v>
      </c>
      <c r="G42" s="230" t="s">
        <v>66</v>
      </c>
      <c r="H42" s="231" t="s">
        <v>72</v>
      </c>
      <c r="I42" s="232" t="s">
        <v>171</v>
      </c>
    </row>
    <row r="43" spans="1:9">
      <c r="A43" s="228" t="s">
        <v>172</v>
      </c>
      <c r="B43" s="229" t="s">
        <v>173</v>
      </c>
      <c r="C43" s="233">
        <v>100</v>
      </c>
      <c r="D43" s="233">
        <v>60</v>
      </c>
      <c r="E43" s="233">
        <v>30</v>
      </c>
      <c r="F43" s="234">
        <f t="shared" si="1"/>
        <v>60</v>
      </c>
      <c r="G43" s="230" t="s">
        <v>66</v>
      </c>
      <c r="H43" s="231" t="s">
        <v>67</v>
      </c>
      <c r="I43" s="232" t="s">
        <v>174</v>
      </c>
    </row>
    <row r="44" spans="1:9">
      <c r="A44" s="222" t="s">
        <v>175</v>
      </c>
      <c r="B44" s="223" t="s">
        <v>176</v>
      </c>
      <c r="C44" s="31">
        <v>0.2</v>
      </c>
      <c r="D44" s="31">
        <v>0.17</v>
      </c>
      <c r="E44" s="31">
        <v>0.15</v>
      </c>
      <c r="F44" s="41">
        <f t="shared" si="1"/>
        <v>0.17</v>
      </c>
      <c r="G44" s="224" t="s">
        <v>66</v>
      </c>
      <c r="H44" s="224" t="s">
        <v>67</v>
      </c>
      <c r="I44" s="240" t="s">
        <v>177</v>
      </c>
    </row>
    <row r="45" spans="1:9">
      <c r="A45" s="222" t="s">
        <v>178</v>
      </c>
      <c r="B45" s="223" t="s">
        <v>179</v>
      </c>
      <c r="C45" s="31">
        <v>0.18</v>
      </c>
      <c r="D45" s="31">
        <v>0.15</v>
      </c>
      <c r="E45" s="31">
        <v>0.12</v>
      </c>
      <c r="F45" s="41">
        <f t="shared" si="1"/>
        <v>0.15</v>
      </c>
      <c r="G45" s="224" t="s">
        <v>66</v>
      </c>
      <c r="H45" s="224" t="s">
        <v>118</v>
      </c>
      <c r="I45" s="240" t="s">
        <v>180</v>
      </c>
    </row>
    <row r="46" spans="1:9">
      <c r="A46" s="222" t="s">
        <v>181</v>
      </c>
      <c r="B46" s="223" t="s">
        <v>182</v>
      </c>
      <c r="C46" s="31">
        <v>0.13</v>
      </c>
      <c r="D46" s="31">
        <v>0.11</v>
      </c>
      <c r="E46" s="31">
        <v>0.09</v>
      </c>
      <c r="F46" s="41">
        <f t="shared" si="1"/>
        <v>0.11</v>
      </c>
      <c r="G46" s="224" t="s">
        <v>66</v>
      </c>
      <c r="H46" s="224" t="s">
        <v>118</v>
      </c>
      <c r="I46" s="240" t="s">
        <v>165</v>
      </c>
    </row>
    <row r="47" spans="1:9">
      <c r="A47" s="222" t="s">
        <v>183</v>
      </c>
      <c r="B47" s="223" t="s">
        <v>184</v>
      </c>
      <c r="C47" s="31">
        <v>0.16</v>
      </c>
      <c r="D47" s="31">
        <v>0.14000000000000001</v>
      </c>
      <c r="E47" s="31">
        <v>0.12</v>
      </c>
      <c r="F47" s="41">
        <f t="shared" si="1"/>
        <v>0.14000000000000001</v>
      </c>
      <c r="G47" s="224" t="s">
        <v>66</v>
      </c>
      <c r="H47" s="224" t="s">
        <v>67</v>
      </c>
      <c r="I47" s="240" t="s">
        <v>185</v>
      </c>
    </row>
    <row r="48" spans="1:9" ht="26.1">
      <c r="A48" s="222" t="s">
        <v>186</v>
      </c>
      <c r="B48" s="223" t="s">
        <v>187</v>
      </c>
      <c r="C48" s="31">
        <v>0.1</v>
      </c>
      <c r="D48" s="31">
        <v>0.08</v>
      </c>
      <c r="E48" s="31">
        <v>0.06</v>
      </c>
      <c r="F48" s="41">
        <f>IF($B$3="Bear",C48,IF($B$3="Bull",E48,D48))</f>
        <v>0.08</v>
      </c>
      <c r="G48" s="224" t="s">
        <v>66</v>
      </c>
      <c r="H48" s="224" t="s">
        <v>67</v>
      </c>
      <c r="I48" s="240" t="s">
        <v>188</v>
      </c>
    </row>
    <row r="49" spans="1:9">
      <c r="A49" s="222" t="s">
        <v>189</v>
      </c>
      <c r="B49" s="223" t="s">
        <v>190</v>
      </c>
      <c r="C49" s="31">
        <v>0.05</v>
      </c>
      <c r="D49" s="31">
        <v>0.04</v>
      </c>
      <c r="E49" s="31">
        <v>0.03</v>
      </c>
      <c r="F49" s="41">
        <f t="shared" si="1"/>
        <v>0.04</v>
      </c>
      <c r="G49" s="224" t="s">
        <v>66</v>
      </c>
      <c r="H49" s="224" t="s">
        <v>118</v>
      </c>
      <c r="I49" s="240" t="s">
        <v>191</v>
      </c>
    </row>
    <row r="50" spans="1:9">
      <c r="A50" s="222" t="s">
        <v>192</v>
      </c>
      <c r="B50" s="223" t="s">
        <v>193</v>
      </c>
      <c r="C50" s="31">
        <v>-0.05</v>
      </c>
      <c r="D50" s="31">
        <v>-0.08</v>
      </c>
      <c r="E50" s="31">
        <v>-0.1</v>
      </c>
      <c r="F50" s="41">
        <f t="shared" si="1"/>
        <v>-0.08</v>
      </c>
      <c r="G50" s="224" t="s">
        <v>66</v>
      </c>
      <c r="H50" s="224" t="s">
        <v>67</v>
      </c>
      <c r="I50" s="240" t="s">
        <v>194</v>
      </c>
    </row>
    <row r="51" spans="1:9">
      <c r="A51" s="222" t="s">
        <v>195</v>
      </c>
      <c r="B51" s="223" t="s">
        <v>196</v>
      </c>
      <c r="C51" s="31">
        <v>0.7</v>
      </c>
      <c r="D51" s="31">
        <v>0.65</v>
      </c>
      <c r="E51" s="31">
        <v>0.6</v>
      </c>
      <c r="F51" s="41">
        <f t="shared" si="1"/>
        <v>0.65</v>
      </c>
      <c r="G51" s="224" t="s">
        <v>66</v>
      </c>
      <c r="H51" s="224" t="s">
        <v>67</v>
      </c>
      <c r="I51" s="240" t="s">
        <v>197</v>
      </c>
    </row>
    <row r="52" spans="1:9">
      <c r="A52" s="222" t="s">
        <v>198</v>
      </c>
      <c r="B52" s="223" t="s">
        <v>199</v>
      </c>
      <c r="C52" s="31">
        <v>0.25</v>
      </c>
      <c r="D52" s="31">
        <v>0.23</v>
      </c>
      <c r="E52" s="31">
        <v>0.21</v>
      </c>
      <c r="F52" s="41">
        <f t="shared" si="1"/>
        <v>0.23</v>
      </c>
      <c r="G52" s="224" t="s">
        <v>90</v>
      </c>
      <c r="H52" s="224" t="s">
        <v>118</v>
      </c>
      <c r="I52" s="240" t="s">
        <v>200</v>
      </c>
    </row>
    <row r="53" spans="1:9">
      <c r="A53" s="219" t="s">
        <v>201</v>
      </c>
      <c r="B53" s="219" t="s">
        <v>202</v>
      </c>
      <c r="C53" s="219">
        <v>4.4999999999999998E-2</v>
      </c>
      <c r="D53" s="219">
        <v>3.5000000000000003E-2</v>
      </c>
      <c r="E53" s="219">
        <v>2.5000000000000001E-2</v>
      </c>
      <c r="F53" s="219">
        <f>IF($B$3="Bear",C53,IF($B$3="Bull",E53,D53))</f>
        <v>3.5000000000000003E-2</v>
      </c>
      <c r="G53" s="219" t="s">
        <v>90</v>
      </c>
      <c r="H53" s="219" t="s">
        <v>118</v>
      </c>
      <c r="I53" s="219" t="s">
        <v>203</v>
      </c>
    </row>
    <row r="54" spans="1:9" ht="21.95" customHeight="1">
      <c r="A54" s="341" t="s">
        <v>204</v>
      </c>
      <c r="B54" s="350"/>
      <c r="C54" s="350"/>
      <c r="D54" s="350"/>
      <c r="E54" s="350"/>
      <c r="F54" s="350"/>
      <c r="G54" s="350"/>
      <c r="H54" s="350"/>
      <c r="I54" s="350"/>
    </row>
    <row r="55" spans="1:9">
      <c r="A55" s="228" t="s">
        <v>205</v>
      </c>
      <c r="B55" s="229" t="s">
        <v>206</v>
      </c>
      <c r="C55" s="46">
        <v>420</v>
      </c>
      <c r="D55" s="46">
        <v>410</v>
      </c>
      <c r="E55" s="46">
        <v>400</v>
      </c>
      <c r="F55" s="47">
        <f t="shared" ref="F55:F66" si="2">IF($B$3="Bear",C55,IF($B$3="Bull",E55,D55))</f>
        <v>410</v>
      </c>
      <c r="G55" s="230" t="s">
        <v>66</v>
      </c>
      <c r="H55" s="231" t="s">
        <v>72</v>
      </c>
      <c r="I55" s="232" t="s">
        <v>207</v>
      </c>
    </row>
    <row r="56" spans="1:9">
      <c r="A56" s="228" t="s">
        <v>208</v>
      </c>
      <c r="B56" s="229" t="s">
        <v>209</v>
      </c>
      <c r="C56" s="48">
        <v>28</v>
      </c>
      <c r="D56" s="48">
        <v>28</v>
      </c>
      <c r="E56" s="48">
        <v>28</v>
      </c>
      <c r="F56" s="49">
        <f t="shared" si="2"/>
        <v>28</v>
      </c>
      <c r="G56" s="230" t="s">
        <v>90</v>
      </c>
      <c r="H56" s="231" t="s">
        <v>67</v>
      </c>
      <c r="I56" s="232" t="s">
        <v>210</v>
      </c>
    </row>
    <row r="57" spans="1:9">
      <c r="A57" s="222" t="s">
        <v>211</v>
      </c>
      <c r="B57" s="223" t="s">
        <v>212</v>
      </c>
      <c r="C57" s="235" t="s">
        <v>213</v>
      </c>
      <c r="D57" s="235" t="s">
        <v>214</v>
      </c>
      <c r="E57" s="235" t="s">
        <v>214</v>
      </c>
      <c r="F57" s="236" t="str">
        <f t="shared" si="2"/>
        <v>1x non-participating</v>
      </c>
      <c r="G57" s="224" t="s">
        <v>90</v>
      </c>
      <c r="H57" s="224" t="s">
        <v>86</v>
      </c>
      <c r="I57" s="240" t="s">
        <v>215</v>
      </c>
    </row>
    <row r="58" spans="1:9">
      <c r="A58" s="222" t="s">
        <v>216</v>
      </c>
      <c r="B58" s="223" t="s">
        <v>217</v>
      </c>
      <c r="C58" s="225">
        <v>1400</v>
      </c>
      <c r="D58" s="225">
        <v>1400</v>
      </c>
      <c r="E58" s="225">
        <v>1400</v>
      </c>
      <c r="F58" s="226">
        <f t="shared" si="2"/>
        <v>1400</v>
      </c>
      <c r="G58" s="224" t="s">
        <v>90</v>
      </c>
      <c r="H58" s="224" t="s">
        <v>67</v>
      </c>
      <c r="I58" s="240" t="s">
        <v>218</v>
      </c>
    </row>
    <row r="59" spans="1:9">
      <c r="A59" s="228" t="s">
        <v>219</v>
      </c>
      <c r="B59" s="229" t="s">
        <v>220</v>
      </c>
      <c r="C59" s="42">
        <v>0.15</v>
      </c>
      <c r="D59" s="42">
        <v>0.12</v>
      </c>
      <c r="E59" s="42">
        <v>0.1</v>
      </c>
      <c r="F59" s="43">
        <f t="shared" si="2"/>
        <v>0.12</v>
      </c>
      <c r="G59" s="230" t="s">
        <v>66</v>
      </c>
      <c r="H59" s="231" t="s">
        <v>67</v>
      </c>
      <c r="I59" s="232" t="s">
        <v>221</v>
      </c>
    </row>
    <row r="60" spans="1:9">
      <c r="A60" s="228" t="s">
        <v>222</v>
      </c>
      <c r="B60" s="229" t="s">
        <v>223</v>
      </c>
      <c r="C60" s="42">
        <v>0.1</v>
      </c>
      <c r="D60" s="42">
        <v>0.14000000000000001</v>
      </c>
      <c r="E60" s="42">
        <v>0.18</v>
      </c>
      <c r="F60" s="43">
        <f t="shared" si="2"/>
        <v>0.14000000000000001</v>
      </c>
      <c r="G60" s="230" t="s">
        <v>66</v>
      </c>
      <c r="H60" s="231" t="s">
        <v>118</v>
      </c>
      <c r="I60" s="232" t="s">
        <v>224</v>
      </c>
    </row>
    <row r="61" spans="1:9">
      <c r="A61" s="222" t="s">
        <v>225</v>
      </c>
      <c r="B61" s="223" t="s">
        <v>226</v>
      </c>
      <c r="C61" s="31">
        <v>0.3</v>
      </c>
      <c r="D61" s="31">
        <v>0.22</v>
      </c>
      <c r="E61" s="31">
        <v>0.15</v>
      </c>
      <c r="F61" s="41">
        <f t="shared" si="2"/>
        <v>0.22</v>
      </c>
      <c r="G61" s="224" t="s">
        <v>90</v>
      </c>
      <c r="H61" s="224" t="s">
        <v>67</v>
      </c>
      <c r="I61" s="240" t="s">
        <v>227</v>
      </c>
    </row>
    <row r="62" spans="1:9">
      <c r="A62" s="222" t="s">
        <v>228</v>
      </c>
      <c r="B62" s="223" t="s">
        <v>229</v>
      </c>
      <c r="C62" s="225">
        <v>50</v>
      </c>
      <c r="D62" s="225">
        <v>10</v>
      </c>
      <c r="E62" s="225">
        <v>0</v>
      </c>
      <c r="F62" s="226">
        <f t="shared" si="2"/>
        <v>10</v>
      </c>
      <c r="G62" s="224" t="s">
        <v>90</v>
      </c>
      <c r="H62" s="224" t="s">
        <v>230</v>
      </c>
      <c r="I62" s="240" t="s">
        <v>231</v>
      </c>
    </row>
    <row r="63" spans="1:9">
      <c r="A63" s="228" t="s">
        <v>232</v>
      </c>
      <c r="B63" s="229" t="s">
        <v>233</v>
      </c>
      <c r="C63" s="233">
        <v>500</v>
      </c>
      <c r="D63" s="233">
        <v>700</v>
      </c>
      <c r="E63" s="233">
        <v>850</v>
      </c>
      <c r="F63" s="234">
        <f t="shared" si="2"/>
        <v>700</v>
      </c>
      <c r="G63" s="230" t="s">
        <v>66</v>
      </c>
      <c r="H63" s="231" t="s">
        <v>118</v>
      </c>
      <c r="I63" s="232" t="s">
        <v>234</v>
      </c>
    </row>
    <row r="64" spans="1:9">
      <c r="A64" s="222" t="s">
        <v>235</v>
      </c>
      <c r="B64" s="223" t="s">
        <v>236</v>
      </c>
      <c r="C64" s="227">
        <f>C63-C62</f>
        <v>450</v>
      </c>
      <c r="D64" s="227">
        <f>D63-D62</f>
        <v>690</v>
      </c>
      <c r="E64" s="227">
        <f>E63-E62</f>
        <v>850</v>
      </c>
      <c r="F64" s="227">
        <f t="shared" si="2"/>
        <v>690</v>
      </c>
      <c r="G64" s="224" t="s">
        <v>76</v>
      </c>
      <c r="H64" s="224" t="s">
        <v>67</v>
      </c>
      <c r="I64" s="240" t="s">
        <v>237</v>
      </c>
    </row>
    <row r="65" spans="1:9">
      <c r="A65" s="228" t="s">
        <v>238</v>
      </c>
      <c r="B65" s="229" t="s">
        <v>239</v>
      </c>
      <c r="C65" s="237" t="s">
        <v>240</v>
      </c>
      <c r="D65" s="237" t="s">
        <v>241</v>
      </c>
      <c r="E65" s="237" t="s">
        <v>242</v>
      </c>
      <c r="F65" s="238" t="str">
        <f t="shared" si="2"/>
        <v>Likely extinguished</v>
      </c>
      <c r="G65" s="230" t="s">
        <v>66</v>
      </c>
      <c r="H65" s="231" t="s">
        <v>67</v>
      </c>
      <c r="I65" s="232" t="s">
        <v>243</v>
      </c>
    </row>
    <row r="66" spans="1:9">
      <c r="A66" s="228" t="s">
        <v>244</v>
      </c>
      <c r="B66" s="229" t="s">
        <v>245</v>
      </c>
      <c r="C66" s="237" t="s">
        <v>246</v>
      </c>
      <c r="D66" s="237" t="s">
        <v>247</v>
      </c>
      <c r="E66" s="237" t="s">
        <v>247</v>
      </c>
      <c r="F66" s="238" t="str">
        <f t="shared" si="2"/>
        <v>Dual class</v>
      </c>
      <c r="G66" s="230" t="s">
        <v>66</v>
      </c>
      <c r="H66" s="231" t="s">
        <v>118</v>
      </c>
      <c r="I66" s="232" t="s">
        <v>248</v>
      </c>
    </row>
    <row r="67" spans="1:9">
      <c r="A67" s="239" t="s">
        <v>249</v>
      </c>
      <c r="B67" s="239" t="s">
        <v>250</v>
      </c>
      <c r="C67" s="165">
        <v>2.5000000000000001E-2</v>
      </c>
      <c r="D67" s="165">
        <v>3.5000000000000003E-2</v>
      </c>
      <c r="E67" s="165">
        <v>4.4999999999999998E-2</v>
      </c>
      <c r="F67" s="172">
        <f>IF($B$3="Bear",C67,IF($B$3="Bull",E67,D67))</f>
        <v>3.5000000000000003E-2</v>
      </c>
      <c r="G67" s="239" t="s">
        <v>90</v>
      </c>
      <c r="H67" s="239" t="s">
        <v>118</v>
      </c>
      <c r="I67" s="239" t="s">
        <v>251</v>
      </c>
    </row>
    <row r="68" spans="1:9" ht="21.95" customHeight="1">
      <c r="A68" s="341" t="s">
        <v>252</v>
      </c>
      <c r="B68" s="350"/>
      <c r="C68" s="350"/>
      <c r="D68" s="350"/>
      <c r="E68" s="350"/>
      <c r="F68" s="350"/>
      <c r="G68" s="350"/>
      <c r="H68" s="350"/>
      <c r="I68" s="350"/>
    </row>
    <row r="69" spans="1:9">
      <c r="A69" s="222" t="s">
        <v>253</v>
      </c>
      <c r="B69" s="223" t="s">
        <v>254</v>
      </c>
      <c r="C69" s="50">
        <v>4.2999999999999997E-2</v>
      </c>
      <c r="D69" s="50">
        <v>4.2999999999999997E-2</v>
      </c>
      <c r="E69" s="50">
        <v>4.2999999999999997E-2</v>
      </c>
      <c r="F69" s="51">
        <f t="shared" ref="F69:F74" si="3">IF($B$3="Bear",C69,IF($B$3="Bull",E69,D69))</f>
        <v>4.2999999999999997E-2</v>
      </c>
      <c r="G69" s="224" t="s">
        <v>71</v>
      </c>
      <c r="H69" s="224" t="s">
        <v>86</v>
      </c>
      <c r="I69" s="240" t="s">
        <v>255</v>
      </c>
    </row>
    <row r="70" spans="1:9">
      <c r="A70" s="222" t="s">
        <v>256</v>
      </c>
      <c r="B70" s="223" t="s">
        <v>257</v>
      </c>
      <c r="C70" s="50">
        <v>4.4999999999999998E-2</v>
      </c>
      <c r="D70" s="50">
        <v>4.4999999999999998E-2</v>
      </c>
      <c r="E70" s="50">
        <v>4.4999999999999998E-2</v>
      </c>
      <c r="F70" s="51">
        <f t="shared" si="3"/>
        <v>4.4999999999999998E-2</v>
      </c>
      <c r="G70" s="224" t="s">
        <v>71</v>
      </c>
      <c r="H70" s="224" t="s">
        <v>258</v>
      </c>
      <c r="I70" s="240" t="s">
        <v>259</v>
      </c>
    </row>
    <row r="71" spans="1:9">
      <c r="A71" s="222" t="s">
        <v>260</v>
      </c>
      <c r="B71" s="223" t="s">
        <v>261</v>
      </c>
      <c r="C71" s="29">
        <v>0.85</v>
      </c>
      <c r="D71" s="29">
        <v>0.83</v>
      </c>
      <c r="E71" s="29">
        <v>0.81</v>
      </c>
      <c r="F71" s="38">
        <f t="shared" si="3"/>
        <v>0.83</v>
      </c>
      <c r="G71" s="224" t="s">
        <v>71</v>
      </c>
      <c r="H71" s="224" t="s">
        <v>262</v>
      </c>
      <c r="I71" s="240" t="s">
        <v>263</v>
      </c>
    </row>
    <row r="72" spans="1:9">
      <c r="A72" s="222" t="s">
        <v>264</v>
      </c>
      <c r="B72" s="223" t="s">
        <v>265</v>
      </c>
      <c r="C72" s="50">
        <v>8.0999999999999996E-3</v>
      </c>
      <c r="D72" s="50">
        <v>8.0999999999999996E-3</v>
      </c>
      <c r="E72" s="50">
        <v>8.0999999999999996E-3</v>
      </c>
      <c r="F72" s="51">
        <f t="shared" si="3"/>
        <v>8.0999999999999996E-3</v>
      </c>
      <c r="G72" s="224" t="s">
        <v>90</v>
      </c>
      <c r="H72" s="224" t="s">
        <v>258</v>
      </c>
      <c r="I72" s="240" t="s">
        <v>266</v>
      </c>
    </row>
    <row r="73" spans="1:9">
      <c r="A73" s="222" t="s">
        <v>267</v>
      </c>
      <c r="B73" s="223" t="s">
        <v>268</v>
      </c>
      <c r="C73" s="50">
        <v>0.03</v>
      </c>
      <c r="D73" s="50">
        <v>0.02</v>
      </c>
      <c r="E73" s="50">
        <v>0.01</v>
      </c>
      <c r="F73" s="51">
        <f t="shared" si="3"/>
        <v>0.02</v>
      </c>
      <c r="G73" s="224" t="s">
        <v>66</v>
      </c>
      <c r="H73" s="224" t="s">
        <v>262</v>
      </c>
      <c r="I73" s="240" t="s">
        <v>269</v>
      </c>
    </row>
    <row r="74" spans="1:9">
      <c r="A74" s="222" t="s">
        <v>270</v>
      </c>
      <c r="B74" s="223" t="s">
        <v>271</v>
      </c>
      <c r="C74" s="52">
        <f>C69+C70*C71+C72+C73</f>
        <v>0.11934999999999998</v>
      </c>
      <c r="D74" s="52">
        <f>D69+D70*D71+D72+D73</f>
        <v>0.10844999999999999</v>
      </c>
      <c r="E74" s="52">
        <f>E69+E70*E71+E72+E73</f>
        <v>9.7549999999999984E-2</v>
      </c>
      <c r="F74" s="52">
        <f t="shared" si="3"/>
        <v>0.10844999999999999</v>
      </c>
      <c r="G74" s="224" t="s">
        <v>76</v>
      </c>
      <c r="H74" s="224" t="s">
        <v>72</v>
      </c>
      <c r="I74" s="240"/>
    </row>
    <row r="75" spans="1:9">
      <c r="A75" s="219"/>
      <c r="B75" s="219"/>
      <c r="C75" s="219"/>
      <c r="D75" s="219"/>
      <c r="E75" s="219"/>
      <c r="F75" s="219"/>
      <c r="G75" s="219"/>
      <c r="H75" s="219"/>
      <c r="I75" s="219"/>
    </row>
    <row r="76" spans="1:9" ht="21.95" customHeight="1">
      <c r="A76" s="341" t="s">
        <v>272</v>
      </c>
      <c r="B76" s="350"/>
      <c r="C76" s="350"/>
      <c r="D76" s="350"/>
      <c r="E76" s="350"/>
      <c r="F76" s="350"/>
      <c r="G76" s="350"/>
      <c r="H76" s="350"/>
      <c r="I76" s="350"/>
    </row>
    <row r="77" spans="1:9">
      <c r="A77" s="222" t="s">
        <v>273</v>
      </c>
      <c r="B77" s="223" t="s">
        <v>274</v>
      </c>
      <c r="C77" s="235" t="s">
        <v>275</v>
      </c>
      <c r="D77" s="235" t="s">
        <v>275</v>
      </c>
      <c r="E77" s="235" t="s">
        <v>275</v>
      </c>
      <c r="F77" s="236" t="str">
        <f>IF($B$3="Bear",C77,IF($B$3="Bull",E77,D77))</f>
        <v>Exit Multiple</v>
      </c>
      <c r="G77" s="224" t="s">
        <v>276</v>
      </c>
      <c r="H77" s="224" t="s">
        <v>86</v>
      </c>
      <c r="I77" s="240" t="s">
        <v>277</v>
      </c>
    </row>
    <row r="78" spans="1:9">
      <c r="A78" s="222" t="s">
        <v>278</v>
      </c>
      <c r="B78" s="223" t="s">
        <v>279</v>
      </c>
      <c r="C78" s="53">
        <v>3.5</v>
      </c>
      <c r="D78" s="53">
        <v>4.5</v>
      </c>
      <c r="E78" s="53">
        <v>6</v>
      </c>
      <c r="F78" s="54">
        <f>IF($B$3="Bear",C78,IF($B$3="Bull",E78,D78))</f>
        <v>4.5</v>
      </c>
      <c r="G78" s="224" t="s">
        <v>66</v>
      </c>
      <c r="H78" s="224" t="s">
        <v>72</v>
      </c>
      <c r="I78" s="240" t="s">
        <v>280</v>
      </c>
    </row>
    <row r="79" spans="1:9">
      <c r="A79" s="222" t="s">
        <v>281</v>
      </c>
      <c r="B79" s="223" t="s">
        <v>282</v>
      </c>
      <c r="C79" s="53">
        <v>12</v>
      </c>
      <c r="D79" s="53">
        <v>15</v>
      </c>
      <c r="E79" s="53">
        <v>18</v>
      </c>
      <c r="F79" s="54">
        <f>IF($B$3="Bear",C79,IF($B$3="Bull",E79,D79))</f>
        <v>15</v>
      </c>
      <c r="G79" s="224" t="s">
        <v>66</v>
      </c>
      <c r="H79" s="224" t="s">
        <v>67</v>
      </c>
      <c r="I79" s="240" t="s">
        <v>283</v>
      </c>
    </row>
    <row r="80" spans="1:9">
      <c r="A80" s="222" t="s">
        <v>284</v>
      </c>
      <c r="B80" s="223" t="s">
        <v>285</v>
      </c>
      <c r="C80" s="31">
        <v>2.5000000000000001E-2</v>
      </c>
      <c r="D80" s="31">
        <v>0.03</v>
      </c>
      <c r="E80" s="31">
        <v>3.5000000000000003E-2</v>
      </c>
      <c r="F80" s="41">
        <f>IF($B$3="Bear",C80,IF($B$3="Bull",E80,D80))</f>
        <v>0.03</v>
      </c>
      <c r="G80" s="224" t="s">
        <v>90</v>
      </c>
      <c r="H80" s="224" t="s">
        <v>72</v>
      </c>
      <c r="I80" s="240" t="s">
        <v>286</v>
      </c>
    </row>
    <row r="81" spans="1:9">
      <c r="A81" s="222" t="s">
        <v>287</v>
      </c>
      <c r="B81" s="223" t="s">
        <v>288</v>
      </c>
      <c r="C81" s="31">
        <v>0.4</v>
      </c>
      <c r="D81" s="31">
        <v>0.5</v>
      </c>
      <c r="E81" s="31">
        <v>0.6</v>
      </c>
      <c r="F81" s="41">
        <f>IF($B$3="Bear",C81,IF($B$3="Bull",E81,D81))</f>
        <v>0.5</v>
      </c>
      <c r="G81" s="224" t="s">
        <v>66</v>
      </c>
      <c r="H81" s="224" t="s">
        <v>67</v>
      </c>
      <c r="I81" s="240" t="s">
        <v>289</v>
      </c>
    </row>
    <row r="82" spans="1:9">
      <c r="A82" s="219"/>
      <c r="B82" s="219"/>
      <c r="C82" s="219"/>
      <c r="D82" s="219"/>
      <c r="E82" s="219"/>
      <c r="F82" s="219"/>
      <c r="G82" s="219"/>
      <c r="H82" s="219"/>
      <c r="I82" s="219"/>
    </row>
    <row r="83" spans="1:9" ht="21.95" customHeight="1">
      <c r="A83" s="341" t="s">
        <v>290</v>
      </c>
      <c r="B83" s="350"/>
      <c r="C83" s="350"/>
      <c r="D83" s="350"/>
      <c r="E83" s="350"/>
      <c r="F83" s="350"/>
      <c r="G83" s="350"/>
      <c r="H83" s="350"/>
      <c r="I83" s="350"/>
    </row>
    <row r="84" spans="1:9">
      <c r="A84" s="222" t="s">
        <v>291</v>
      </c>
      <c r="B84" s="223" t="s">
        <v>292</v>
      </c>
      <c r="C84" s="31">
        <v>0.4</v>
      </c>
      <c r="D84" s="31">
        <v>0.2</v>
      </c>
      <c r="E84" s="31">
        <v>0.1</v>
      </c>
      <c r="F84" s="41">
        <f>IF($B$3="Bear",C84,IF($B$3="Bull",E84,D84))</f>
        <v>0.2</v>
      </c>
      <c r="G84" s="224" t="s">
        <v>276</v>
      </c>
      <c r="H84" s="224" t="s">
        <v>72</v>
      </c>
      <c r="I84" s="240" t="s">
        <v>293</v>
      </c>
    </row>
    <row r="85" spans="1:9">
      <c r="A85" s="222" t="s">
        <v>294</v>
      </c>
      <c r="B85" s="223" t="s">
        <v>295</v>
      </c>
      <c r="C85" s="31">
        <v>0.4</v>
      </c>
      <c r="D85" s="31">
        <v>0.4</v>
      </c>
      <c r="E85" s="31">
        <v>0.3</v>
      </c>
      <c r="F85" s="41">
        <f>IF($B$3="Bear",C85,IF($B$3="Bull",E85,D85))</f>
        <v>0.4</v>
      </c>
      <c r="G85" s="224" t="s">
        <v>276</v>
      </c>
      <c r="H85" s="224" t="s">
        <v>72</v>
      </c>
      <c r="I85" s="240" t="s">
        <v>296</v>
      </c>
    </row>
    <row r="86" spans="1:9">
      <c r="A86" s="222" t="s">
        <v>297</v>
      </c>
      <c r="B86" s="223" t="s">
        <v>298</v>
      </c>
      <c r="C86" s="31">
        <v>0.2</v>
      </c>
      <c r="D86" s="31">
        <v>0.4</v>
      </c>
      <c r="E86" s="31">
        <v>0.6</v>
      </c>
      <c r="F86" s="41">
        <f>IF($B$3="Bear",C86,IF($B$3="Bull",E86,D86))</f>
        <v>0.4</v>
      </c>
      <c r="G86" s="224" t="s">
        <v>276</v>
      </c>
      <c r="H86" s="224" t="s">
        <v>72</v>
      </c>
      <c r="I86" s="240" t="s">
        <v>299</v>
      </c>
    </row>
    <row r="87" spans="1:9">
      <c r="A87" s="222" t="s">
        <v>300</v>
      </c>
      <c r="B87" s="223" t="s">
        <v>301</v>
      </c>
      <c r="C87" s="55">
        <f>C84+C85+C86</f>
        <v>1</v>
      </c>
      <c r="D87" s="55">
        <f>D84+D85+D86</f>
        <v>1</v>
      </c>
      <c r="E87" s="55">
        <f>E84+E85+E86</f>
        <v>1</v>
      </c>
      <c r="F87" s="55">
        <f>IF($B$3="Bear",C87,IF($B$3="Bull",E87,D87))</f>
        <v>1</v>
      </c>
      <c r="G87" s="224" t="s">
        <v>76</v>
      </c>
      <c r="H87" s="224" t="s">
        <v>302</v>
      </c>
      <c r="I87" s="240" t="s">
        <v>303</v>
      </c>
    </row>
    <row r="88" spans="1:9">
      <c r="A88" s="219"/>
      <c r="B88" s="219"/>
      <c r="C88" s="219"/>
      <c r="D88" s="219"/>
      <c r="E88" s="219"/>
      <c r="F88" s="219"/>
      <c r="G88" s="219"/>
      <c r="H88" s="219"/>
      <c r="I88" s="219"/>
    </row>
    <row r="89" spans="1:9" ht="21.95" customHeight="1">
      <c r="A89" s="341" t="s">
        <v>304</v>
      </c>
      <c r="B89" s="350"/>
      <c r="C89" s="350"/>
      <c r="D89" s="350"/>
      <c r="E89" s="350"/>
      <c r="F89" s="350"/>
      <c r="G89" s="350"/>
      <c r="H89" s="350"/>
      <c r="I89" s="350"/>
    </row>
    <row r="90" spans="1:9">
      <c r="A90" s="222" t="s">
        <v>305</v>
      </c>
      <c r="B90" s="223" t="s">
        <v>306</v>
      </c>
      <c r="C90" s="32">
        <v>18</v>
      </c>
      <c r="D90" s="32">
        <v>15</v>
      </c>
      <c r="E90" s="32">
        <v>12</v>
      </c>
      <c r="F90" s="56">
        <f>IF($B$3="Bear",C90,IF($B$3="Bull",E90,D90))</f>
        <v>15</v>
      </c>
      <c r="G90" s="224" t="s">
        <v>90</v>
      </c>
      <c r="H90" s="224" t="s">
        <v>67</v>
      </c>
      <c r="I90" s="240" t="s">
        <v>307</v>
      </c>
    </row>
    <row r="91" spans="1:9">
      <c r="A91" s="222" t="s">
        <v>308</v>
      </c>
      <c r="B91" s="223" t="s">
        <v>309</v>
      </c>
      <c r="C91" s="31">
        <v>0.25</v>
      </c>
      <c r="D91" s="31">
        <v>0.2</v>
      </c>
      <c r="E91" s="31">
        <v>0.15</v>
      </c>
      <c r="F91" s="41">
        <f>IF($B$3="Bear",C91,IF($B$3="Bull",E91,D91))</f>
        <v>0.2</v>
      </c>
      <c r="G91" s="224" t="s">
        <v>90</v>
      </c>
      <c r="H91" s="224" t="s">
        <v>72</v>
      </c>
      <c r="I91" s="240" t="s">
        <v>310</v>
      </c>
    </row>
    <row r="92" spans="1:9">
      <c r="A92" s="222" t="s">
        <v>311</v>
      </c>
      <c r="B92" s="223" t="s">
        <v>312</v>
      </c>
      <c r="C92" s="31">
        <v>0.15</v>
      </c>
      <c r="D92" s="31">
        <v>0.1</v>
      </c>
      <c r="E92" s="31">
        <v>0.05</v>
      </c>
      <c r="F92" s="41">
        <f>IF($B$3="Bear",C92,IF($B$3="Bull",E92,D92))</f>
        <v>0.1</v>
      </c>
      <c r="G92" s="224" t="s">
        <v>90</v>
      </c>
      <c r="H92" s="224" t="s">
        <v>67</v>
      </c>
      <c r="I92" s="240" t="s">
        <v>313</v>
      </c>
    </row>
    <row r="93" spans="1:9">
      <c r="A93" s="222" t="s">
        <v>314</v>
      </c>
      <c r="B93" s="223" t="s">
        <v>315</v>
      </c>
      <c r="C93" s="31">
        <v>0.3</v>
      </c>
      <c r="D93" s="31">
        <v>0.25</v>
      </c>
      <c r="E93" s="31">
        <v>0.2</v>
      </c>
      <c r="F93" s="41">
        <f>IF($B$3="Bear",C93,IF($B$3="Bull",E93,D93))</f>
        <v>0.25</v>
      </c>
      <c r="G93" s="224" t="s">
        <v>66</v>
      </c>
      <c r="H93" s="224" t="s">
        <v>118</v>
      </c>
      <c r="I93" s="240" t="s">
        <v>316</v>
      </c>
    </row>
    <row r="94" spans="1:9">
      <c r="A94" s="222" t="s">
        <v>317</v>
      </c>
      <c r="B94" s="223" t="s">
        <v>318</v>
      </c>
      <c r="C94" s="227">
        <f>10100/(1-C92)/(1-C91)</f>
        <v>15843.13725490196</v>
      </c>
      <c r="D94" s="227">
        <f>10100/(1-D92)/(1-D91)</f>
        <v>14027.777777777777</v>
      </c>
      <c r="E94" s="227">
        <f>10100/(1-E92)/(1-E91)</f>
        <v>12507.739938080496</v>
      </c>
      <c r="F94" s="227">
        <f>IF($B$3="Bear",C94,IF($B$3="Bull",E94,D94))</f>
        <v>14027.777777777777</v>
      </c>
      <c r="G94" s="224" t="s">
        <v>76</v>
      </c>
      <c r="H94" s="224" t="s">
        <v>72</v>
      </c>
      <c r="I94" s="240" t="s">
        <v>319</v>
      </c>
    </row>
    <row r="95" spans="1:9">
      <c r="A95" s="219"/>
      <c r="B95" s="219"/>
      <c r="C95" s="219"/>
      <c r="D95" s="219"/>
      <c r="E95" s="219"/>
      <c r="F95" s="219"/>
      <c r="G95" s="219"/>
      <c r="H95" s="219"/>
      <c r="I95" s="219"/>
    </row>
    <row r="96" spans="1:9" ht="21.95" customHeight="1">
      <c r="A96" s="341" t="s">
        <v>320</v>
      </c>
      <c r="B96" s="350"/>
      <c r="C96" s="350"/>
      <c r="D96" s="350"/>
      <c r="E96" s="350"/>
      <c r="F96" s="350"/>
      <c r="G96" s="350"/>
      <c r="H96" s="350"/>
      <c r="I96" s="350"/>
    </row>
    <row r="97" spans="1:9">
      <c r="A97" s="222" t="s">
        <v>321</v>
      </c>
      <c r="B97" s="223" t="s">
        <v>322</v>
      </c>
      <c r="C97" s="235" t="s">
        <v>323</v>
      </c>
      <c r="D97" s="235" t="s">
        <v>323</v>
      </c>
      <c r="E97" s="235" t="s">
        <v>323</v>
      </c>
      <c r="F97" s="236" t="str">
        <f t="shared" ref="F97:F102" si="4">IF($B$3="Bear",C97,IF($B$3="Bull",E97,D97))</f>
        <v>Last 5 years</v>
      </c>
      <c r="G97" s="224" t="s">
        <v>276</v>
      </c>
      <c r="H97" s="224" t="s">
        <v>86</v>
      </c>
      <c r="I97" s="240" t="s">
        <v>324</v>
      </c>
    </row>
    <row r="98" spans="1:9">
      <c r="A98" s="222" t="s">
        <v>325</v>
      </c>
      <c r="B98" s="223" t="s">
        <v>326</v>
      </c>
      <c r="C98" s="225">
        <v>500</v>
      </c>
      <c r="D98" s="225">
        <v>500</v>
      </c>
      <c r="E98" s="225">
        <v>500</v>
      </c>
      <c r="F98" s="226">
        <f t="shared" si="4"/>
        <v>500</v>
      </c>
      <c r="G98" s="224" t="s">
        <v>276</v>
      </c>
      <c r="H98" s="224" t="s">
        <v>86</v>
      </c>
      <c r="I98" s="240" t="s">
        <v>327</v>
      </c>
    </row>
    <row r="99" spans="1:9">
      <c r="A99" s="222" t="s">
        <v>328</v>
      </c>
      <c r="B99" s="223" t="s">
        <v>329</v>
      </c>
      <c r="C99" s="235" t="s">
        <v>330</v>
      </c>
      <c r="D99" s="235" t="s">
        <v>330</v>
      </c>
      <c r="E99" s="235" t="s">
        <v>330</v>
      </c>
      <c r="F99" s="236" t="str">
        <f t="shared" si="4"/>
        <v>EV/LTM Rev</v>
      </c>
      <c r="G99" s="224" t="s">
        <v>276</v>
      </c>
      <c r="H99" s="224" t="s">
        <v>86</v>
      </c>
      <c r="I99" s="240" t="s">
        <v>331</v>
      </c>
    </row>
    <row r="100" spans="1:9">
      <c r="A100" s="222" t="s">
        <v>332</v>
      </c>
      <c r="B100" s="223" t="s">
        <v>333</v>
      </c>
      <c r="C100" s="53">
        <v>1</v>
      </c>
      <c r="D100" s="53">
        <v>1.5</v>
      </c>
      <c r="E100" s="53">
        <v>2.5</v>
      </c>
      <c r="F100" s="54">
        <f t="shared" si="4"/>
        <v>1.5</v>
      </c>
      <c r="G100" s="224" t="s">
        <v>90</v>
      </c>
      <c r="H100" s="224" t="s">
        <v>67</v>
      </c>
      <c r="I100" s="240" t="s">
        <v>334</v>
      </c>
    </row>
    <row r="101" spans="1:9">
      <c r="A101" s="222" t="s">
        <v>335</v>
      </c>
      <c r="B101" s="223" t="s">
        <v>336</v>
      </c>
      <c r="C101" s="53">
        <v>0.8</v>
      </c>
      <c r="D101" s="53">
        <v>1.5</v>
      </c>
      <c r="E101" s="53">
        <v>3</v>
      </c>
      <c r="F101" s="54">
        <f t="shared" si="4"/>
        <v>1.5</v>
      </c>
      <c r="G101" s="224" t="s">
        <v>90</v>
      </c>
      <c r="H101" s="224" t="s">
        <v>67</v>
      </c>
      <c r="I101" s="240" t="s">
        <v>337</v>
      </c>
    </row>
    <row r="102" spans="1:9">
      <c r="A102" s="222" t="s">
        <v>338</v>
      </c>
      <c r="B102" s="223" t="s">
        <v>339</v>
      </c>
      <c r="C102" s="53">
        <v>6</v>
      </c>
      <c r="D102" s="53">
        <v>8</v>
      </c>
      <c r="E102" s="53">
        <v>10</v>
      </c>
      <c r="F102" s="54">
        <f t="shared" si="4"/>
        <v>8</v>
      </c>
      <c r="G102" s="224" t="s">
        <v>90</v>
      </c>
      <c r="H102" s="224" t="s">
        <v>67</v>
      </c>
      <c r="I102" s="240" t="s">
        <v>340</v>
      </c>
    </row>
    <row r="103" spans="1:9">
      <c r="A103" s="219"/>
      <c r="B103" s="219"/>
      <c r="C103" s="219"/>
      <c r="D103" s="219"/>
      <c r="E103" s="219"/>
      <c r="F103" s="219"/>
      <c r="G103" s="219"/>
      <c r="H103" s="219"/>
      <c r="I103" s="219"/>
    </row>
    <row r="104" spans="1:9" ht="21.95" customHeight="1">
      <c r="A104" s="341" t="s">
        <v>341</v>
      </c>
      <c r="B104" s="350"/>
      <c r="C104" s="350"/>
      <c r="D104" s="350"/>
      <c r="E104" s="350"/>
      <c r="F104" s="350"/>
      <c r="G104" s="350"/>
      <c r="H104" s="350"/>
      <c r="I104" s="350"/>
    </row>
    <row r="105" spans="1:9">
      <c r="A105" s="339" t="s">
        <v>342</v>
      </c>
      <c r="B105" s="348"/>
      <c r="C105" s="348"/>
      <c r="D105" s="348"/>
      <c r="E105" s="348"/>
      <c r="F105" s="348"/>
      <c r="G105" s="348"/>
      <c r="H105" s="348"/>
      <c r="I105" s="348"/>
    </row>
    <row r="106" spans="1:9">
      <c r="A106" s="219"/>
      <c r="B106" s="219"/>
      <c r="C106" s="219"/>
      <c r="D106" s="219"/>
      <c r="E106" s="219"/>
      <c r="F106" s="219"/>
      <c r="G106" s="219"/>
      <c r="H106" s="219"/>
      <c r="I106" s="219"/>
    </row>
    <row r="107" spans="1:9" ht="21.95" customHeight="1">
      <c r="A107" s="341" t="s">
        <v>343</v>
      </c>
      <c r="B107" s="350"/>
      <c r="C107" s="350"/>
      <c r="D107" s="350"/>
      <c r="E107" s="350"/>
      <c r="F107" s="350"/>
      <c r="G107" s="350"/>
      <c r="H107" s="350"/>
      <c r="I107" s="350"/>
    </row>
    <row r="108" spans="1:9">
      <c r="A108" s="235" t="s">
        <v>344</v>
      </c>
      <c r="B108" s="339" t="s">
        <v>23</v>
      </c>
      <c r="C108" s="348"/>
      <c r="D108" s="348"/>
      <c r="E108" s="348"/>
      <c r="F108" s="348"/>
      <c r="G108" s="348"/>
      <c r="H108" s="348"/>
      <c r="I108" s="348"/>
    </row>
    <row r="109" spans="1:9">
      <c r="A109" s="241" t="s">
        <v>345</v>
      </c>
      <c r="B109" s="339" t="s">
        <v>346</v>
      </c>
      <c r="C109" s="348"/>
      <c r="D109" s="348"/>
      <c r="E109" s="348"/>
      <c r="F109" s="348"/>
      <c r="G109" s="348"/>
      <c r="H109" s="348"/>
      <c r="I109" s="348"/>
    </row>
    <row r="110" spans="1:9">
      <c r="A110" s="242" t="s">
        <v>347</v>
      </c>
      <c r="B110" s="339" t="s">
        <v>348</v>
      </c>
      <c r="C110" s="348"/>
      <c r="D110" s="348"/>
      <c r="E110" s="348"/>
      <c r="F110" s="348"/>
      <c r="G110" s="348"/>
      <c r="H110" s="348"/>
      <c r="I110" s="348"/>
    </row>
    <row r="111" spans="1:9">
      <c r="A111" s="238" t="s">
        <v>349</v>
      </c>
      <c r="B111" s="339" t="s">
        <v>350</v>
      </c>
      <c r="C111" s="348"/>
      <c r="D111" s="348"/>
      <c r="E111" s="348"/>
      <c r="F111" s="348"/>
      <c r="G111" s="348"/>
      <c r="H111" s="348"/>
      <c r="I111" s="348"/>
    </row>
    <row r="112" spans="1:9">
      <c r="A112" s="236" t="s">
        <v>351</v>
      </c>
      <c r="B112" s="339" t="s">
        <v>352</v>
      </c>
      <c r="C112" s="348"/>
      <c r="D112" s="348"/>
      <c r="E112" s="348"/>
      <c r="F112" s="348"/>
      <c r="G112" s="348"/>
      <c r="H112" s="348"/>
      <c r="I112" s="348"/>
    </row>
    <row r="113" spans="1:9">
      <c r="A113" s="219"/>
      <c r="B113" s="219"/>
      <c r="C113" s="219"/>
      <c r="D113" s="219"/>
      <c r="E113" s="219"/>
      <c r="F113" s="219"/>
      <c r="G113" s="219"/>
      <c r="H113" s="219"/>
      <c r="I113" s="219"/>
    </row>
    <row r="114" spans="1:9">
      <c r="A114" s="243" t="s">
        <v>353</v>
      </c>
      <c r="B114" s="244"/>
      <c r="C114" s="244"/>
      <c r="D114" s="244"/>
      <c r="E114" s="244"/>
      <c r="F114" s="244"/>
      <c r="G114" s="244"/>
      <c r="H114" s="244"/>
      <c r="I114" s="244"/>
    </row>
    <row r="115" spans="1:9">
      <c r="A115" s="245" t="s">
        <v>354</v>
      </c>
      <c r="B115" s="219"/>
      <c r="C115" s="219"/>
      <c r="D115" s="219"/>
      <c r="E115" s="219"/>
      <c r="F115" s="219"/>
      <c r="G115" s="219"/>
      <c r="H115" s="219"/>
      <c r="I115" s="219"/>
    </row>
    <row r="116" spans="1:9">
      <c r="A116" s="219"/>
      <c r="B116" s="219"/>
      <c r="C116" s="219"/>
      <c r="D116" s="219"/>
      <c r="E116" s="219"/>
      <c r="F116" s="219"/>
      <c r="G116" s="219"/>
      <c r="H116" s="219"/>
      <c r="I116" s="219"/>
    </row>
    <row r="117" spans="1:9">
      <c r="A117" s="239" t="s">
        <v>355</v>
      </c>
      <c r="B117" s="239" t="s">
        <v>356</v>
      </c>
      <c r="C117" s="67">
        <v>0.28000000000000003</v>
      </c>
      <c r="D117" s="67">
        <v>0.3</v>
      </c>
      <c r="E117" s="67">
        <v>0.32</v>
      </c>
      <c r="F117" s="68">
        <f>IF($B$3="Bear",C117,IF($B$3="Bull",E117,D117))</f>
        <v>0.3</v>
      </c>
      <c r="G117" s="246" t="s">
        <v>90</v>
      </c>
      <c r="H117" s="247" t="s">
        <v>72</v>
      </c>
      <c r="I117" s="245" t="s">
        <v>357</v>
      </c>
    </row>
    <row r="118" spans="1:9">
      <c r="A118" s="239" t="s">
        <v>358</v>
      </c>
      <c r="B118" s="239" t="s">
        <v>359</v>
      </c>
      <c r="C118" s="67">
        <v>0.22</v>
      </c>
      <c r="D118" s="67">
        <v>0.24</v>
      </c>
      <c r="E118" s="67">
        <v>0.26</v>
      </c>
      <c r="F118" s="68">
        <f>IF($B$3="Bear",C118,IF($B$3="Bull",E118,D118))</f>
        <v>0.24</v>
      </c>
      <c r="G118" s="246" t="s">
        <v>90</v>
      </c>
      <c r="H118" s="239" t="s">
        <v>67</v>
      </c>
      <c r="I118" s="245" t="s">
        <v>360</v>
      </c>
    </row>
    <row r="119" spans="1:9">
      <c r="A119" s="239" t="s">
        <v>361</v>
      </c>
      <c r="B119" s="239" t="s">
        <v>362</v>
      </c>
      <c r="C119" s="67">
        <v>0.18</v>
      </c>
      <c r="D119" s="67">
        <v>0.19</v>
      </c>
      <c r="E119" s="67">
        <v>0.2</v>
      </c>
      <c r="F119" s="68">
        <f>IF($B$3="Bear",C119,IF($B$3="Bull",E119,D119))</f>
        <v>0.19</v>
      </c>
      <c r="G119" s="246" t="s">
        <v>90</v>
      </c>
      <c r="H119" s="239" t="s">
        <v>118</v>
      </c>
      <c r="I119" s="245" t="s">
        <v>363</v>
      </c>
    </row>
    <row r="120" spans="1:9">
      <c r="A120" s="219"/>
      <c r="B120" s="219"/>
      <c r="C120" s="219"/>
      <c r="D120" s="219"/>
      <c r="E120" s="219"/>
      <c r="F120" s="219"/>
      <c r="G120" s="219"/>
      <c r="H120" s="219"/>
      <c r="I120" s="219"/>
    </row>
    <row r="121" spans="1:9">
      <c r="A121" s="248" t="s">
        <v>364</v>
      </c>
      <c r="B121" s="248" t="s">
        <v>365</v>
      </c>
      <c r="C121" s="249">
        <v>250</v>
      </c>
      <c r="D121" s="249">
        <v>200</v>
      </c>
      <c r="E121" s="249">
        <v>150</v>
      </c>
      <c r="F121" s="250">
        <f>IF($B$3="Bear",C121,IF($B$3="Bull",E121,D121))</f>
        <v>200</v>
      </c>
      <c r="G121" s="251" t="s">
        <v>66</v>
      </c>
      <c r="H121" s="252" t="s">
        <v>72</v>
      </c>
      <c r="I121" s="253" t="s">
        <v>366</v>
      </c>
    </row>
    <row r="122" spans="1:9">
      <c r="A122" s="248" t="s">
        <v>367</v>
      </c>
      <c r="B122" s="248" t="s">
        <v>368</v>
      </c>
      <c r="C122" s="69">
        <v>0.12</v>
      </c>
      <c r="D122" s="69">
        <v>0.08</v>
      </c>
      <c r="E122" s="69">
        <v>0.05</v>
      </c>
      <c r="F122" s="70">
        <f>IF($B$3="Bear",C122,IF($B$3="Bull",E122,D122))</f>
        <v>0.08</v>
      </c>
      <c r="G122" s="251" t="s">
        <v>66</v>
      </c>
      <c r="H122" s="252" t="s">
        <v>72</v>
      </c>
      <c r="I122" s="253" t="s">
        <v>369</v>
      </c>
    </row>
    <row r="123" spans="1:9">
      <c r="A123" s="248" t="s">
        <v>370</v>
      </c>
      <c r="B123" s="248" t="s">
        <v>371</v>
      </c>
      <c r="C123" s="76">
        <v>12</v>
      </c>
      <c r="D123" s="76">
        <v>25</v>
      </c>
      <c r="E123" s="76">
        <v>45</v>
      </c>
      <c r="F123" s="77">
        <f>IF($B$3="Bear",C123,IF($B$3="Bull",E123,D123))</f>
        <v>25</v>
      </c>
      <c r="G123" s="251" t="s">
        <v>71</v>
      </c>
      <c r="H123" s="252" t="s">
        <v>72</v>
      </c>
      <c r="I123" s="253" t="s">
        <v>372</v>
      </c>
    </row>
    <row r="124" spans="1:9">
      <c r="A124" s="239"/>
      <c r="B124" s="239"/>
      <c r="C124" s="78"/>
      <c r="D124" s="78"/>
      <c r="E124" s="78"/>
      <c r="F124" s="79"/>
      <c r="G124" s="246"/>
      <c r="H124" s="239"/>
      <c r="I124" s="245"/>
    </row>
    <row r="125" spans="1:9">
      <c r="A125" s="219"/>
      <c r="B125" s="219"/>
      <c r="C125" s="219"/>
      <c r="D125" s="219"/>
      <c r="E125" s="219"/>
      <c r="F125" s="219"/>
      <c r="G125" s="219"/>
      <c r="H125" s="219"/>
      <c r="I125" s="219"/>
    </row>
    <row r="126" spans="1:9">
      <c r="A126" s="254" t="s">
        <v>373</v>
      </c>
      <c r="B126" s="219"/>
      <c r="C126" s="219"/>
      <c r="D126" s="219"/>
      <c r="E126" s="219"/>
      <c r="F126" s="219"/>
      <c r="G126" s="219"/>
      <c r="H126" s="219"/>
      <c r="I126" s="219"/>
    </row>
    <row r="127" spans="1:9">
      <c r="A127" s="255" t="s">
        <v>374</v>
      </c>
      <c r="B127" s="219"/>
      <c r="C127" s="219"/>
      <c r="D127" s="219"/>
      <c r="E127" s="219"/>
      <c r="F127" s="219"/>
      <c r="G127" s="219"/>
      <c r="H127" s="219"/>
      <c r="I127" s="219"/>
    </row>
    <row r="128" spans="1:9">
      <c r="A128" s="219"/>
      <c r="B128" s="219"/>
      <c r="C128" s="219"/>
      <c r="D128" s="219"/>
      <c r="E128" s="219"/>
      <c r="F128" s="219"/>
      <c r="G128" s="219"/>
      <c r="H128" s="219"/>
      <c r="I128" s="219"/>
    </row>
    <row r="129" spans="1:9">
      <c r="A129" s="255" t="s">
        <v>375</v>
      </c>
      <c r="B129" s="219"/>
      <c r="C129" s="219"/>
      <c r="D129" s="219"/>
      <c r="E129" s="219"/>
      <c r="F129" s="219"/>
      <c r="G129" s="219"/>
      <c r="H129" s="219"/>
      <c r="I129" s="219"/>
    </row>
    <row r="130" spans="1:9">
      <c r="A130" s="219" t="s">
        <v>376</v>
      </c>
      <c r="B130" s="219" t="s">
        <v>377</v>
      </c>
      <c r="C130" s="256">
        <v>0.5</v>
      </c>
      <c r="D130" s="256">
        <v>0.3</v>
      </c>
      <c r="E130" s="256">
        <v>0.2</v>
      </c>
      <c r="F130" s="94">
        <f>IF($B$3="Bear",C130,IF($B$3="Bull",E130,D130))</f>
        <v>0.3</v>
      </c>
      <c r="G130" s="219" t="s">
        <v>90</v>
      </c>
      <c r="H130" s="219" t="s">
        <v>67</v>
      </c>
      <c r="I130" s="219" t="s">
        <v>378</v>
      </c>
    </row>
    <row r="131" spans="1:9">
      <c r="A131" s="219" t="s">
        <v>379</v>
      </c>
      <c r="B131" s="219" t="s">
        <v>380</v>
      </c>
      <c r="C131" s="256">
        <v>0.35</v>
      </c>
      <c r="D131" s="256">
        <v>0.45</v>
      </c>
      <c r="E131" s="256">
        <v>0.4</v>
      </c>
      <c r="F131" s="94">
        <f>IF($B$3="Bear",C131,IF($B$3="Bull",E131,D131))</f>
        <v>0.45</v>
      </c>
      <c r="G131" s="219" t="s">
        <v>90</v>
      </c>
      <c r="H131" s="219" t="s">
        <v>67</v>
      </c>
      <c r="I131" s="219" t="s">
        <v>381</v>
      </c>
    </row>
    <row r="132" spans="1:9">
      <c r="A132" s="219" t="s">
        <v>382</v>
      </c>
      <c r="B132" s="219" t="s">
        <v>383</v>
      </c>
      <c r="C132" s="256">
        <v>0.15</v>
      </c>
      <c r="D132" s="256">
        <v>0.25</v>
      </c>
      <c r="E132" s="256">
        <v>0.4</v>
      </c>
      <c r="F132" s="94">
        <f>IF($B$3="Bear",C132,IF($B$3="Bull",E132,D132))</f>
        <v>0.25</v>
      </c>
      <c r="G132" s="219" t="s">
        <v>90</v>
      </c>
      <c r="H132" s="219" t="s">
        <v>67</v>
      </c>
      <c r="I132" s="219" t="s">
        <v>384</v>
      </c>
    </row>
    <row r="133" spans="1:9">
      <c r="A133" s="219" t="s">
        <v>385</v>
      </c>
      <c r="B133" s="219" t="s">
        <v>386</v>
      </c>
      <c r="C133" s="256">
        <v>0.15</v>
      </c>
      <c r="D133" s="256">
        <v>0.12</v>
      </c>
      <c r="E133" s="256">
        <v>0.1</v>
      </c>
      <c r="F133" s="94">
        <f>IF($B$3="Bear",C133,IF($B$3="Bull",E133,D133))</f>
        <v>0.12</v>
      </c>
      <c r="G133" s="219" t="s">
        <v>66</v>
      </c>
      <c r="H133" s="219" t="s">
        <v>118</v>
      </c>
      <c r="I133" s="219" t="s">
        <v>387</v>
      </c>
    </row>
    <row r="134" spans="1:9">
      <c r="A134" s="219" t="s">
        <v>388</v>
      </c>
      <c r="B134" s="219" t="s">
        <v>389</v>
      </c>
      <c r="C134" s="83">
        <v>0</v>
      </c>
      <c r="D134" s="83">
        <v>1.4999999999999999E-2</v>
      </c>
      <c r="E134" s="83">
        <v>2.5000000000000001E-2</v>
      </c>
      <c r="F134" s="84">
        <f>IF($B$3="Bear",C134,IF($B$3="Bull",E134,D134))</f>
        <v>1.4999999999999999E-2</v>
      </c>
      <c r="G134" s="219" t="s">
        <v>90</v>
      </c>
      <c r="H134" s="219" t="s">
        <v>67</v>
      </c>
      <c r="I134" s="219" t="s">
        <v>390</v>
      </c>
    </row>
    <row r="135" spans="1:9">
      <c r="A135" s="219"/>
      <c r="B135" s="219"/>
      <c r="C135" s="219"/>
      <c r="D135" s="219"/>
      <c r="E135" s="219"/>
      <c r="F135" s="219"/>
      <c r="G135" s="219"/>
      <c r="H135" s="219"/>
      <c r="I135" s="219"/>
    </row>
    <row r="136" spans="1:9">
      <c r="A136" s="255" t="s">
        <v>391</v>
      </c>
      <c r="B136" s="219"/>
      <c r="C136" s="219"/>
      <c r="D136" s="219"/>
      <c r="E136" s="219"/>
      <c r="F136" s="219"/>
      <c r="G136" s="219"/>
      <c r="H136" s="219"/>
      <c r="I136" s="219"/>
    </row>
    <row r="137" spans="1:9">
      <c r="A137" s="219" t="s">
        <v>392</v>
      </c>
      <c r="B137" s="219" t="s">
        <v>393</v>
      </c>
      <c r="C137" s="83">
        <v>0.05</v>
      </c>
      <c r="D137" s="83">
        <v>0.1</v>
      </c>
      <c r="E137" s="86">
        <v>0.25</v>
      </c>
      <c r="F137" s="84">
        <f>IF($B$3="Bear",C137,IF($B$3="Bull",E137,D137))</f>
        <v>0.1</v>
      </c>
      <c r="G137" s="219" t="s">
        <v>71</v>
      </c>
      <c r="H137" s="219" t="s">
        <v>72</v>
      </c>
      <c r="I137" s="219" t="s">
        <v>394</v>
      </c>
    </row>
    <row r="138" spans="1:9">
      <c r="A138" s="219" t="s">
        <v>395</v>
      </c>
      <c r="B138" s="219" t="s">
        <v>396</v>
      </c>
      <c r="C138" s="168">
        <v>200</v>
      </c>
      <c r="D138" s="168">
        <v>250</v>
      </c>
      <c r="E138" s="168">
        <v>300</v>
      </c>
      <c r="F138" s="99">
        <f>IF($B$3="Bear",C138,IF($B$3="Bull",E138,D138))</f>
        <v>250</v>
      </c>
      <c r="G138" s="219" t="s">
        <v>71</v>
      </c>
      <c r="H138" s="219" t="s">
        <v>72</v>
      </c>
      <c r="I138" s="219" t="s">
        <v>397</v>
      </c>
    </row>
    <row r="139" spans="1:9">
      <c r="A139" s="219" t="s">
        <v>398</v>
      </c>
      <c r="B139" s="219" t="s">
        <v>399</v>
      </c>
      <c r="C139" s="85">
        <v>1</v>
      </c>
      <c r="D139" s="85">
        <v>1.5</v>
      </c>
      <c r="E139" s="85">
        <v>2</v>
      </c>
      <c r="F139" s="87">
        <f>IF($B$3="Bear",C139,IF($B$3="Bull",E139,D139))</f>
        <v>1.5</v>
      </c>
      <c r="G139" s="219" t="s">
        <v>90</v>
      </c>
      <c r="H139" s="219" t="s">
        <v>67</v>
      </c>
      <c r="I139" s="219" t="s">
        <v>400</v>
      </c>
    </row>
    <row r="140" spans="1:9">
      <c r="A140" s="219" t="s">
        <v>401</v>
      </c>
      <c r="B140" s="219" t="s">
        <v>402</v>
      </c>
      <c r="C140" s="83">
        <v>0</v>
      </c>
      <c r="D140" s="83">
        <v>0.09</v>
      </c>
      <c r="E140" s="83">
        <v>0.18</v>
      </c>
      <c r="F140" s="84">
        <f>IF($B$3="Bear",C140,IF($B$3="Bull",E140,D140))</f>
        <v>0.09</v>
      </c>
      <c r="G140" s="219" t="s">
        <v>71</v>
      </c>
      <c r="H140" s="219" t="s">
        <v>72</v>
      </c>
      <c r="I140" s="219" t="s">
        <v>403</v>
      </c>
    </row>
    <row r="141" spans="1:9">
      <c r="A141" s="219"/>
      <c r="B141" s="219"/>
      <c r="C141" s="219"/>
      <c r="D141" s="219"/>
      <c r="E141" s="219"/>
      <c r="F141" s="219"/>
      <c r="G141" s="219"/>
      <c r="H141" s="219"/>
      <c r="I141" s="219"/>
    </row>
    <row r="142" spans="1:9">
      <c r="A142" s="255" t="s">
        <v>404</v>
      </c>
      <c r="B142" s="219"/>
      <c r="C142" s="219"/>
      <c r="D142" s="219"/>
      <c r="E142" s="219"/>
      <c r="F142" s="219"/>
      <c r="G142" s="219"/>
      <c r="H142" s="219"/>
      <c r="I142" s="219"/>
    </row>
    <row r="143" spans="1:9">
      <c r="A143" s="219" t="s">
        <v>405</v>
      </c>
      <c r="B143" s="219" t="s">
        <v>406</v>
      </c>
      <c r="C143" s="168">
        <v>15</v>
      </c>
      <c r="D143" s="168">
        <v>18</v>
      </c>
      <c r="E143" s="168">
        <v>22</v>
      </c>
      <c r="F143" s="99">
        <f>IF($B$3="Bear",C143,IF($B$3="Bull",E143,D143))</f>
        <v>18</v>
      </c>
      <c r="G143" s="219" t="s">
        <v>66</v>
      </c>
      <c r="H143" s="219" t="s">
        <v>230</v>
      </c>
      <c r="I143" s="219" t="s">
        <v>407</v>
      </c>
    </row>
    <row r="144" spans="1:9">
      <c r="A144" s="219" t="s">
        <v>408</v>
      </c>
      <c r="B144" s="219" t="s">
        <v>409</v>
      </c>
      <c r="C144" s="83">
        <v>0.02</v>
      </c>
      <c r="D144" s="83">
        <v>0.03</v>
      </c>
      <c r="E144" s="83">
        <v>0.03</v>
      </c>
      <c r="F144" s="84">
        <f>IF($B$3="Bear",C144,IF($B$3="Bull",E144,D144))</f>
        <v>0.03</v>
      </c>
      <c r="G144" s="219" t="s">
        <v>66</v>
      </c>
      <c r="H144" s="219" t="s">
        <v>230</v>
      </c>
      <c r="I144" s="219" t="s">
        <v>410</v>
      </c>
    </row>
    <row r="145" spans="1:9">
      <c r="A145" s="219"/>
      <c r="B145" s="219"/>
      <c r="C145" s="219"/>
      <c r="D145" s="219"/>
      <c r="E145" s="219"/>
      <c r="F145" s="219"/>
      <c r="G145" s="219"/>
      <c r="H145" s="219"/>
      <c r="I145" s="219"/>
    </row>
    <row r="146" spans="1:9">
      <c r="A146" s="255" t="s">
        <v>411</v>
      </c>
      <c r="B146" s="219"/>
      <c r="C146" s="219"/>
      <c r="D146" s="219"/>
      <c r="E146" s="219"/>
      <c r="F146" s="219"/>
      <c r="G146" s="219"/>
      <c r="H146" s="219"/>
      <c r="I146" s="219"/>
    </row>
    <row r="147" spans="1:9">
      <c r="A147" s="219" t="s">
        <v>412</v>
      </c>
      <c r="B147" s="219" t="s">
        <v>413</v>
      </c>
      <c r="C147" s="83">
        <v>0</v>
      </c>
      <c r="D147" s="83">
        <v>0.05</v>
      </c>
      <c r="E147" s="83">
        <v>0.15</v>
      </c>
      <c r="F147" s="84">
        <f>IF($B$3="Bear",C147,IF($B$3="Bull",E147,D147))</f>
        <v>0.05</v>
      </c>
      <c r="G147" s="219" t="s">
        <v>90</v>
      </c>
      <c r="H147" s="219" t="s">
        <v>67</v>
      </c>
      <c r="I147" s="219" t="s">
        <v>414</v>
      </c>
    </row>
    <row r="148" spans="1:9">
      <c r="A148" s="219" t="s">
        <v>415</v>
      </c>
      <c r="B148" s="219" t="s">
        <v>416</v>
      </c>
      <c r="C148" s="168">
        <v>0</v>
      </c>
      <c r="D148" s="168">
        <v>100</v>
      </c>
      <c r="E148" s="168">
        <v>200</v>
      </c>
      <c r="F148" s="99">
        <f>IF($B$3="Bear",C148,IF($B$3="Bull",E148,D148))</f>
        <v>100</v>
      </c>
      <c r="G148" s="219" t="s">
        <v>90</v>
      </c>
      <c r="H148" s="219" t="s">
        <v>67</v>
      </c>
      <c r="I148" s="219" t="s">
        <v>417</v>
      </c>
    </row>
    <row r="149" spans="1:9">
      <c r="A149" s="219" t="s">
        <v>418</v>
      </c>
      <c r="B149" s="219" t="s">
        <v>419</v>
      </c>
      <c r="C149" s="83">
        <v>0</v>
      </c>
      <c r="D149" s="83">
        <v>0.15</v>
      </c>
      <c r="E149" s="83">
        <v>0.25</v>
      </c>
      <c r="F149" s="84">
        <f>IF($B$3="Bear",C149,IF($B$3="Bull",E149,D149))</f>
        <v>0.15</v>
      </c>
      <c r="G149" s="219" t="s">
        <v>90</v>
      </c>
      <c r="H149" s="219" t="s">
        <v>118</v>
      </c>
      <c r="I149" s="219" t="s">
        <v>420</v>
      </c>
    </row>
  </sheetData>
  <mergeCells count="18">
    <mergeCell ref="A76:I76"/>
    <mergeCell ref="A104:I104"/>
    <mergeCell ref="B110:I110"/>
    <mergeCell ref="B112:I112"/>
    <mergeCell ref="B109:I109"/>
    <mergeCell ref="B111:I111"/>
    <mergeCell ref="A1:I1"/>
    <mergeCell ref="A89:I89"/>
    <mergeCell ref="B108:I108"/>
    <mergeCell ref="A68:I68"/>
    <mergeCell ref="A107:I107"/>
    <mergeCell ref="A54:I54"/>
    <mergeCell ref="A30:I30"/>
    <mergeCell ref="A105:I105"/>
    <mergeCell ref="A7:I7"/>
    <mergeCell ref="A83:I83"/>
    <mergeCell ref="A96:I96"/>
    <mergeCell ref="C3:I3"/>
  </mergeCells>
  <dataValidations count="1">
    <dataValidation type="list" sqref="B3" xr:uid="{00000000-0002-0000-0100-000000000000}">
      <formula1>"Bear,Base,Bull"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L51"/>
  <sheetViews>
    <sheetView showGridLines="0" topLeftCell="B6" workbookViewId="0">
      <selection activeCell="F7" sqref="F7"/>
    </sheetView>
  </sheetViews>
  <sheetFormatPr defaultColWidth="8.85546875" defaultRowHeight="15"/>
  <cols>
    <col min="1" max="1" width="38" customWidth="1"/>
    <col min="2" max="2" width="8" customWidth="1"/>
    <col min="3" max="12" width="11" customWidth="1"/>
  </cols>
  <sheetData>
    <row r="1" spans="1:12" ht="15.75" customHeight="1">
      <c r="A1" s="343" t="s">
        <v>421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ht="15.75" customHeight="1">
      <c r="A2" s="339" t="s">
        <v>422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</row>
    <row r="3" spans="1:12" ht="15.7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</row>
    <row r="4" spans="1:12" s="213" customFormat="1" ht="15.75" customHeight="1"/>
    <row r="5" spans="1:12" ht="15.75" customHeight="1">
      <c r="A5" s="257"/>
      <c r="B5" s="258" t="s">
        <v>423</v>
      </c>
      <c r="C5" s="160">
        <v>2024</v>
      </c>
      <c r="D5" s="160">
        <v>2025</v>
      </c>
      <c r="E5" s="160">
        <v>2026</v>
      </c>
      <c r="F5" s="160">
        <v>2027</v>
      </c>
      <c r="G5" s="160">
        <v>2028</v>
      </c>
      <c r="H5" s="160">
        <v>2029</v>
      </c>
      <c r="I5" s="160">
        <v>2030</v>
      </c>
      <c r="J5" s="160">
        <v>2031</v>
      </c>
      <c r="K5" s="160">
        <v>2032</v>
      </c>
      <c r="L5" s="160">
        <v>2033</v>
      </c>
    </row>
    <row r="6" spans="1:12" ht="15.75" customHeight="1">
      <c r="A6" s="219"/>
      <c r="B6" s="219"/>
      <c r="C6" s="259" t="s">
        <v>424</v>
      </c>
      <c r="D6" s="259" t="s">
        <v>424</v>
      </c>
      <c r="E6" s="260" t="s">
        <v>425</v>
      </c>
      <c r="F6" s="260" t="s">
        <v>425</v>
      </c>
      <c r="G6" s="260" t="s">
        <v>426</v>
      </c>
      <c r="H6" s="260" t="s">
        <v>426</v>
      </c>
      <c r="I6" s="260" t="s">
        <v>426</v>
      </c>
      <c r="J6" s="260" t="s">
        <v>427</v>
      </c>
      <c r="K6" s="260" t="s">
        <v>427</v>
      </c>
      <c r="L6" s="260" t="s">
        <v>427</v>
      </c>
    </row>
    <row r="7" spans="1:12" ht="15.75" customHeight="1">
      <c r="A7" s="219"/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</row>
    <row r="8" spans="1:12" ht="15.75" customHeight="1">
      <c r="A8" s="341" t="s">
        <v>428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</row>
    <row r="9" spans="1:12" ht="15.75" customHeight="1">
      <c r="A9" s="223" t="s">
        <v>429</v>
      </c>
      <c r="B9" s="260" t="s">
        <v>430</v>
      </c>
      <c r="C9" s="59">
        <v>0.7</v>
      </c>
      <c r="D9" s="60">
        <f>Assumptions!$F$8</f>
        <v>1.3</v>
      </c>
      <c r="E9" s="38">
        <f t="shared" ref="E9:L9" si="0">D34</f>
        <v>2.5</v>
      </c>
      <c r="F9" s="38">
        <f t="shared" si="0"/>
        <v>2.9099858125000004</v>
      </c>
      <c r="G9" s="38">
        <f t="shared" si="0"/>
        <v>3.741330240661207</v>
      </c>
      <c r="H9" s="38">
        <f t="shared" si="0"/>
        <v>4.4065900879970314</v>
      </c>
      <c r="I9" s="38">
        <f t="shared" si="0"/>
        <v>5.2227229591928275</v>
      </c>
      <c r="J9" s="38">
        <f t="shared" si="0"/>
        <v>6.1448459361005554</v>
      </c>
      <c r="K9" s="38">
        <f t="shared" si="0"/>
        <v>6.8029327675365145</v>
      </c>
      <c r="L9" s="38">
        <f t="shared" si="0"/>
        <v>7.5677285736537101</v>
      </c>
    </row>
    <row r="10" spans="1:12" ht="15.75" customHeight="1">
      <c r="A10" s="223" t="s">
        <v>431</v>
      </c>
      <c r="B10" s="260" t="s">
        <v>430</v>
      </c>
      <c r="C10" s="59">
        <v>0.5</v>
      </c>
      <c r="D10" s="29">
        <v>0</v>
      </c>
      <c r="E10" s="38">
        <f t="shared" ref="E10:L10" si="1">D31</f>
        <v>1.304</v>
      </c>
      <c r="F10" s="38">
        <f t="shared" si="1"/>
        <v>0.7925458125</v>
      </c>
      <c r="G10" s="38">
        <f t="shared" si="1"/>
        <v>1.2361269069112069</v>
      </c>
      <c r="H10" s="38">
        <f t="shared" si="1"/>
        <v>1.1747151775812903</v>
      </c>
      <c r="I10" s="38">
        <f t="shared" si="1"/>
        <v>1.3909709423403838</v>
      </c>
      <c r="J10" s="38">
        <f t="shared" si="1"/>
        <v>1.5896534158816118</v>
      </c>
      <c r="K10" s="38">
        <f t="shared" si="1"/>
        <v>1.4373234246489599</v>
      </c>
      <c r="L10" s="38">
        <f t="shared" si="1"/>
        <v>1.5846514868342312</v>
      </c>
    </row>
    <row r="11" spans="1:12" ht="15.75" customHeight="1">
      <c r="A11" s="223" t="s">
        <v>432</v>
      </c>
      <c r="B11" s="260" t="s">
        <v>430</v>
      </c>
      <c r="C11" s="59">
        <v>0.15</v>
      </c>
      <c r="D11" s="29">
        <v>0</v>
      </c>
      <c r="E11" s="38">
        <f t="shared" ref="E11:L11" si="2">D26</f>
        <v>0</v>
      </c>
      <c r="F11" s="38">
        <f t="shared" si="2"/>
        <v>1.01712</v>
      </c>
      <c r="G11" s="38">
        <f t="shared" si="2"/>
        <v>0.61818573374999997</v>
      </c>
      <c r="H11" s="38">
        <f t="shared" si="2"/>
        <v>0.96417898739074137</v>
      </c>
      <c r="I11" s="38">
        <f t="shared" si="2"/>
        <v>0.9162778385134065</v>
      </c>
      <c r="J11" s="38">
        <f t="shared" si="2"/>
        <v>1.0849573350254993</v>
      </c>
      <c r="K11" s="38">
        <f t="shared" si="2"/>
        <v>1.2399296643876572</v>
      </c>
      <c r="L11" s="38">
        <f t="shared" si="2"/>
        <v>1.1211122712261887</v>
      </c>
    </row>
    <row r="12" spans="1:12" ht="15.75" customHeight="1">
      <c r="A12" s="223" t="s">
        <v>433</v>
      </c>
      <c r="B12" s="260" t="s">
        <v>430</v>
      </c>
      <c r="C12" s="59">
        <v>0.05</v>
      </c>
      <c r="D12" s="60">
        <f>Assumptions!$F$8</f>
        <v>1.3</v>
      </c>
      <c r="E12" s="38">
        <f t="shared" ref="E12:L12" si="3">D28</f>
        <v>1.196</v>
      </c>
      <c r="F12" s="38">
        <f t="shared" si="3"/>
        <v>1.10032</v>
      </c>
      <c r="G12" s="38">
        <f t="shared" si="3"/>
        <v>1.8870176000000001</v>
      </c>
      <c r="H12" s="38">
        <f t="shared" si="3"/>
        <v>2.2676959230249998</v>
      </c>
      <c r="I12" s="38">
        <f t="shared" si="3"/>
        <v>2.9154741783390374</v>
      </c>
      <c r="J12" s="38">
        <f t="shared" si="3"/>
        <v>3.4702351851934439</v>
      </c>
      <c r="K12" s="38">
        <f t="shared" si="3"/>
        <v>4.1256796784998979</v>
      </c>
      <c r="L12" s="38">
        <f t="shared" si="3"/>
        <v>4.8619648155932911</v>
      </c>
    </row>
    <row r="13" spans="1:12" ht="15.75" customHeight="1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</row>
    <row r="14" spans="1:12" ht="15.75" customHeight="1">
      <c r="A14" s="341" t="s">
        <v>434</v>
      </c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</row>
    <row r="15" spans="1:12" ht="15.75" customHeight="1">
      <c r="A15" s="223" t="s">
        <v>435</v>
      </c>
      <c r="B15" s="260" t="s">
        <v>436</v>
      </c>
      <c r="C15" s="338">
        <f>Assumptions!$F$19</f>
        <v>0.22</v>
      </c>
      <c r="D15" s="338">
        <f>Assumptions!$F$19</f>
        <v>0.22</v>
      </c>
      <c r="E15" s="338">
        <f>Assumptions!$F$19</f>
        <v>0.22</v>
      </c>
      <c r="F15" s="338">
        <f>Assumptions!$F$19</f>
        <v>0.22</v>
      </c>
      <c r="G15" s="338">
        <f>Assumptions!$F$19</f>
        <v>0.22</v>
      </c>
      <c r="H15" s="338">
        <f>Assumptions!$F$19</f>
        <v>0.22</v>
      </c>
      <c r="I15" s="338">
        <f>Assumptions!$F$19</f>
        <v>0.22</v>
      </c>
      <c r="J15" s="338">
        <f>Assumptions!$F$19</f>
        <v>0.22</v>
      </c>
      <c r="K15" s="338">
        <f>Assumptions!$F$19</f>
        <v>0.22</v>
      </c>
      <c r="L15" s="338">
        <f>Assumptions!$F$19</f>
        <v>0.22</v>
      </c>
    </row>
    <row r="16" spans="1:12" ht="15.75" customHeight="1">
      <c r="A16" s="223" t="s">
        <v>437</v>
      </c>
      <c r="B16" s="260" t="s">
        <v>436</v>
      </c>
      <c r="C16" s="338">
        <f>Assumptions!$F$20</f>
        <v>0.14000000000000001</v>
      </c>
      <c r="D16" s="338">
        <f>Assumptions!$F$20</f>
        <v>0.14000000000000001</v>
      </c>
      <c r="E16" s="338">
        <f>Assumptions!$F$20</f>
        <v>0.14000000000000001</v>
      </c>
      <c r="F16" s="338">
        <f>Assumptions!$F$20</f>
        <v>0.14000000000000001</v>
      </c>
      <c r="G16" s="338">
        <f>Assumptions!$F$20</f>
        <v>0.14000000000000001</v>
      </c>
      <c r="H16" s="338">
        <f>Assumptions!$F$20</f>
        <v>0.14000000000000001</v>
      </c>
      <c r="I16" s="338">
        <f>Assumptions!$F$20</f>
        <v>0.14000000000000001</v>
      </c>
      <c r="J16" s="338">
        <f>Assumptions!$F$20</f>
        <v>0.14000000000000001</v>
      </c>
      <c r="K16" s="338">
        <f>Assumptions!$F$20</f>
        <v>0.14000000000000001</v>
      </c>
      <c r="L16" s="338">
        <f>Assumptions!$F$20</f>
        <v>0.14000000000000001</v>
      </c>
    </row>
    <row r="17" spans="1:12" ht="15.75" customHeight="1">
      <c r="A17" s="223" t="s">
        <v>438</v>
      </c>
      <c r="B17" s="260" t="s">
        <v>436</v>
      </c>
      <c r="C17" s="338">
        <f>Assumptions!$F$21</f>
        <v>0.08</v>
      </c>
      <c r="D17" s="338">
        <f>Assumptions!$F$21</f>
        <v>0.08</v>
      </c>
      <c r="E17" s="338">
        <f>Assumptions!$F$21</f>
        <v>0.08</v>
      </c>
      <c r="F17" s="338">
        <f>Assumptions!$F$21</f>
        <v>0.08</v>
      </c>
      <c r="G17" s="338">
        <f>Assumptions!$F$21</f>
        <v>0.08</v>
      </c>
      <c r="H17" s="338">
        <f>Assumptions!$F$21</f>
        <v>0.08</v>
      </c>
      <c r="I17" s="338">
        <f>Assumptions!$F$21</f>
        <v>0.08</v>
      </c>
      <c r="J17" s="338">
        <f>Assumptions!$F$21</f>
        <v>0.08</v>
      </c>
      <c r="K17" s="338">
        <f>Assumptions!$F$21</f>
        <v>0.08</v>
      </c>
      <c r="L17" s="338">
        <f>Assumptions!$F$21</f>
        <v>0.08</v>
      </c>
    </row>
    <row r="18" spans="1:12" ht="15.75" customHeight="1">
      <c r="A18" s="2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</row>
    <row r="19" spans="1:12" ht="15.75" customHeight="1">
      <c r="A19" s="341" t="s">
        <v>439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</row>
    <row r="20" spans="1:12" ht="15.75" customHeight="1">
      <c r="A20" s="223" t="s">
        <v>440</v>
      </c>
      <c r="B20" s="260" t="s">
        <v>430</v>
      </c>
      <c r="C20" s="38">
        <f t="shared" ref="C20:L20" si="4">C10*C15</f>
        <v>0.11</v>
      </c>
      <c r="D20" s="38">
        <f t="shared" si="4"/>
        <v>0</v>
      </c>
      <c r="E20" s="38">
        <f t="shared" si="4"/>
        <v>0.28688000000000002</v>
      </c>
      <c r="F20" s="38">
        <f t="shared" si="4"/>
        <v>0.17436007875000001</v>
      </c>
      <c r="G20" s="38">
        <f t="shared" si="4"/>
        <v>0.27194791952046549</v>
      </c>
      <c r="H20" s="38">
        <f t="shared" si="4"/>
        <v>0.25843733906788385</v>
      </c>
      <c r="I20" s="38">
        <f t="shared" si="4"/>
        <v>0.30601360731488442</v>
      </c>
      <c r="J20" s="38">
        <f t="shared" si="4"/>
        <v>0.34972375149395457</v>
      </c>
      <c r="K20" s="38">
        <f t="shared" si="4"/>
        <v>0.31621115342277117</v>
      </c>
      <c r="L20" s="38">
        <f t="shared" si="4"/>
        <v>0.34862332710353089</v>
      </c>
    </row>
    <row r="21" spans="1:12" ht="15.75" customHeight="1">
      <c r="A21" s="223" t="s">
        <v>441</v>
      </c>
      <c r="B21" s="260" t="s">
        <v>430</v>
      </c>
      <c r="C21" s="38">
        <f t="shared" ref="C21:L21" si="5">C11*C16</f>
        <v>2.1000000000000001E-2</v>
      </c>
      <c r="D21" s="38">
        <f t="shared" si="5"/>
        <v>0</v>
      </c>
      <c r="E21" s="38">
        <f t="shared" si="5"/>
        <v>0</v>
      </c>
      <c r="F21" s="38">
        <f t="shared" si="5"/>
        <v>0.14239680000000002</v>
      </c>
      <c r="G21" s="38">
        <f t="shared" si="5"/>
        <v>8.6546002725000001E-2</v>
      </c>
      <c r="H21" s="38">
        <f t="shared" si="5"/>
        <v>0.1349850582347038</v>
      </c>
      <c r="I21" s="38">
        <f t="shared" si="5"/>
        <v>0.12827889739187692</v>
      </c>
      <c r="J21" s="38">
        <f t="shared" si="5"/>
        <v>0.15189402690356993</v>
      </c>
      <c r="K21" s="38">
        <f t="shared" si="5"/>
        <v>0.17359015301427203</v>
      </c>
      <c r="L21" s="38">
        <f t="shared" si="5"/>
        <v>0.15695571797166644</v>
      </c>
    </row>
    <row r="22" spans="1:12" ht="15.75" customHeight="1">
      <c r="A22" s="223" t="s">
        <v>442</v>
      </c>
      <c r="B22" s="260" t="s">
        <v>430</v>
      </c>
      <c r="C22" s="38">
        <f t="shared" ref="C22:L22" si="6">C12*C17</f>
        <v>4.0000000000000001E-3</v>
      </c>
      <c r="D22" s="38">
        <f t="shared" si="6"/>
        <v>0.10400000000000001</v>
      </c>
      <c r="E22" s="38">
        <f t="shared" si="6"/>
        <v>9.5680000000000001E-2</v>
      </c>
      <c r="F22" s="38">
        <f t="shared" si="6"/>
        <v>8.8025599999999996E-2</v>
      </c>
      <c r="G22" s="38">
        <f t="shared" si="6"/>
        <v>0.15096140800000002</v>
      </c>
      <c r="H22" s="38">
        <f t="shared" si="6"/>
        <v>0.181415673842</v>
      </c>
      <c r="I22" s="38">
        <f t="shared" si="6"/>
        <v>0.233237934267123</v>
      </c>
      <c r="J22" s="38">
        <f t="shared" si="6"/>
        <v>0.27761881481547551</v>
      </c>
      <c r="K22" s="38">
        <f t="shared" si="6"/>
        <v>0.33005437427999185</v>
      </c>
      <c r="L22" s="38">
        <f t="shared" si="6"/>
        <v>0.38895718524746331</v>
      </c>
    </row>
    <row r="23" spans="1:12" ht="15.75" customHeight="1">
      <c r="A23" s="223" t="s">
        <v>443</v>
      </c>
      <c r="B23" s="260" t="s">
        <v>430</v>
      </c>
      <c r="C23" s="38">
        <f t="shared" ref="C23:L23" si="7">SUM(C20:C22)</f>
        <v>0.13500000000000001</v>
      </c>
      <c r="D23" s="38">
        <f t="shared" si="7"/>
        <v>0.10400000000000001</v>
      </c>
      <c r="E23" s="38">
        <f t="shared" si="7"/>
        <v>0.38256000000000001</v>
      </c>
      <c r="F23" s="38">
        <f t="shared" si="7"/>
        <v>0.40478247875000001</v>
      </c>
      <c r="G23" s="38">
        <f t="shared" si="7"/>
        <v>0.50945533024546552</v>
      </c>
      <c r="H23" s="38">
        <f t="shared" si="7"/>
        <v>0.57483807114458763</v>
      </c>
      <c r="I23" s="38">
        <f t="shared" si="7"/>
        <v>0.66753043897388431</v>
      </c>
      <c r="J23" s="38">
        <f t="shared" si="7"/>
        <v>0.77923659321300009</v>
      </c>
      <c r="K23" s="38">
        <f t="shared" si="7"/>
        <v>0.81985568071703507</v>
      </c>
      <c r="L23" s="38">
        <f t="shared" si="7"/>
        <v>0.89453623032266072</v>
      </c>
    </row>
    <row r="24" spans="1:12" ht="15.75" customHeight="1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</row>
    <row r="25" spans="1:12" ht="15.75" customHeight="1">
      <c r="A25" s="341" t="s">
        <v>444</v>
      </c>
      <c r="B25" s="350"/>
      <c r="C25" s="350"/>
      <c r="D25" s="350"/>
      <c r="E25" s="350"/>
      <c r="F25" s="350"/>
      <c r="G25" s="350"/>
      <c r="H25" s="350"/>
      <c r="I25" s="350"/>
      <c r="J25" s="350"/>
      <c r="K25" s="350"/>
      <c r="L25" s="350"/>
    </row>
    <row r="26" spans="1:12" ht="15.75" customHeight="1">
      <c r="A26" s="223" t="s">
        <v>445</v>
      </c>
      <c r="B26" s="260" t="s">
        <v>430</v>
      </c>
      <c r="C26" s="38">
        <f t="shared" ref="C26:L26" si="8">C10-C20</f>
        <v>0.39</v>
      </c>
      <c r="D26" s="38">
        <f t="shared" si="8"/>
        <v>0</v>
      </c>
      <c r="E26" s="38">
        <f t="shared" si="8"/>
        <v>1.01712</v>
      </c>
      <c r="F26" s="38">
        <f t="shared" si="8"/>
        <v>0.61818573374999997</v>
      </c>
      <c r="G26" s="38">
        <f t="shared" si="8"/>
        <v>0.96417898739074137</v>
      </c>
      <c r="H26" s="38">
        <f t="shared" si="8"/>
        <v>0.9162778385134065</v>
      </c>
      <c r="I26" s="38">
        <f t="shared" si="8"/>
        <v>1.0849573350254993</v>
      </c>
      <c r="J26" s="38">
        <f t="shared" si="8"/>
        <v>1.2399296643876572</v>
      </c>
      <c r="K26" s="38">
        <f t="shared" si="8"/>
        <v>1.1211122712261887</v>
      </c>
      <c r="L26" s="38">
        <f t="shared" si="8"/>
        <v>1.2360281597307003</v>
      </c>
    </row>
    <row r="27" spans="1:12" ht="15.75" customHeight="1">
      <c r="A27" s="223" t="s">
        <v>446</v>
      </c>
      <c r="B27" s="260" t="s">
        <v>430</v>
      </c>
      <c r="C27" s="38">
        <f t="shared" ref="C27:L27" si="9">C11-C21</f>
        <v>0.129</v>
      </c>
      <c r="D27" s="38">
        <f t="shared" si="9"/>
        <v>0</v>
      </c>
      <c r="E27" s="38">
        <f t="shared" si="9"/>
        <v>0</v>
      </c>
      <c r="F27" s="38">
        <f t="shared" si="9"/>
        <v>0.87472320000000003</v>
      </c>
      <c r="G27" s="38">
        <f t="shared" si="9"/>
        <v>0.53163973102499995</v>
      </c>
      <c r="H27" s="38">
        <f t="shared" si="9"/>
        <v>0.82919392915603751</v>
      </c>
      <c r="I27" s="38">
        <f t="shared" si="9"/>
        <v>0.78799894112152957</v>
      </c>
      <c r="J27" s="38">
        <f t="shared" si="9"/>
        <v>0.93306330812192939</v>
      </c>
      <c r="K27" s="38">
        <f t="shared" si="9"/>
        <v>1.0663395113733851</v>
      </c>
      <c r="L27" s="38">
        <f t="shared" si="9"/>
        <v>0.96415655325452232</v>
      </c>
    </row>
    <row r="28" spans="1:12" ht="15.75" customHeight="1">
      <c r="A28" s="223" t="s">
        <v>447</v>
      </c>
      <c r="B28" s="260" t="s">
        <v>430</v>
      </c>
      <c r="C28" s="38">
        <f t="shared" ref="C28:L28" si="10">C12-C22+C27</f>
        <v>0.17499999999999999</v>
      </c>
      <c r="D28" s="38">
        <f t="shared" si="10"/>
        <v>1.196</v>
      </c>
      <c r="E28" s="38">
        <f t="shared" si="10"/>
        <v>1.10032</v>
      </c>
      <c r="F28" s="38">
        <f t="shared" si="10"/>
        <v>1.8870176000000001</v>
      </c>
      <c r="G28" s="38">
        <f t="shared" si="10"/>
        <v>2.2676959230249998</v>
      </c>
      <c r="H28" s="38">
        <f t="shared" si="10"/>
        <v>2.9154741783390374</v>
      </c>
      <c r="I28" s="38">
        <f t="shared" si="10"/>
        <v>3.4702351851934439</v>
      </c>
      <c r="J28" s="38">
        <f t="shared" si="10"/>
        <v>4.1256796784998979</v>
      </c>
      <c r="K28" s="38">
        <f t="shared" si="10"/>
        <v>4.8619648155932911</v>
      </c>
      <c r="L28" s="38">
        <f t="shared" si="10"/>
        <v>5.4371641836003501</v>
      </c>
    </row>
    <row r="29" spans="1:12" ht="15.75" customHeight="1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</row>
    <row r="30" spans="1:12" ht="15.75" customHeight="1">
      <c r="A30" s="341" t="s">
        <v>448</v>
      </c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</row>
    <row r="31" spans="1:12" ht="15.75" customHeight="1">
      <c r="A31" s="223" t="s">
        <v>449</v>
      </c>
      <c r="B31" s="260" t="s">
        <v>430</v>
      </c>
      <c r="C31" s="59">
        <v>0.6</v>
      </c>
      <c r="D31" s="39">
        <f>Assumptions!$F$9-D28</f>
        <v>1.304</v>
      </c>
      <c r="E31" s="38">
        <f t="shared" ref="E31:L31" si="11">E51</f>
        <v>0.7925458125</v>
      </c>
      <c r="F31" s="38">
        <f t="shared" si="11"/>
        <v>1.2361269069112069</v>
      </c>
      <c r="G31" s="38">
        <f t="shared" si="11"/>
        <v>1.1747151775812903</v>
      </c>
      <c r="H31" s="38">
        <f t="shared" si="11"/>
        <v>1.3909709423403838</v>
      </c>
      <c r="I31" s="38">
        <f t="shared" si="11"/>
        <v>1.5896534158816118</v>
      </c>
      <c r="J31" s="38">
        <f t="shared" si="11"/>
        <v>1.4373234246489599</v>
      </c>
      <c r="K31" s="38">
        <f t="shared" si="11"/>
        <v>1.5846514868342312</v>
      </c>
      <c r="L31" s="38">
        <f t="shared" si="11"/>
        <v>1.7033124237278807</v>
      </c>
    </row>
    <row r="32" spans="1:12" ht="15.75" customHeight="1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</row>
    <row r="33" spans="1:12" ht="15.75" customHeight="1">
      <c r="A33" s="341" t="s">
        <v>450</v>
      </c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</row>
    <row r="34" spans="1:12" ht="15.75" customHeight="1">
      <c r="A34" s="223" t="s">
        <v>451</v>
      </c>
      <c r="B34" s="260" t="s">
        <v>430</v>
      </c>
      <c r="C34" s="38">
        <f t="shared" ref="C34:L34" si="12">C26+C28+C31</f>
        <v>1.165</v>
      </c>
      <c r="D34" s="38">
        <f t="shared" si="12"/>
        <v>2.5</v>
      </c>
      <c r="E34" s="38">
        <f t="shared" si="12"/>
        <v>2.9099858125000004</v>
      </c>
      <c r="F34" s="38">
        <f t="shared" si="12"/>
        <v>3.741330240661207</v>
      </c>
      <c r="G34" s="38">
        <f t="shared" si="12"/>
        <v>4.4065900879970314</v>
      </c>
      <c r="H34" s="38">
        <f t="shared" si="12"/>
        <v>5.2227229591928275</v>
      </c>
      <c r="I34" s="38">
        <f t="shared" si="12"/>
        <v>6.1448459361005554</v>
      </c>
      <c r="J34" s="38">
        <f t="shared" si="12"/>
        <v>6.8029327675365145</v>
      </c>
      <c r="K34" s="38">
        <f t="shared" si="12"/>
        <v>7.5677285736537101</v>
      </c>
      <c r="L34" s="38">
        <f t="shared" si="12"/>
        <v>8.3765047670589325</v>
      </c>
    </row>
    <row r="35" spans="1:12" ht="15.75" customHeight="1">
      <c r="A35" s="223" t="s">
        <v>452</v>
      </c>
      <c r="B35" s="260" t="s">
        <v>430</v>
      </c>
      <c r="C35" s="39">
        <f t="shared" ref="C35:L35" si="13">(C9+C34)/2</f>
        <v>0.9325</v>
      </c>
      <c r="D35" s="39">
        <f t="shared" si="13"/>
        <v>1.9</v>
      </c>
      <c r="E35" s="39">
        <f t="shared" si="13"/>
        <v>2.7049929062500002</v>
      </c>
      <c r="F35" s="39">
        <f t="shared" si="13"/>
        <v>3.3256580265806037</v>
      </c>
      <c r="G35" s="39">
        <f t="shared" si="13"/>
        <v>4.0739601643291188</v>
      </c>
      <c r="H35" s="39">
        <f t="shared" si="13"/>
        <v>4.8146565235949295</v>
      </c>
      <c r="I35" s="39">
        <f t="shared" si="13"/>
        <v>5.6837844476466914</v>
      </c>
      <c r="J35" s="39">
        <f t="shared" si="13"/>
        <v>6.473889351818535</v>
      </c>
      <c r="K35" s="39">
        <f t="shared" si="13"/>
        <v>7.1853306705951123</v>
      </c>
      <c r="L35" s="39">
        <f t="shared" si="13"/>
        <v>7.9721166703563213</v>
      </c>
    </row>
    <row r="36" spans="1:12" ht="15.75" customHeight="1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</row>
    <row r="37" spans="1:12" ht="15.75" customHeight="1">
      <c r="A37" s="341" t="s">
        <v>453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</row>
    <row r="38" spans="1:12" ht="15.75" customHeight="1">
      <c r="A38" s="223" t="s">
        <v>454</v>
      </c>
      <c r="B38" s="260" t="s">
        <v>430</v>
      </c>
      <c r="C38" s="45">
        <f t="shared" ref="C38:L38" si="14">C31-C23</f>
        <v>0.46499999999999997</v>
      </c>
      <c r="D38" s="45">
        <f t="shared" si="14"/>
        <v>1.2</v>
      </c>
      <c r="E38" s="45">
        <f t="shared" si="14"/>
        <v>0.40998581249999999</v>
      </c>
      <c r="F38" s="45">
        <f t="shared" si="14"/>
        <v>0.83134442816120679</v>
      </c>
      <c r="G38" s="45">
        <f t="shared" si="14"/>
        <v>0.66525984733582477</v>
      </c>
      <c r="H38" s="45">
        <f t="shared" si="14"/>
        <v>0.81613287119579614</v>
      </c>
      <c r="I38" s="45">
        <f t="shared" si="14"/>
        <v>0.92212297690772749</v>
      </c>
      <c r="J38" s="45">
        <f t="shared" si="14"/>
        <v>0.65808683143595981</v>
      </c>
      <c r="K38" s="45">
        <f t="shared" si="14"/>
        <v>0.76479580611719611</v>
      </c>
      <c r="L38" s="45">
        <f t="shared" si="14"/>
        <v>0.80877619340522</v>
      </c>
    </row>
    <row r="39" spans="1:12" ht="15.75" customHeight="1">
      <c r="A39" s="223" t="s">
        <v>455</v>
      </c>
      <c r="B39" s="260" t="s">
        <v>436</v>
      </c>
      <c r="C39" s="219"/>
      <c r="D39" s="334">
        <f t="shared" ref="D39:L39" si="15">D34/C34-1</f>
        <v>1.1459227467811157</v>
      </c>
      <c r="E39" s="334">
        <f t="shared" si="15"/>
        <v>0.16399432500000022</v>
      </c>
      <c r="F39" s="334">
        <f t="shared" si="15"/>
        <v>0.28568676334782173</v>
      </c>
      <c r="G39" s="334">
        <f t="shared" si="15"/>
        <v>0.17781371986511751</v>
      </c>
      <c r="H39" s="334">
        <f t="shared" si="15"/>
        <v>0.18520734965088637</v>
      </c>
      <c r="I39" s="334">
        <f t="shared" si="15"/>
        <v>0.17655981067972304</v>
      </c>
      <c r="J39" s="334">
        <f t="shared" si="15"/>
        <v>0.10709574141960876</v>
      </c>
      <c r="K39" s="334">
        <f t="shared" si="15"/>
        <v>0.11242148529922114</v>
      </c>
      <c r="L39" s="334">
        <f t="shared" si="15"/>
        <v>0.10687172320382832</v>
      </c>
    </row>
    <row r="40" spans="1:12" ht="15.75" customHeight="1">
      <c r="A40" s="223" t="s">
        <v>456</v>
      </c>
      <c r="B40" s="260" t="s">
        <v>436</v>
      </c>
      <c r="C40" s="334">
        <f t="shared" ref="C40:L40" si="16">IFERROR(C23/C9,0)</f>
        <v>0.19285714285714289</v>
      </c>
      <c r="D40" s="334">
        <f t="shared" si="16"/>
        <v>0.08</v>
      </c>
      <c r="E40" s="334">
        <f t="shared" si="16"/>
        <v>0.15302399999999999</v>
      </c>
      <c r="F40" s="334">
        <f t="shared" si="16"/>
        <v>0.1391011863395468</v>
      </c>
      <c r="G40" s="334">
        <f t="shared" si="16"/>
        <v>0.13616957003919258</v>
      </c>
      <c r="H40" s="334">
        <f t="shared" si="16"/>
        <v>0.13044963558338918</v>
      </c>
      <c r="I40" s="334">
        <f t="shared" si="16"/>
        <v>0.1278127222503587</v>
      </c>
      <c r="J40" s="334">
        <f t="shared" si="16"/>
        <v>0.1268114125750554</v>
      </c>
      <c r="K40" s="334">
        <f t="shared" si="16"/>
        <v>0.12051503501980398</v>
      </c>
      <c r="L40" s="334">
        <f t="shared" si="16"/>
        <v>0.11820405840623026</v>
      </c>
    </row>
    <row r="41" spans="1:12" ht="15.75" customHeight="1">
      <c r="A41" s="223" t="s">
        <v>457</v>
      </c>
      <c r="B41" s="260" t="s">
        <v>436</v>
      </c>
      <c r="C41" s="219"/>
      <c r="D41" s="334">
        <f>D34/Assumptions!$F$9-1</f>
        <v>0</v>
      </c>
      <c r="E41" s="219"/>
      <c r="F41" s="219"/>
      <c r="G41" s="219"/>
      <c r="H41" s="219"/>
      <c r="I41" s="219"/>
      <c r="J41" s="219"/>
      <c r="K41" s="219"/>
      <c r="L41" s="219"/>
    </row>
    <row r="42" spans="1:12" ht="15.75" customHeight="1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</row>
    <row r="43" spans="1:12" ht="15.75" customHeight="1">
      <c r="A43" s="339" t="s">
        <v>458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</row>
    <row r="44" spans="1:12" ht="15.75" customHeight="1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</row>
    <row r="45" spans="1:12" ht="15.75" customHeight="1">
      <c r="A45" s="261" t="s">
        <v>459</v>
      </c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</row>
    <row r="46" spans="1:12" ht="15.75" customHeight="1">
      <c r="A46" s="263" t="s">
        <v>460</v>
      </c>
      <c r="B46" s="264" t="s">
        <v>461</v>
      </c>
      <c r="C46" s="264" t="s">
        <v>462</v>
      </c>
      <c r="D46" s="264" t="s">
        <v>462</v>
      </c>
      <c r="E46" s="72">
        <v>1</v>
      </c>
      <c r="F46" s="72">
        <v>1</v>
      </c>
      <c r="G46" s="72">
        <v>2</v>
      </c>
      <c r="H46" s="72">
        <v>2</v>
      </c>
      <c r="I46" s="72">
        <v>2</v>
      </c>
      <c r="J46" s="72">
        <v>3</v>
      </c>
      <c r="K46" s="72">
        <v>3</v>
      </c>
      <c r="L46" s="72">
        <v>3</v>
      </c>
    </row>
    <row r="47" spans="1:12" ht="15.75" customHeight="1">
      <c r="A47" s="239" t="s">
        <v>463</v>
      </c>
      <c r="B47" s="264" t="s">
        <v>464</v>
      </c>
      <c r="C47" s="219"/>
      <c r="D47" s="73">
        <v>195</v>
      </c>
      <c r="E47" s="75">
        <f>'Revenue Build'!D20*CHOOSE(E46,Assumptions!$F$117,Assumptions!$F$118,Assumptions!$F$119)</f>
        <v>158.5091625</v>
      </c>
      <c r="F47" s="75">
        <f>'Revenue Build'!E20*CHOOSE(F46,Assumptions!$F$117,Assumptions!$F$118,Assumptions!$F$119)</f>
        <v>267.00341189282068</v>
      </c>
      <c r="G47" s="75">
        <f>'Revenue Build'!F20*CHOOSE(G46,Assumptions!$F$117,Assumptions!$F$118,Assumptions!$F$119)</f>
        <v>274.03755662616345</v>
      </c>
      <c r="H47" s="75">
        <f>'Revenue Build'!G20*CHOOSE(H46,Assumptions!$F$117,Assumptions!$F$118,Assumptions!$F$119)</f>
        <v>350.44455754349798</v>
      </c>
      <c r="I47" s="75">
        <f>'Revenue Build'!H20*CHOOSE(I46,Assumptions!$F$117,Assumptions!$F$118,Assumptions!$F$119)</f>
        <v>432.54118450664441</v>
      </c>
      <c r="J47" s="75">
        <f>'Revenue Build'!I20*CHOOSE(J46,Assumptions!$F$117,Assumptions!$F$118,Assumptions!$F$119)</f>
        <v>422.37993265580934</v>
      </c>
      <c r="K47" s="75">
        <f>'Revenue Build'!J20*CHOOSE(K46,Assumptions!$F$117,Assumptions!$F$118,Assumptions!$F$119)</f>
        <v>502.92855105445489</v>
      </c>
      <c r="L47" s="75">
        <f>'Revenue Build'!K20*CHOOSE(L46,Assumptions!$F$117,Assumptions!$F$118,Assumptions!$F$119)</f>
        <v>583.83563381970168</v>
      </c>
    </row>
    <row r="48" spans="1:12" ht="15.75" customHeight="1">
      <c r="A48" s="239" t="s">
        <v>465</v>
      </c>
      <c r="B48" s="264" t="s">
        <v>466</v>
      </c>
      <c r="C48" s="219"/>
      <c r="D48" s="265">
        <v>130</v>
      </c>
      <c r="E48" s="266">
        <f>Assumptions!$F$121</f>
        <v>200</v>
      </c>
      <c r="F48" s="267">
        <f>E48*(1+Assumptions!$F$122)</f>
        <v>216</v>
      </c>
      <c r="G48" s="267">
        <f>F48*(1+Assumptions!$F$122)</f>
        <v>233.28000000000003</v>
      </c>
      <c r="H48" s="267">
        <f>G48*(1+Assumptions!$F$122)</f>
        <v>251.94240000000005</v>
      </c>
      <c r="I48" s="267">
        <f>H48*(1+Assumptions!$F$122)</f>
        <v>272.09779200000008</v>
      </c>
      <c r="J48" s="267">
        <f>I48*(1+Assumptions!$F$122)</f>
        <v>293.86561536000011</v>
      </c>
      <c r="K48" s="267">
        <f>J48*(1+Assumptions!$F$122)</f>
        <v>317.37486458880011</v>
      </c>
      <c r="L48" s="267">
        <f>K48*(1+Assumptions!$F$122)</f>
        <v>342.76485375590414</v>
      </c>
    </row>
    <row r="49" spans="1:12" ht="15.75" customHeight="1">
      <c r="A49" s="239" t="s">
        <v>467</v>
      </c>
      <c r="B49" s="264" t="s">
        <v>430</v>
      </c>
      <c r="C49" s="219"/>
      <c r="D49" s="71">
        <f t="shared" ref="D49:L49" si="17">D47/D48</f>
        <v>1.5</v>
      </c>
      <c r="E49" s="71">
        <f t="shared" si="17"/>
        <v>0.7925458125</v>
      </c>
      <c r="F49" s="71">
        <f t="shared" si="17"/>
        <v>1.2361269069112069</v>
      </c>
      <c r="G49" s="71">
        <f t="shared" si="17"/>
        <v>1.1747151775812903</v>
      </c>
      <c r="H49" s="71">
        <f t="shared" si="17"/>
        <v>1.3909709423403838</v>
      </c>
      <c r="I49" s="71">
        <f t="shared" si="17"/>
        <v>1.5896534158816118</v>
      </c>
      <c r="J49" s="71">
        <f t="shared" si="17"/>
        <v>1.4373234246489599</v>
      </c>
      <c r="K49" s="71">
        <f t="shared" si="17"/>
        <v>1.5846514868342312</v>
      </c>
      <c r="L49" s="71">
        <f t="shared" si="17"/>
        <v>1.7033124237278807</v>
      </c>
    </row>
    <row r="50" spans="1:12" ht="15.75" customHeight="1">
      <c r="A50" s="263" t="s">
        <v>468</v>
      </c>
      <c r="B50" s="264" t="s">
        <v>436</v>
      </c>
      <c r="C50" s="219"/>
      <c r="D50" s="80" t="s">
        <v>469</v>
      </c>
      <c r="E50" s="81">
        <f>D34/Assumptions!$F$123</f>
        <v>0.1</v>
      </c>
      <c r="F50" s="81">
        <f>E34/Assumptions!$F$123</f>
        <v>0.11639943250000001</v>
      </c>
      <c r="G50" s="81">
        <f>F34/Assumptions!$F$123</f>
        <v>0.14965320962644829</v>
      </c>
      <c r="H50" s="81">
        <f>G34/Assumptions!$F$123</f>
        <v>0.17626360351988127</v>
      </c>
      <c r="I50" s="81">
        <f>H34/Assumptions!$F$123</f>
        <v>0.20890891836771311</v>
      </c>
      <c r="J50" s="81">
        <f>I34/Assumptions!$F$123</f>
        <v>0.24579383744402222</v>
      </c>
      <c r="K50" s="81">
        <f>J34/Assumptions!$F$123</f>
        <v>0.27211731070146056</v>
      </c>
      <c r="L50" s="81">
        <f>K34/Assumptions!$F$123</f>
        <v>0.30270914294614842</v>
      </c>
    </row>
    <row r="51" spans="1:12" ht="15.75" customHeight="1">
      <c r="A51" s="268" t="s">
        <v>470</v>
      </c>
      <c r="B51" s="264" t="s">
        <v>430</v>
      </c>
      <c r="C51" s="219"/>
      <c r="D51" s="74">
        <f t="shared" ref="D51:L51" si="18">D49</f>
        <v>1.5</v>
      </c>
      <c r="E51" s="74">
        <f t="shared" si="18"/>
        <v>0.7925458125</v>
      </c>
      <c r="F51" s="74">
        <f t="shared" si="18"/>
        <v>1.2361269069112069</v>
      </c>
      <c r="G51" s="74">
        <f t="shared" si="18"/>
        <v>1.1747151775812903</v>
      </c>
      <c r="H51" s="74">
        <f t="shared" si="18"/>
        <v>1.3909709423403838</v>
      </c>
      <c r="I51" s="74">
        <f t="shared" si="18"/>
        <v>1.5896534158816118</v>
      </c>
      <c r="J51" s="74">
        <f t="shared" si="18"/>
        <v>1.4373234246489599</v>
      </c>
      <c r="K51" s="74">
        <f t="shared" si="18"/>
        <v>1.5846514868342312</v>
      </c>
      <c r="L51" s="74">
        <f t="shared" si="18"/>
        <v>1.7033124237278807</v>
      </c>
    </row>
  </sheetData>
  <mergeCells count="10">
    <mergeCell ref="A43:L43"/>
    <mergeCell ref="A1:L1"/>
    <mergeCell ref="A33:L33"/>
    <mergeCell ref="A14:L14"/>
    <mergeCell ref="A37:L37"/>
    <mergeCell ref="A19:L19"/>
    <mergeCell ref="A25:L25"/>
    <mergeCell ref="A2:L2"/>
    <mergeCell ref="A30:L30"/>
    <mergeCell ref="A8:L8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L51"/>
  <sheetViews>
    <sheetView showGridLines="0" topLeftCell="B6" workbookViewId="0">
      <selection activeCell="E17" sqref="E17"/>
    </sheetView>
  </sheetViews>
  <sheetFormatPr defaultColWidth="8.85546875" defaultRowHeight="15"/>
  <cols>
    <col min="1" max="1" width="38" customWidth="1"/>
    <col min="2" max="2" width="8" customWidth="1"/>
    <col min="3" max="12" width="11" customWidth="1"/>
  </cols>
  <sheetData>
    <row r="1" spans="1:12" ht="15.75" customHeight="1">
      <c r="A1" s="344" t="s">
        <v>471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</row>
    <row r="2" spans="1:12" ht="15.75" customHeight="1">
      <c r="A2" s="339" t="s">
        <v>472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219"/>
    </row>
    <row r="3" spans="1:12" ht="15.7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</row>
    <row r="4" spans="1:12" s="213" customFormat="1" ht="15.75" customHeight="1"/>
    <row r="5" spans="1:12" ht="15.75" customHeight="1">
      <c r="A5" s="257" t="s">
        <v>473</v>
      </c>
      <c r="B5" s="258" t="s">
        <v>474</v>
      </c>
      <c r="C5" s="160">
        <v>2024</v>
      </c>
      <c r="D5" s="160">
        <v>2025</v>
      </c>
      <c r="E5" s="160">
        <v>2026</v>
      </c>
      <c r="F5" s="160">
        <v>2027</v>
      </c>
      <c r="G5" s="160">
        <v>2028</v>
      </c>
      <c r="H5" s="160">
        <v>2029</v>
      </c>
      <c r="I5" s="160">
        <v>2030</v>
      </c>
      <c r="J5" s="160">
        <v>2031</v>
      </c>
      <c r="K5" s="160">
        <v>2032</v>
      </c>
      <c r="L5" s="160">
        <v>2033</v>
      </c>
    </row>
    <row r="6" spans="1:12" ht="15.75" customHeight="1">
      <c r="A6" s="219"/>
      <c r="B6" s="219"/>
      <c r="C6" s="259"/>
      <c r="D6" s="259"/>
      <c r="E6" s="260"/>
      <c r="F6" s="260"/>
      <c r="G6" s="260"/>
      <c r="H6" s="260"/>
      <c r="I6" s="260"/>
      <c r="J6" s="260"/>
      <c r="K6" s="260"/>
      <c r="L6" s="260"/>
    </row>
    <row r="7" spans="1:12" ht="15.75" customHeight="1">
      <c r="A7" s="269" t="s">
        <v>475</v>
      </c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</row>
    <row r="8" spans="1:12" ht="15.75" customHeight="1">
      <c r="A8" s="219" t="s">
        <v>476</v>
      </c>
      <c r="B8" s="219" t="s">
        <v>436</v>
      </c>
      <c r="C8" s="219"/>
      <c r="D8" s="270">
        <f>Assumptions!$F$130</f>
        <v>0.3</v>
      </c>
      <c r="E8" s="271">
        <f>MAX(0,D8-Assumptions!$F$134)</f>
        <v>0.28499999999999998</v>
      </c>
      <c r="F8" s="271">
        <f>MAX(0,E8-Assumptions!$F$134)</f>
        <v>0.26999999999999996</v>
      </c>
      <c r="G8" s="271">
        <f>MAX(0,F8-Assumptions!$F$134)</f>
        <v>0.25499999999999995</v>
      </c>
      <c r="H8" s="271">
        <f>MAX(0,G8-Assumptions!$F$134)</f>
        <v>0.23999999999999994</v>
      </c>
      <c r="I8" s="271">
        <f>MAX(0,H8-Assumptions!$F$134)</f>
        <v>0.22499999999999992</v>
      </c>
      <c r="J8" s="271">
        <f>MAX(0,I8-Assumptions!$F$134)</f>
        <v>0.20999999999999991</v>
      </c>
      <c r="K8" s="271">
        <f>MAX(0,J8-Assumptions!$F$134)</f>
        <v>0.1949999999999999</v>
      </c>
      <c r="L8" s="271">
        <f>MAX(0,K8-Assumptions!$F$134)</f>
        <v>0.17999999999999988</v>
      </c>
    </row>
    <row r="9" spans="1:12" ht="15.75" customHeight="1">
      <c r="A9" s="219" t="s">
        <v>477</v>
      </c>
      <c r="B9" s="219" t="s">
        <v>436</v>
      </c>
      <c r="C9" s="219"/>
      <c r="D9" s="270">
        <f>Assumptions!$F$131</f>
        <v>0.45</v>
      </c>
      <c r="E9" s="271">
        <f>D9+Assumptions!$F$134*0.5</f>
        <v>0.45750000000000002</v>
      </c>
      <c r="F9" s="271">
        <f>E9+Assumptions!$F$134*0.5</f>
        <v>0.46500000000000002</v>
      </c>
      <c r="G9" s="271">
        <f>F9+Assumptions!$F$134*0.5</f>
        <v>0.47250000000000003</v>
      </c>
      <c r="H9" s="271">
        <f>G9+Assumptions!$F$134*0.5</f>
        <v>0.48000000000000004</v>
      </c>
      <c r="I9" s="271">
        <f>H9+Assumptions!$F$134*0.5</f>
        <v>0.48750000000000004</v>
      </c>
      <c r="J9" s="271">
        <f>I9+Assumptions!$F$134*0.5</f>
        <v>0.49500000000000005</v>
      </c>
      <c r="K9" s="271">
        <f>J9+Assumptions!$F$134*0.5</f>
        <v>0.50250000000000006</v>
      </c>
      <c r="L9" s="271">
        <f>K9+Assumptions!$F$134*0.5</f>
        <v>0.51</v>
      </c>
    </row>
    <row r="10" spans="1:12" ht="15.75" customHeight="1">
      <c r="A10" s="219" t="s">
        <v>478</v>
      </c>
      <c r="B10" s="219" t="s">
        <v>436</v>
      </c>
      <c r="C10" s="219"/>
      <c r="D10" s="270">
        <f>Assumptions!$F$132</f>
        <v>0.25</v>
      </c>
      <c r="E10" s="271">
        <f>1-E8-E9</f>
        <v>0.25750000000000006</v>
      </c>
      <c r="F10" s="271">
        <f t="shared" ref="F10:L10" si="0">1-F8-F9</f>
        <v>0.26499999999999996</v>
      </c>
      <c r="G10" s="271">
        <f t="shared" si="0"/>
        <v>0.27250000000000008</v>
      </c>
      <c r="H10" s="271">
        <f t="shared" si="0"/>
        <v>0.27999999999999997</v>
      </c>
      <c r="I10" s="271">
        <f t="shared" si="0"/>
        <v>0.28750000000000009</v>
      </c>
      <c r="J10" s="271">
        <f t="shared" si="0"/>
        <v>0.29499999999999998</v>
      </c>
      <c r="K10" s="271">
        <f t="shared" si="0"/>
        <v>0.3025000000000001</v>
      </c>
      <c r="L10" s="271">
        <f t="shared" si="0"/>
        <v>0.31000000000000005</v>
      </c>
    </row>
    <row r="11" spans="1:12" ht="15.75" customHeight="1">
      <c r="A11" s="219" t="s">
        <v>479</v>
      </c>
      <c r="B11" s="219" t="s">
        <v>480</v>
      </c>
      <c r="C11" s="219"/>
      <c r="D11" s="272">
        <f>D8*199+D9*239+D10*359</f>
        <v>257</v>
      </c>
      <c r="E11" s="272">
        <f>E8*199+E9*239+E10*359</f>
        <v>258.5</v>
      </c>
      <c r="F11" s="272">
        <f t="shared" ref="F11:L11" si="1">F8*199+F9*239+F10*359</f>
        <v>260</v>
      </c>
      <c r="G11" s="272">
        <f t="shared" si="1"/>
        <v>261.50000000000006</v>
      </c>
      <c r="H11" s="272">
        <f t="shared" si="1"/>
        <v>263</v>
      </c>
      <c r="I11" s="272">
        <f t="shared" si="1"/>
        <v>264.5</v>
      </c>
      <c r="J11" s="272">
        <f t="shared" si="1"/>
        <v>266</v>
      </c>
      <c r="K11" s="272">
        <f t="shared" si="1"/>
        <v>267.5</v>
      </c>
      <c r="L11" s="272">
        <f t="shared" si="1"/>
        <v>269</v>
      </c>
    </row>
    <row r="12" spans="1:12" ht="15.75" customHeight="1">
      <c r="A12" s="219" t="s">
        <v>481</v>
      </c>
      <c r="B12" s="219" t="s">
        <v>480</v>
      </c>
      <c r="C12" s="219"/>
      <c r="D12" s="272">
        <f>Assumptions!$F$133*14</f>
        <v>1.68</v>
      </c>
      <c r="E12" s="272">
        <f>Assumptions!$F$133*14</f>
        <v>1.68</v>
      </c>
      <c r="F12" s="272">
        <f>Assumptions!$F$133*14</f>
        <v>1.68</v>
      </c>
      <c r="G12" s="272">
        <f>Assumptions!$F$133*14</f>
        <v>1.68</v>
      </c>
      <c r="H12" s="272">
        <f>Assumptions!$F$133*14</f>
        <v>1.68</v>
      </c>
      <c r="I12" s="272">
        <f>Assumptions!$F$133*14</f>
        <v>1.68</v>
      </c>
      <c r="J12" s="272">
        <f>Assumptions!$F$133*14</f>
        <v>1.68</v>
      </c>
      <c r="K12" s="272">
        <f>Assumptions!$F$133*14</f>
        <v>1.68</v>
      </c>
      <c r="L12" s="272">
        <f>Assumptions!$F$133*14</f>
        <v>1.68</v>
      </c>
    </row>
    <row r="13" spans="1:12" ht="15.75" customHeight="1">
      <c r="A13" s="273" t="s">
        <v>482</v>
      </c>
      <c r="B13" s="219" t="s">
        <v>480</v>
      </c>
      <c r="C13" s="219"/>
      <c r="D13" s="274">
        <f>D11+D12</f>
        <v>258.68</v>
      </c>
      <c r="E13" s="274">
        <f>(E11+E12)*(1+Assumptions!$F$26)^(E$5-$D$5)</f>
        <v>267.98540000000003</v>
      </c>
      <c r="F13" s="274">
        <f>(F11+F12)*(1+Assumptions!$F$26)^(F$5-$D$5)</f>
        <v>277.61631199999999</v>
      </c>
      <c r="G13" s="274">
        <f>(G11+G12)*(1+Assumptions!$F$26)^(G$5-$D$5)</f>
        <v>287.58389186000005</v>
      </c>
      <c r="H13" s="274">
        <f>(H11+H12)*(1+Assumptions!$F$26)^(H$5-$D$5)</f>
        <v>297.8996718308</v>
      </c>
      <c r="I13" s="274">
        <f>(I11+I12)*(1+Assumptions!$F$26)^(I$5-$D$5)</f>
        <v>308.57557309717396</v>
      </c>
      <c r="J13" s="274">
        <f>(J11+J12)*(1+Assumptions!$F$26)^(J$5-$D$5)</f>
        <v>319.62391873488269</v>
      </c>
      <c r="K13" s="274">
        <f>(K11+K12)*(1+Assumptions!$F$26)^(K$5-$D$5)</f>
        <v>331.05744709506649</v>
      </c>
      <c r="L13" s="274">
        <f>(L11+L12)*(1+Assumptions!$F$26)^(L$5-$D$5)</f>
        <v>342.88932562999992</v>
      </c>
    </row>
    <row r="14" spans="1:12" ht="15.75" customHeight="1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</row>
    <row r="15" spans="1:12" ht="15.75" customHeight="1">
      <c r="A15" s="269" t="s">
        <v>483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</row>
    <row r="16" spans="1:12" ht="15.75" customHeight="1">
      <c r="A16" s="219" t="s">
        <v>484</v>
      </c>
      <c r="B16" s="219" t="s">
        <v>436</v>
      </c>
      <c r="C16" s="219"/>
      <c r="D16" s="270">
        <f>Assumptions!$F$137*0.5</f>
        <v>0.05</v>
      </c>
      <c r="E16" s="270">
        <f>Assumptions!$F$137</f>
        <v>0.1</v>
      </c>
      <c r="F16" s="271">
        <f>E16*(1+Assumptions!$F$140)</f>
        <v>0.10900000000000001</v>
      </c>
      <c r="G16" s="271">
        <f>F16*(1+Assumptions!$F$140)</f>
        <v>0.11881000000000003</v>
      </c>
      <c r="H16" s="271">
        <f>G16*(1+Assumptions!$F$140)</f>
        <v>0.12950290000000003</v>
      </c>
      <c r="I16" s="271">
        <f>H16*(1+Assumptions!$F$140)</f>
        <v>0.14115816100000003</v>
      </c>
      <c r="J16" s="271">
        <f>I16*(1+Assumptions!$F$140)</f>
        <v>0.15386239549000005</v>
      </c>
      <c r="K16" s="271">
        <f>J16*(1+Assumptions!$F$140)</f>
        <v>0.16771001108410008</v>
      </c>
      <c r="L16" s="271">
        <f>K16*(1+Assumptions!$F$140)</f>
        <v>0.1828039120816691</v>
      </c>
    </row>
    <row r="17" spans="1:12" ht="15.75" customHeight="1">
      <c r="A17" s="219" t="s">
        <v>485</v>
      </c>
      <c r="B17" s="219" t="s">
        <v>466</v>
      </c>
      <c r="C17" s="219"/>
      <c r="D17" s="169">
        <f>Assumptions!$F$138</f>
        <v>250</v>
      </c>
      <c r="E17" s="169">
        <f>Assumptions!$F$138</f>
        <v>250</v>
      </c>
      <c r="F17" s="272">
        <f>E17</f>
        <v>250</v>
      </c>
      <c r="G17" s="272">
        <f t="shared" ref="G17:L17" si="2">F17</f>
        <v>250</v>
      </c>
      <c r="H17" s="272">
        <f t="shared" si="2"/>
        <v>250</v>
      </c>
      <c r="I17" s="272">
        <f t="shared" si="2"/>
        <v>250</v>
      </c>
      <c r="J17" s="272">
        <f t="shared" si="2"/>
        <v>250</v>
      </c>
      <c r="K17" s="272">
        <f t="shared" si="2"/>
        <v>250</v>
      </c>
      <c r="L17" s="272">
        <f t="shared" si="2"/>
        <v>250</v>
      </c>
    </row>
    <row r="18" spans="1:12" ht="15.75" customHeight="1">
      <c r="A18" s="219" t="s">
        <v>486</v>
      </c>
      <c r="B18" s="219" t="s">
        <v>487</v>
      </c>
      <c r="C18" s="219"/>
      <c r="D18" s="90">
        <f>Assumptions!$F$139</f>
        <v>1.5</v>
      </c>
      <c r="E18" s="90">
        <f>Assumptions!$F$139</f>
        <v>1.5</v>
      </c>
      <c r="F18" s="92">
        <f>E18</f>
        <v>1.5</v>
      </c>
      <c r="G18" s="92">
        <f t="shared" ref="G18:L18" si="3">F18</f>
        <v>1.5</v>
      </c>
      <c r="H18" s="92">
        <f t="shared" si="3"/>
        <v>1.5</v>
      </c>
      <c r="I18" s="92">
        <f t="shared" si="3"/>
        <v>1.5</v>
      </c>
      <c r="J18" s="92">
        <f t="shared" si="3"/>
        <v>1.5</v>
      </c>
      <c r="K18" s="92">
        <f t="shared" si="3"/>
        <v>1.5</v>
      </c>
      <c r="L18" s="92">
        <f t="shared" si="3"/>
        <v>1.5</v>
      </c>
    </row>
    <row r="19" spans="1:12" ht="15.75" customHeight="1">
      <c r="A19" s="219" t="s">
        <v>488</v>
      </c>
      <c r="B19" s="219" t="s">
        <v>489</v>
      </c>
      <c r="C19" s="219"/>
      <c r="D19" s="91">
        <v>7.4999999999999997E-2</v>
      </c>
      <c r="E19" s="91">
        <v>1</v>
      </c>
      <c r="F19" s="91">
        <v>1</v>
      </c>
      <c r="G19" s="91">
        <v>1</v>
      </c>
      <c r="H19" s="91">
        <v>1</v>
      </c>
      <c r="I19" s="91">
        <v>1</v>
      </c>
      <c r="J19" s="91">
        <v>1</v>
      </c>
      <c r="K19" s="91">
        <v>1</v>
      </c>
      <c r="L19" s="91">
        <v>1</v>
      </c>
    </row>
    <row r="20" spans="1:12" ht="15.75" customHeight="1">
      <c r="A20" s="273" t="s">
        <v>490</v>
      </c>
      <c r="B20" s="219" t="s">
        <v>480</v>
      </c>
      <c r="C20" s="219"/>
      <c r="D20" s="274">
        <f>D16*D17*D18*D19</f>
        <v>1.40625</v>
      </c>
      <c r="E20" s="274">
        <f>E16*E17*E18*E19</f>
        <v>37.5</v>
      </c>
      <c r="F20" s="274">
        <f>F16*F17*F18*F19</f>
        <v>40.875000000000007</v>
      </c>
      <c r="G20" s="274">
        <f t="shared" ref="G20:L20" si="4">G16*G17*G18*G19</f>
        <v>44.553750000000008</v>
      </c>
      <c r="H20" s="274">
        <f t="shared" si="4"/>
        <v>48.563587500000011</v>
      </c>
      <c r="I20" s="274">
        <f t="shared" si="4"/>
        <v>52.93431037500001</v>
      </c>
      <c r="J20" s="274">
        <f t="shared" si="4"/>
        <v>57.698398308750015</v>
      </c>
      <c r="K20" s="274">
        <f t="shared" si="4"/>
        <v>62.891254156537528</v>
      </c>
      <c r="L20" s="274">
        <f t="shared" si="4"/>
        <v>68.551467030625915</v>
      </c>
    </row>
    <row r="21" spans="1:12" ht="15.75" customHeight="1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</row>
    <row r="22" spans="1:12" ht="15.75" customHeight="1">
      <c r="A22" s="269" t="s">
        <v>491</v>
      </c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</row>
    <row r="23" spans="1:12" ht="15.75" customHeight="1">
      <c r="A23" s="219" t="s">
        <v>492</v>
      </c>
      <c r="B23" s="219" t="s">
        <v>480</v>
      </c>
      <c r="C23" s="219"/>
      <c r="D23" s="169">
        <f>Assumptions!$F$143</f>
        <v>18</v>
      </c>
      <c r="E23" s="99">
        <f>D23*(1+Assumptions!$F$144)</f>
        <v>18.54</v>
      </c>
      <c r="F23" s="99">
        <f>E23*(1+Assumptions!$F$144)</f>
        <v>19.0962</v>
      </c>
      <c r="G23" s="99">
        <f>F23*(1+Assumptions!$F$144)</f>
        <v>19.669086</v>
      </c>
      <c r="H23" s="99">
        <f>G23*(1+Assumptions!$F$144)</f>
        <v>20.259158580000001</v>
      </c>
      <c r="I23" s="99">
        <f>H23*(1+Assumptions!$F$144)</f>
        <v>20.866933337400003</v>
      </c>
      <c r="J23" s="99">
        <f>I23*(1+Assumptions!$F$144)</f>
        <v>21.492941337522002</v>
      </c>
      <c r="K23" s="99">
        <f>J23*(1+Assumptions!$F$144)</f>
        <v>22.137729577647661</v>
      </c>
      <c r="L23" s="99">
        <f>K23*(1+Assumptions!$F$144)</f>
        <v>22.80186146497709</v>
      </c>
    </row>
    <row r="24" spans="1:12" ht="15.75" customHeight="1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</row>
    <row r="25" spans="1:12" ht="15.75" customHeight="1">
      <c r="A25" s="269" t="s">
        <v>493</v>
      </c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</row>
    <row r="26" spans="1:12" ht="15.75" customHeight="1">
      <c r="A26" s="219" t="s">
        <v>494</v>
      </c>
      <c r="B26" s="219" t="s">
        <v>436</v>
      </c>
      <c r="C26" s="219"/>
      <c r="D26" s="256">
        <v>0</v>
      </c>
      <c r="E26" s="270">
        <f>Assumptions!$F$147</f>
        <v>0.05</v>
      </c>
      <c r="F26" s="94">
        <f>E26*(1+Assumptions!$F$149)</f>
        <v>5.7499999999999996E-2</v>
      </c>
      <c r="G26" s="94">
        <f>F26*(1+Assumptions!$F$149)</f>
        <v>6.6124999999999989E-2</v>
      </c>
      <c r="H26" s="94">
        <f>G26*(1+Assumptions!$F$149)</f>
        <v>7.6043749999999979E-2</v>
      </c>
      <c r="I26" s="94">
        <f>H26*(1+Assumptions!$F$149)</f>
        <v>8.7450312499999974E-2</v>
      </c>
      <c r="J26" s="94">
        <f>I26*(1+Assumptions!$F$149)</f>
        <v>0.10056785937499996</v>
      </c>
      <c r="K26" s="94">
        <f>J26*(1+Assumptions!$F$149)</f>
        <v>0.11565303828124994</v>
      </c>
      <c r="L26" s="94">
        <f>K26*(1+Assumptions!$F$149)</f>
        <v>0.13300099402343743</v>
      </c>
    </row>
    <row r="27" spans="1:12" ht="15.75" customHeight="1">
      <c r="A27" s="219" t="s">
        <v>495</v>
      </c>
      <c r="B27" s="219" t="s">
        <v>466</v>
      </c>
      <c r="C27" s="219"/>
      <c r="D27" s="168">
        <v>0</v>
      </c>
      <c r="E27" s="169">
        <f>Assumptions!$F$148</f>
        <v>100</v>
      </c>
      <c r="F27" s="99">
        <f>E27</f>
        <v>100</v>
      </c>
      <c r="G27" s="99">
        <f t="shared" ref="G27:L27" si="5">F27</f>
        <v>100</v>
      </c>
      <c r="H27" s="99">
        <f t="shared" si="5"/>
        <v>100</v>
      </c>
      <c r="I27" s="99">
        <f t="shared" si="5"/>
        <v>100</v>
      </c>
      <c r="J27" s="99">
        <f t="shared" si="5"/>
        <v>100</v>
      </c>
      <c r="K27" s="99">
        <f t="shared" si="5"/>
        <v>100</v>
      </c>
      <c r="L27" s="99">
        <f t="shared" si="5"/>
        <v>100</v>
      </c>
    </row>
    <row r="28" spans="1:12" ht="15.75" customHeight="1">
      <c r="A28" s="273" t="s">
        <v>496</v>
      </c>
      <c r="B28" s="219" t="s">
        <v>480</v>
      </c>
      <c r="C28" s="219"/>
      <c r="D28" s="106">
        <f>D26*D27</f>
        <v>0</v>
      </c>
      <c r="E28" s="106">
        <f>E26*E27</f>
        <v>5</v>
      </c>
      <c r="F28" s="106">
        <f>F26*F27</f>
        <v>5.75</v>
      </c>
      <c r="G28" s="106">
        <f t="shared" ref="G28:L28" si="6">G26*G27</f>
        <v>6.6124999999999989</v>
      </c>
      <c r="H28" s="106">
        <f t="shared" si="6"/>
        <v>7.6043749999999983</v>
      </c>
      <c r="I28" s="106">
        <f t="shared" si="6"/>
        <v>8.7450312499999967</v>
      </c>
      <c r="J28" s="106">
        <f t="shared" si="6"/>
        <v>10.056785937499995</v>
      </c>
      <c r="K28" s="106">
        <f t="shared" si="6"/>
        <v>11.565303828124994</v>
      </c>
      <c r="L28" s="106">
        <f t="shared" si="6"/>
        <v>13.300099402343744</v>
      </c>
    </row>
    <row r="29" spans="1:12" ht="15.75" customHeight="1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</row>
    <row r="30" spans="1:12" ht="15.75" customHeight="1">
      <c r="A30" s="262" t="s">
        <v>497</v>
      </c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</row>
    <row r="31" spans="1:12" ht="15.75" customHeight="1">
      <c r="A31" s="219" t="s">
        <v>498</v>
      </c>
      <c r="B31" s="219" t="s">
        <v>480</v>
      </c>
      <c r="C31" s="219"/>
      <c r="D31" s="99">
        <f>D13</f>
        <v>258.68</v>
      </c>
      <c r="E31" s="99">
        <f t="shared" ref="E31:L31" si="7">E13</f>
        <v>267.98540000000003</v>
      </c>
      <c r="F31" s="99">
        <f t="shared" si="7"/>
        <v>277.61631199999999</v>
      </c>
      <c r="G31" s="99">
        <f t="shared" si="7"/>
        <v>287.58389186000005</v>
      </c>
      <c r="H31" s="99">
        <f t="shared" si="7"/>
        <v>297.8996718308</v>
      </c>
      <c r="I31" s="99">
        <f t="shared" si="7"/>
        <v>308.57557309717396</v>
      </c>
      <c r="J31" s="99">
        <f t="shared" si="7"/>
        <v>319.62391873488269</v>
      </c>
      <c r="K31" s="99">
        <f t="shared" si="7"/>
        <v>331.05744709506649</v>
      </c>
      <c r="L31" s="99">
        <f t="shared" si="7"/>
        <v>342.88932562999992</v>
      </c>
    </row>
    <row r="32" spans="1:12" ht="15.75" customHeight="1">
      <c r="A32" s="219" t="s">
        <v>499</v>
      </c>
      <c r="B32" s="219" t="s">
        <v>480</v>
      </c>
      <c r="C32" s="219"/>
      <c r="D32" s="99">
        <f>D20</f>
        <v>1.40625</v>
      </c>
      <c r="E32" s="99">
        <f t="shared" ref="E32:L32" si="8">E20</f>
        <v>37.5</v>
      </c>
      <c r="F32" s="99">
        <f t="shared" si="8"/>
        <v>40.875000000000007</v>
      </c>
      <c r="G32" s="99">
        <f t="shared" si="8"/>
        <v>44.553750000000008</v>
      </c>
      <c r="H32" s="99">
        <f t="shared" si="8"/>
        <v>48.563587500000011</v>
      </c>
      <c r="I32" s="99">
        <f t="shared" si="8"/>
        <v>52.93431037500001</v>
      </c>
      <c r="J32" s="99">
        <f t="shared" si="8"/>
        <v>57.698398308750015</v>
      </c>
      <c r="K32" s="99">
        <f t="shared" si="8"/>
        <v>62.891254156537528</v>
      </c>
      <c r="L32" s="99">
        <f t="shared" si="8"/>
        <v>68.551467030625915</v>
      </c>
    </row>
    <row r="33" spans="1:12" ht="15.75" customHeight="1">
      <c r="A33" s="219" t="s">
        <v>500</v>
      </c>
      <c r="B33" s="219" t="s">
        <v>480</v>
      </c>
      <c r="C33" s="219"/>
      <c r="D33" s="99">
        <f>D23</f>
        <v>18</v>
      </c>
      <c r="E33" s="99">
        <f t="shared" ref="E33:L33" si="9">E23</f>
        <v>18.54</v>
      </c>
      <c r="F33" s="99">
        <f t="shared" si="9"/>
        <v>19.0962</v>
      </c>
      <c r="G33" s="99">
        <f t="shared" si="9"/>
        <v>19.669086</v>
      </c>
      <c r="H33" s="99">
        <f t="shared" si="9"/>
        <v>20.259158580000001</v>
      </c>
      <c r="I33" s="99">
        <f t="shared" si="9"/>
        <v>20.866933337400003</v>
      </c>
      <c r="J33" s="99">
        <f t="shared" si="9"/>
        <v>21.492941337522002</v>
      </c>
      <c r="K33" s="99">
        <f t="shared" si="9"/>
        <v>22.137729577647661</v>
      </c>
      <c r="L33" s="99">
        <f t="shared" si="9"/>
        <v>22.80186146497709</v>
      </c>
    </row>
    <row r="34" spans="1:12" ht="15.75" customHeight="1">
      <c r="A34" s="219" t="s">
        <v>501</v>
      </c>
      <c r="B34" s="219" t="s">
        <v>480</v>
      </c>
      <c r="C34" s="219"/>
      <c r="D34" s="99">
        <f>D28</f>
        <v>0</v>
      </c>
      <c r="E34" s="99">
        <f t="shared" ref="E34:L34" si="10">E28</f>
        <v>5</v>
      </c>
      <c r="F34" s="99">
        <f t="shared" si="10"/>
        <v>5.75</v>
      </c>
      <c r="G34" s="99">
        <f t="shared" si="10"/>
        <v>6.6124999999999989</v>
      </c>
      <c r="H34" s="99">
        <f t="shared" si="10"/>
        <v>7.6043749999999983</v>
      </c>
      <c r="I34" s="99">
        <f t="shared" si="10"/>
        <v>8.7450312499999967</v>
      </c>
      <c r="J34" s="99">
        <f t="shared" si="10"/>
        <v>10.056785937499995</v>
      </c>
      <c r="K34" s="99">
        <f t="shared" si="10"/>
        <v>11.565303828124994</v>
      </c>
      <c r="L34" s="99">
        <f t="shared" si="10"/>
        <v>13.300099402343744</v>
      </c>
    </row>
    <row r="35" spans="1:12" ht="15.75" customHeight="1">
      <c r="A35" s="273" t="s">
        <v>502</v>
      </c>
      <c r="B35" s="219" t="s">
        <v>480</v>
      </c>
      <c r="C35" s="219"/>
      <c r="D35" s="275">
        <f>SUM(D31:D34)</f>
        <v>278.08625000000001</v>
      </c>
      <c r="E35" s="275">
        <f t="shared" ref="E35:L35" si="11">SUM(E31:E34)</f>
        <v>329.02540000000005</v>
      </c>
      <c r="F35" s="275">
        <f t="shared" si="11"/>
        <v>343.337512</v>
      </c>
      <c r="G35" s="275">
        <f t="shared" si="11"/>
        <v>358.41922786000003</v>
      </c>
      <c r="H35" s="275">
        <f t="shared" si="11"/>
        <v>374.32679291080007</v>
      </c>
      <c r="I35" s="275">
        <f t="shared" si="11"/>
        <v>391.12184805957395</v>
      </c>
      <c r="J35" s="275">
        <f t="shared" si="11"/>
        <v>408.87204431865473</v>
      </c>
      <c r="K35" s="275">
        <f t="shared" si="11"/>
        <v>427.65173465737661</v>
      </c>
      <c r="L35" s="275">
        <f t="shared" si="11"/>
        <v>447.54275352794667</v>
      </c>
    </row>
    <row r="36" spans="1:12" ht="15.75" customHeight="1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</row>
    <row r="37" spans="1:12" ht="15.75" customHeight="1">
      <c r="A37" s="276" t="s">
        <v>503</v>
      </c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</row>
    <row r="38" spans="1:12" ht="15.75" customHeight="1">
      <c r="A38" s="219" t="s">
        <v>504</v>
      </c>
      <c r="B38" s="219" t="s">
        <v>480</v>
      </c>
      <c r="C38" s="219"/>
      <c r="D38" s="169">
        <f>Assumptions!$F$11</f>
        <v>338</v>
      </c>
      <c r="E38" s="219"/>
      <c r="F38" s="219"/>
      <c r="G38" s="219"/>
      <c r="H38" s="219"/>
      <c r="I38" s="219"/>
      <c r="J38" s="219"/>
      <c r="K38" s="219"/>
      <c r="L38" s="219"/>
    </row>
    <row r="39" spans="1:12" ht="15.75" customHeight="1">
      <c r="A39" s="219" t="s">
        <v>505</v>
      </c>
      <c r="B39" s="219" t="s">
        <v>480</v>
      </c>
      <c r="C39" s="219"/>
      <c r="D39" s="99">
        <f>D35</f>
        <v>278.08625000000001</v>
      </c>
      <c r="E39" s="219"/>
      <c r="F39" s="219"/>
      <c r="G39" s="219"/>
      <c r="H39" s="219"/>
      <c r="I39" s="219"/>
      <c r="J39" s="219"/>
      <c r="K39" s="219"/>
      <c r="L39" s="219"/>
    </row>
    <row r="40" spans="1:12" ht="15.75" customHeight="1">
      <c r="A40" s="219" t="s">
        <v>506</v>
      </c>
      <c r="B40" s="219" t="s">
        <v>436</v>
      </c>
      <c r="C40" s="219"/>
      <c r="D40" s="94">
        <f>(D39-D38)/D38</f>
        <v>-0.17725961538461538</v>
      </c>
      <c r="E40" s="219"/>
      <c r="F40" s="219"/>
      <c r="G40" s="219"/>
      <c r="H40" s="219"/>
      <c r="I40" s="219"/>
      <c r="J40" s="219"/>
      <c r="K40" s="219"/>
      <c r="L40" s="219"/>
    </row>
    <row r="41" spans="1:12" ht="15.75" customHeight="1">
      <c r="A41" s="219" t="s">
        <v>507</v>
      </c>
      <c r="B41" s="219"/>
      <c r="C41" s="219"/>
      <c r="D41" s="273" t="str">
        <f>IF(ABS(D40)&lt;=0.05,"✓ within ±5%","⚠ outside ±5% — reconcile R4 vs. component build")</f>
        <v>⚠ outside ±5% — reconcile R4 vs. component build</v>
      </c>
      <c r="E41" s="219"/>
      <c r="F41" s="219"/>
      <c r="G41" s="219"/>
      <c r="H41" s="219"/>
      <c r="I41" s="219"/>
      <c r="J41" s="219"/>
      <c r="K41" s="219"/>
      <c r="L41" s="219"/>
    </row>
    <row r="42" spans="1:12" ht="15.75" customHeight="1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</row>
    <row r="43" spans="1:12" ht="15.75" customHeight="1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</row>
    <row r="44" spans="1:12" ht="15.75" customHeight="1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</row>
    <row r="45" spans="1:12" ht="15.75" customHeight="1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</row>
    <row r="46" spans="1:12" ht="15.75" customHeight="1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</row>
    <row r="47" spans="1:12" ht="15.75" customHeight="1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</row>
    <row r="48" spans="1:12" ht="15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</row>
    <row r="49" spans="1:12" ht="15.75" customHeight="1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</row>
    <row r="50" spans="1:12" ht="15.75" customHeight="1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</row>
    <row r="51" spans="1:12" ht="15.75" customHeight="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</row>
  </sheetData>
  <mergeCells count="2">
    <mergeCell ref="A1:L1"/>
    <mergeCell ref="A2:K2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L51"/>
  <sheetViews>
    <sheetView showGridLines="0" topLeftCell="B6" workbookViewId="0">
      <selection activeCell="E31" sqref="E31"/>
    </sheetView>
  </sheetViews>
  <sheetFormatPr defaultColWidth="8.85546875" defaultRowHeight="15"/>
  <cols>
    <col min="1" max="1" width="38" customWidth="1"/>
    <col min="2" max="2" width="8" customWidth="1"/>
    <col min="3" max="12" width="11" customWidth="1"/>
  </cols>
  <sheetData>
    <row r="1" spans="1:12" ht="15.75" customHeight="1">
      <c r="A1" s="277" t="s">
        <v>508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1:12" ht="15.75" customHeight="1">
      <c r="A2" s="278" t="s">
        <v>509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</row>
    <row r="3" spans="1:12" ht="15.7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</row>
    <row r="4" spans="1:12" s="213" customFormat="1" ht="15.75" customHeight="1"/>
    <row r="5" spans="1:12" ht="15.75" customHeight="1">
      <c r="A5" s="279"/>
      <c r="B5" s="258" t="s">
        <v>423</v>
      </c>
      <c r="C5" s="160" t="s">
        <v>510</v>
      </c>
      <c r="D5" s="160" t="s">
        <v>511</v>
      </c>
      <c r="E5" s="160" t="s">
        <v>512</v>
      </c>
      <c r="F5" s="160" t="s">
        <v>513</v>
      </c>
      <c r="G5" s="160" t="s">
        <v>514</v>
      </c>
      <c r="H5" s="160" t="s">
        <v>515</v>
      </c>
      <c r="I5" s="160" t="s">
        <v>516</v>
      </c>
      <c r="J5" s="160" t="s">
        <v>517</v>
      </c>
      <c r="K5" s="160" t="s">
        <v>518</v>
      </c>
      <c r="L5" s="160" t="s">
        <v>519</v>
      </c>
    </row>
    <row r="6" spans="1:12" ht="15.75" customHeight="1">
      <c r="A6" s="278"/>
      <c r="B6" s="219"/>
      <c r="C6" s="259" t="s">
        <v>424</v>
      </c>
      <c r="D6" s="259" t="s">
        <v>424</v>
      </c>
      <c r="E6" s="260" t="s">
        <v>425</v>
      </c>
      <c r="F6" s="260" t="s">
        <v>425</v>
      </c>
      <c r="G6" s="260" t="s">
        <v>426</v>
      </c>
      <c r="H6" s="260" t="s">
        <v>426</v>
      </c>
      <c r="I6" s="260" t="s">
        <v>426</v>
      </c>
      <c r="J6" s="260" t="s">
        <v>427</v>
      </c>
      <c r="K6" s="260" t="s">
        <v>427</v>
      </c>
      <c r="L6" s="260" t="s">
        <v>427</v>
      </c>
    </row>
    <row r="7" spans="1:12" ht="15.75" customHeight="1">
      <c r="A7" s="219"/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</row>
    <row r="8" spans="1:12" ht="15.75" customHeight="1">
      <c r="A8" s="341" t="s">
        <v>520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</row>
    <row r="9" spans="1:12" ht="15.75" customHeight="1">
      <c r="A9" s="223" t="s">
        <v>521</v>
      </c>
      <c r="B9" s="260" t="s">
        <v>430</v>
      </c>
      <c r="C9" s="60">
        <f>Members!C9</f>
        <v>0.7</v>
      </c>
      <c r="D9" s="60">
        <f>Members!D9</f>
        <v>1.3</v>
      </c>
      <c r="E9" s="60">
        <f>Members!E9</f>
        <v>2.5</v>
      </c>
      <c r="F9" s="60">
        <f>Members!F9</f>
        <v>2.9099858125000004</v>
      </c>
      <c r="G9" s="60">
        <f>Members!G9</f>
        <v>3.741330240661207</v>
      </c>
      <c r="H9" s="60">
        <f>Members!H9</f>
        <v>4.4065900879970314</v>
      </c>
      <c r="I9" s="60">
        <f>Members!I9</f>
        <v>5.2227229591928275</v>
      </c>
      <c r="J9" s="60">
        <f>Members!J9</f>
        <v>6.1448459361005554</v>
      </c>
      <c r="K9" s="60">
        <f>Members!K9</f>
        <v>6.8029327675365145</v>
      </c>
      <c r="L9" s="60">
        <f>Members!L9</f>
        <v>7.5677285736537101</v>
      </c>
    </row>
    <row r="10" spans="1:12" ht="15.75" customHeight="1">
      <c r="A10" s="223" t="s">
        <v>449</v>
      </c>
      <c r="B10" s="260" t="s">
        <v>430</v>
      </c>
      <c r="C10" s="60">
        <f>Members!C31</f>
        <v>0.6</v>
      </c>
      <c r="D10" s="60">
        <f>Members!D31</f>
        <v>1.304</v>
      </c>
      <c r="E10" s="60">
        <f>Members!E31</f>
        <v>0.7925458125</v>
      </c>
      <c r="F10" s="60">
        <f>Members!F31</f>
        <v>1.2361269069112069</v>
      </c>
      <c r="G10" s="60">
        <f>Members!G31</f>
        <v>1.1747151775812903</v>
      </c>
      <c r="H10" s="60">
        <f>Members!H31</f>
        <v>1.3909709423403838</v>
      </c>
      <c r="I10" s="60">
        <f>Members!I31</f>
        <v>1.5896534158816118</v>
      </c>
      <c r="J10" s="60">
        <f>Members!J31</f>
        <v>1.4373234246489599</v>
      </c>
      <c r="K10" s="60">
        <f>Members!K31</f>
        <v>1.5846514868342312</v>
      </c>
      <c r="L10" s="60">
        <f>Members!L31</f>
        <v>1.7033124237278807</v>
      </c>
    </row>
    <row r="11" spans="1:12" ht="15.75" customHeight="1">
      <c r="A11" s="223" t="s">
        <v>522</v>
      </c>
      <c r="B11" s="260" t="s">
        <v>430</v>
      </c>
      <c r="C11" s="60">
        <f>Members!C23</f>
        <v>0.13500000000000001</v>
      </c>
      <c r="D11" s="60">
        <f>Members!D23</f>
        <v>0.10400000000000001</v>
      </c>
      <c r="E11" s="60">
        <f>Members!E23</f>
        <v>0.38256000000000001</v>
      </c>
      <c r="F11" s="60">
        <f>Members!F23</f>
        <v>0.40478247875000001</v>
      </c>
      <c r="G11" s="60">
        <f>Members!G23</f>
        <v>0.50945533024546552</v>
      </c>
      <c r="H11" s="60">
        <f>Members!H23</f>
        <v>0.57483807114458763</v>
      </c>
      <c r="I11" s="60">
        <f>Members!I23</f>
        <v>0.66753043897388431</v>
      </c>
      <c r="J11" s="60">
        <f>Members!J23</f>
        <v>0.77923659321300009</v>
      </c>
      <c r="K11" s="60">
        <f>Members!K23</f>
        <v>0.81985568071703507</v>
      </c>
      <c r="L11" s="60">
        <f>Members!L23</f>
        <v>0.89453623032266072</v>
      </c>
    </row>
    <row r="12" spans="1:12" ht="15.75" customHeight="1">
      <c r="A12" s="223" t="s">
        <v>451</v>
      </c>
      <c r="B12" s="260" t="s">
        <v>430</v>
      </c>
      <c r="C12" s="60">
        <f>Members!C34</f>
        <v>1.165</v>
      </c>
      <c r="D12" s="60">
        <f>Members!D34</f>
        <v>2.5</v>
      </c>
      <c r="E12" s="60">
        <f>Members!E34</f>
        <v>2.9099858125000004</v>
      </c>
      <c r="F12" s="60">
        <f>Members!F34</f>
        <v>3.741330240661207</v>
      </c>
      <c r="G12" s="60">
        <f>Members!G34</f>
        <v>4.4065900879970314</v>
      </c>
      <c r="H12" s="60">
        <f>Members!H34</f>
        <v>5.2227229591928275</v>
      </c>
      <c r="I12" s="60">
        <f>Members!I34</f>
        <v>6.1448459361005554</v>
      </c>
      <c r="J12" s="60">
        <f>Members!J34</f>
        <v>6.8029327675365145</v>
      </c>
      <c r="K12" s="60">
        <f>Members!K34</f>
        <v>7.5677285736537101</v>
      </c>
      <c r="L12" s="60">
        <f>Members!L34</f>
        <v>8.3765047670589325</v>
      </c>
    </row>
    <row r="13" spans="1:12" ht="15.75" customHeight="1">
      <c r="A13" s="223" t="s">
        <v>523</v>
      </c>
      <c r="B13" s="260" t="s">
        <v>430</v>
      </c>
      <c r="C13" s="60">
        <f>Members!C35</f>
        <v>0.9325</v>
      </c>
      <c r="D13" s="60">
        <f>Members!D35</f>
        <v>1.9</v>
      </c>
      <c r="E13" s="60">
        <f>Members!E35</f>
        <v>2.7049929062500002</v>
      </c>
      <c r="F13" s="60">
        <f>Members!F35</f>
        <v>3.3256580265806037</v>
      </c>
      <c r="G13" s="60">
        <f>Members!G35</f>
        <v>4.0739601643291188</v>
      </c>
      <c r="H13" s="60">
        <f>Members!H35</f>
        <v>4.8146565235949295</v>
      </c>
      <c r="I13" s="60">
        <f>Members!I35</f>
        <v>5.6837844476466914</v>
      </c>
      <c r="J13" s="60">
        <f>Members!J35</f>
        <v>6.473889351818535</v>
      </c>
      <c r="K13" s="60">
        <f>Members!K35</f>
        <v>7.1853306705951123</v>
      </c>
      <c r="L13" s="60">
        <f>Members!L35</f>
        <v>7.9721166703563213</v>
      </c>
    </row>
    <row r="14" spans="1:12" ht="15.75" customHeight="1">
      <c r="A14" s="223" t="s">
        <v>524</v>
      </c>
      <c r="B14" s="260" t="s">
        <v>436</v>
      </c>
      <c r="C14" s="333">
        <f>IFERROR(Members!C23/Members!C9, 0)</f>
        <v>0.19285714285714289</v>
      </c>
      <c r="D14" s="333">
        <f>IFERROR(Members!D23/Members!D9, 0)</f>
        <v>0.08</v>
      </c>
      <c r="E14" s="333">
        <f>IFERROR(Members!E23/Members!E9, 0)</f>
        <v>0.15302399999999999</v>
      </c>
      <c r="F14" s="333">
        <f>IFERROR(Members!F23/Members!F9, 0)</f>
        <v>0.1391011863395468</v>
      </c>
      <c r="G14" s="333">
        <f>IFERROR(Members!G23/Members!G9, 0)</f>
        <v>0.13616957003919258</v>
      </c>
      <c r="H14" s="333">
        <f>IFERROR(Members!H23/Members!H9, 0)</f>
        <v>0.13044963558338918</v>
      </c>
      <c r="I14" s="333">
        <f>IFERROR(Members!I23/Members!I9, 0)</f>
        <v>0.1278127222503587</v>
      </c>
      <c r="J14" s="333">
        <f>IFERROR(Members!J23/Members!J9, 0)</f>
        <v>0.1268114125750554</v>
      </c>
      <c r="K14" s="333">
        <f>IFERROR(Members!K23/Members!K9, 0)</f>
        <v>0.12051503501980398</v>
      </c>
      <c r="L14" s="333">
        <f>IFERROR(Members!L23/Members!L9, 0)</f>
        <v>0.11820405840623026</v>
      </c>
    </row>
    <row r="15" spans="1:12" ht="15.75" customHeight="1">
      <c r="A15" s="222"/>
      <c r="B15" s="280"/>
      <c r="C15" s="222"/>
      <c r="D15" s="222"/>
      <c r="E15" s="222"/>
      <c r="F15" s="222"/>
      <c r="G15" s="222"/>
      <c r="H15" s="222"/>
      <c r="I15" s="222"/>
      <c r="J15" s="222"/>
      <c r="K15" s="222"/>
      <c r="L15" s="222"/>
    </row>
    <row r="16" spans="1:12" ht="15.75" customHeight="1">
      <c r="A16" s="341" t="s">
        <v>525</v>
      </c>
      <c r="B16" s="350"/>
      <c r="C16" s="350"/>
      <c r="D16" s="350"/>
      <c r="E16" s="350"/>
      <c r="F16" s="350"/>
      <c r="G16" s="350"/>
      <c r="H16" s="350"/>
      <c r="I16" s="350"/>
      <c r="J16" s="350"/>
      <c r="K16" s="350"/>
      <c r="L16" s="350"/>
    </row>
    <row r="17" spans="1:12" ht="15.75" customHeight="1">
      <c r="A17" s="223" t="s">
        <v>526</v>
      </c>
      <c r="B17" s="260" t="s">
        <v>480</v>
      </c>
      <c r="C17" s="281">
        <f>ARPU!C35</f>
        <v>0</v>
      </c>
      <c r="D17" s="281">
        <f>ARPU!D35</f>
        <v>278.08625000000001</v>
      </c>
      <c r="E17" s="281">
        <f>ARPU!E35</f>
        <v>329.02540000000005</v>
      </c>
      <c r="F17" s="281">
        <f>ARPU!F35</f>
        <v>343.337512</v>
      </c>
      <c r="G17" s="281">
        <f>ARPU!G35</f>
        <v>358.41922786000003</v>
      </c>
      <c r="H17" s="281">
        <f>ARPU!H35</f>
        <v>374.32679291080007</v>
      </c>
      <c r="I17" s="281">
        <f>ARPU!I35</f>
        <v>391.12184805957395</v>
      </c>
      <c r="J17" s="281">
        <f>ARPU!J35</f>
        <v>408.87204431865473</v>
      </c>
      <c r="K17" s="281">
        <f>ARPU!K35</f>
        <v>427.65173465737661</v>
      </c>
      <c r="L17" s="281">
        <f>ARPU!L35</f>
        <v>447.54275352794667</v>
      </c>
    </row>
    <row r="18" spans="1:12" ht="15.75" customHeight="1">
      <c r="A18" s="222"/>
      <c r="B18" s="280"/>
      <c r="C18" s="20"/>
      <c r="D18" s="21"/>
      <c r="E18" s="20"/>
      <c r="F18" s="20"/>
      <c r="G18" s="20"/>
      <c r="H18" s="20"/>
      <c r="I18" s="20"/>
      <c r="J18" s="20"/>
      <c r="K18" s="20"/>
      <c r="L18" s="20"/>
    </row>
    <row r="19" spans="1:12" ht="15.75" customHeight="1">
      <c r="A19" s="341" t="s">
        <v>527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</row>
    <row r="20" spans="1:12" ht="15.75" customHeight="1">
      <c r="A20" s="223" t="s">
        <v>528</v>
      </c>
      <c r="B20" s="260" t="s">
        <v>464</v>
      </c>
      <c r="C20" s="227">
        <f t="shared" ref="C20:L20" si="0">C13*C17</f>
        <v>0</v>
      </c>
      <c r="D20" s="227">
        <f t="shared" si="0"/>
        <v>528.36387500000001</v>
      </c>
      <c r="E20" s="227">
        <f t="shared" si="0"/>
        <v>890.01137297606897</v>
      </c>
      <c r="F20" s="227">
        <f t="shared" si="0"/>
        <v>1141.8231526090144</v>
      </c>
      <c r="G20" s="227">
        <f t="shared" si="0"/>
        <v>1460.1856564312416</v>
      </c>
      <c r="H20" s="227">
        <f t="shared" si="0"/>
        <v>1802.2549354443518</v>
      </c>
      <c r="I20" s="227">
        <f t="shared" si="0"/>
        <v>2223.0522771358387</v>
      </c>
      <c r="J20" s="227">
        <f t="shared" si="0"/>
        <v>2646.9923739708152</v>
      </c>
      <c r="K20" s="227">
        <f t="shared" si="0"/>
        <v>3072.819125366851</v>
      </c>
      <c r="L20" s="227">
        <f t="shared" si="0"/>
        <v>3567.8630460973141</v>
      </c>
    </row>
    <row r="21" spans="1:12" ht="15.75" customHeight="1">
      <c r="A21" s="223" t="s">
        <v>529</v>
      </c>
      <c r="B21" s="260" t="s">
        <v>464</v>
      </c>
      <c r="C21" s="234">
        <f>C20*Assumptions!$F$28</f>
        <v>0</v>
      </c>
      <c r="D21" s="234">
        <f>D20*Assumptions!$F$28</f>
        <v>-42.269110000000005</v>
      </c>
      <c r="E21" s="234">
        <f>E20*Assumptions!$F$28</f>
        <v>-71.200909838085522</v>
      </c>
      <c r="F21" s="234">
        <f>F20*Assumptions!$F$28</f>
        <v>-91.345852208721155</v>
      </c>
      <c r="G21" s="234">
        <f>G20*Assumptions!$F$28</f>
        <v>-116.81485251449932</v>
      </c>
      <c r="H21" s="234">
        <f>H20*Assumptions!$F$28</f>
        <v>-144.18039483554816</v>
      </c>
      <c r="I21" s="234">
        <f>I20*Assumptions!$F$28</f>
        <v>-177.8441821708671</v>
      </c>
      <c r="J21" s="234">
        <f>J20*Assumptions!$F$28</f>
        <v>-211.7593899176652</v>
      </c>
      <c r="K21" s="234">
        <f>K20*Assumptions!$F$28</f>
        <v>-245.8255300293481</v>
      </c>
      <c r="L21" s="234">
        <f>L20*Assumptions!$F$28</f>
        <v>-285.42904368778511</v>
      </c>
    </row>
    <row r="22" spans="1:12" ht="15.75" customHeight="1">
      <c r="A22" s="223" t="s">
        <v>530</v>
      </c>
      <c r="B22" s="260" t="s">
        <v>436</v>
      </c>
      <c r="C22" s="40"/>
      <c r="D22" s="43" t="e">
        <f t="shared" ref="D22:L22" si="1">D20/C20-1</f>
        <v>#DIV/0!</v>
      </c>
      <c r="E22" s="334">
        <f t="shared" si="1"/>
        <v>0.6844667379579441</v>
      </c>
      <c r="F22" s="334">
        <f t="shared" si="1"/>
        <v>0.28293096838855369</v>
      </c>
      <c r="G22" s="334">
        <f t="shared" si="1"/>
        <v>0.27881945036302969</v>
      </c>
      <c r="H22" s="334">
        <f t="shared" si="1"/>
        <v>0.23426423722661593</v>
      </c>
      <c r="I22" s="334">
        <f t="shared" si="1"/>
        <v>0.23348380598982121</v>
      </c>
      <c r="J22" s="334">
        <f t="shared" si="1"/>
        <v>0.19070181173659906</v>
      </c>
      <c r="K22" s="334">
        <f t="shared" si="1"/>
        <v>0.16087192225538716</v>
      </c>
      <c r="L22" s="334">
        <f t="shared" si="1"/>
        <v>0.16110415241943721</v>
      </c>
    </row>
    <row r="23" spans="1:12" ht="15.75" customHeight="1">
      <c r="A23" s="223"/>
      <c r="B23" s="260"/>
      <c r="C23" s="22"/>
      <c r="D23" s="41"/>
      <c r="E23" s="41"/>
      <c r="F23" s="41"/>
      <c r="G23" s="41"/>
      <c r="H23" s="41"/>
      <c r="I23" s="41"/>
      <c r="J23" s="41"/>
      <c r="K23" s="41"/>
      <c r="L23" s="41"/>
    </row>
    <row r="24" spans="1:12" ht="15.75" customHeight="1">
      <c r="A24" s="341" t="s">
        <v>531</v>
      </c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</row>
    <row r="25" spans="1:12" ht="15.75" customHeight="1">
      <c r="A25" s="223" t="s">
        <v>532</v>
      </c>
      <c r="B25" s="260" t="s">
        <v>464</v>
      </c>
      <c r="C25" s="226">
        <f t="shared" ref="C25:L25" si="2">C12*C17</f>
        <v>0</v>
      </c>
      <c r="D25" s="226">
        <f t="shared" si="2"/>
        <v>695.21562500000005</v>
      </c>
      <c r="E25" s="226">
        <f t="shared" si="2"/>
        <v>957.45924595213774</v>
      </c>
      <c r="F25" s="226">
        <f t="shared" si="2"/>
        <v>1284.53901639898</v>
      </c>
      <c r="G25" s="226">
        <f t="shared" si="2"/>
        <v>1579.4066168354257</v>
      </c>
      <c r="H25" s="226">
        <f t="shared" si="2"/>
        <v>1955.0051355762544</v>
      </c>
      <c r="I25" s="226">
        <f t="shared" si="2"/>
        <v>2403.3834985690119</v>
      </c>
      <c r="J25" s="226">
        <f t="shared" si="2"/>
        <v>2781.5290280250183</v>
      </c>
      <c r="K25" s="226">
        <f t="shared" si="2"/>
        <v>3236.3522519392036</v>
      </c>
      <c r="L25" s="226">
        <f t="shared" si="2"/>
        <v>3748.8440083895262</v>
      </c>
    </row>
    <row r="26" spans="1:12" ht="15.75" customHeight="1">
      <c r="A26" s="223" t="s">
        <v>533</v>
      </c>
      <c r="B26" s="260" t="s">
        <v>534</v>
      </c>
      <c r="C26" s="335">
        <f t="shared" ref="C26:L26" si="3">IFERROR(C25/C20, 0)</f>
        <v>0</v>
      </c>
      <c r="D26" s="335">
        <f t="shared" si="3"/>
        <v>1.3157894736842106</v>
      </c>
      <c r="E26" s="335">
        <f t="shared" si="3"/>
        <v>1.0757831585348543</v>
      </c>
      <c r="F26" s="335">
        <f t="shared" si="3"/>
        <v>1.1249894639672233</v>
      </c>
      <c r="G26" s="335">
        <f t="shared" si="3"/>
        <v>1.0816478095638642</v>
      </c>
      <c r="H26" s="335">
        <f t="shared" si="3"/>
        <v>1.0847550460968729</v>
      </c>
      <c r="I26" s="335">
        <f t="shared" si="3"/>
        <v>1.0811187497873467</v>
      </c>
      <c r="J26" s="335">
        <f t="shared" si="3"/>
        <v>1.0508262340976757</v>
      </c>
      <c r="K26" s="335">
        <f t="shared" si="3"/>
        <v>1.0532192491326118</v>
      </c>
      <c r="L26" s="335">
        <f t="shared" si="3"/>
        <v>1.0507253109084937</v>
      </c>
    </row>
    <row r="27" spans="1:12" ht="15.75" customHeight="1">
      <c r="A27" s="223" t="s">
        <v>535</v>
      </c>
      <c r="B27" s="260" t="s">
        <v>436</v>
      </c>
      <c r="C27" s="65"/>
      <c r="D27" s="334">
        <f>D20/Assumptions!$F$12-1</f>
        <v>-0.17725961538461532</v>
      </c>
      <c r="E27" s="65"/>
      <c r="F27" s="65"/>
      <c r="G27" s="65"/>
      <c r="H27" s="65"/>
      <c r="I27" s="65"/>
      <c r="J27" s="65"/>
      <c r="K27" s="65"/>
      <c r="L27" s="65"/>
    </row>
    <row r="28" spans="1:12" ht="15.75" customHeight="1">
      <c r="A28" s="223"/>
      <c r="B28" s="260"/>
      <c r="C28" s="222"/>
      <c r="D28" s="41"/>
      <c r="E28" s="222"/>
      <c r="F28" s="222"/>
      <c r="G28" s="222"/>
      <c r="H28" s="222"/>
      <c r="I28" s="222"/>
      <c r="J28" s="222"/>
      <c r="K28" s="222"/>
      <c r="L28" s="222"/>
    </row>
    <row r="29" spans="1:12" ht="15.75" customHeight="1">
      <c r="A29" s="282" t="s">
        <v>536</v>
      </c>
      <c r="B29" s="280"/>
      <c r="C29" s="22"/>
      <c r="D29" s="15"/>
      <c r="E29" s="22"/>
      <c r="F29" s="22"/>
      <c r="G29" s="22"/>
      <c r="H29" s="22"/>
      <c r="I29" s="22"/>
      <c r="J29" s="22"/>
      <c r="K29" s="22"/>
      <c r="L29" s="22"/>
    </row>
    <row r="30" spans="1:12" ht="15.75" customHeight="1">
      <c r="A30" s="283" t="s">
        <v>537</v>
      </c>
      <c r="B30" s="280" t="s">
        <v>464</v>
      </c>
      <c r="C30" s="191">
        <f>C13*ARPU!C31</f>
        <v>0</v>
      </c>
      <c r="D30" s="191">
        <f>D13*ARPU!D31</f>
        <v>491.49199999999996</v>
      </c>
      <c r="E30" s="191">
        <f>E13*ARPU!E31</f>
        <v>724.89860597856887</v>
      </c>
      <c r="F30" s="191">
        <f>F13*ARPU!F31</f>
        <v>923.25691631250515</v>
      </c>
      <c r="G30" s="191">
        <f>G13*ARPU!G31</f>
        <v>1171.6053193403734</v>
      </c>
      <c r="H30" s="191">
        <f>H13*ARPU!H31</f>
        <v>1434.2845983569498</v>
      </c>
      <c r="I30" s="191">
        <f>I13*ARPU!I31</f>
        <v>1753.8770432933823</v>
      </c>
      <c r="J30" s="191">
        <f>J13*ARPU!J31</f>
        <v>2069.20988408427</v>
      </c>
      <c r="K30" s="191">
        <f>K13*ARPU!K31</f>
        <v>2378.7572283411</v>
      </c>
      <c r="L30" s="191">
        <f>L13*ARPU!L31</f>
        <v>2733.5537089421596</v>
      </c>
    </row>
    <row r="31" spans="1:12" ht="15.75" customHeight="1">
      <c r="A31" s="284" t="s">
        <v>538</v>
      </c>
      <c r="B31" s="219" t="s">
        <v>464</v>
      </c>
      <c r="C31" s="219">
        <f>C13*ARPU!C32</f>
        <v>0</v>
      </c>
      <c r="D31" s="219">
        <f>D13*ARPU!D32</f>
        <v>2.671875</v>
      </c>
      <c r="E31" s="219">
        <f>E13*ARPU!E32</f>
        <v>101.43723398437501</v>
      </c>
      <c r="F31" s="219">
        <f>F13*ARPU!F32</f>
        <v>135.93627183648221</v>
      </c>
      <c r="G31" s="219">
        <f>G13*ARPU!G32</f>
        <v>181.51020267147851</v>
      </c>
      <c r="H31" s="219">
        <f>H13*ARPU!H32</f>
        <v>233.81699336604822</v>
      </c>
      <c r="I31" s="219">
        <f>I13*ARPU!I32</f>
        <v>300.86721005632796</v>
      </c>
      <c r="J31" s="219">
        <f>J13*ARPU!J32</f>
        <v>373.53304642800128</v>
      </c>
      <c r="K31" s="219">
        <f>K13*ARPU!K32</f>
        <v>451.89445740316143</v>
      </c>
      <c r="L31" s="219">
        <f>L13*ARPU!L32</f>
        <v>546.50029309223464</v>
      </c>
    </row>
    <row r="32" spans="1:12" ht="15.75" customHeight="1">
      <c r="A32" s="284" t="s">
        <v>539</v>
      </c>
      <c r="B32" s="219" t="s">
        <v>464</v>
      </c>
      <c r="C32" s="219">
        <f>C13*ARPU!C33</f>
        <v>0</v>
      </c>
      <c r="D32" s="219">
        <f>D13*ARPU!D33</f>
        <v>34.199999999999996</v>
      </c>
      <c r="E32" s="219">
        <f>E13*ARPU!E33</f>
        <v>50.150568481874998</v>
      </c>
      <c r="F32" s="219">
        <f>F13*ARPU!F33</f>
        <v>63.507430807188527</v>
      </c>
      <c r="G32" s="219">
        <f>G13*ARPU!G33</f>
        <v>80.131072832763564</v>
      </c>
      <c r="H32" s="219">
        <f>H13*ARPU!H33</f>
        <v>97.540890019741198</v>
      </c>
      <c r="I32" s="219">
        <f>I13*ARPU!I33</f>
        <v>118.60315117319441</v>
      </c>
      <c r="J32" s="219">
        <f>J13*ARPU!J33</f>
        <v>139.14292406424411</v>
      </c>
      <c r="K32" s="219">
        <f>K13*ARPU!K33</f>
        <v>159.06690731161231</v>
      </c>
      <c r="L32" s="219">
        <f>L13*ARPU!L33</f>
        <v>181.77909990009928</v>
      </c>
    </row>
    <row r="33" spans="1:12" ht="15.75" customHeight="1">
      <c r="A33" s="284" t="s">
        <v>540</v>
      </c>
      <c r="B33" s="219" t="s">
        <v>464</v>
      </c>
      <c r="C33" s="219">
        <f>C13*ARPU!C34</f>
        <v>0</v>
      </c>
      <c r="D33" s="219">
        <f>D13*ARPU!D34</f>
        <v>0</v>
      </c>
      <c r="E33" s="219">
        <f>E13*ARPU!E34</f>
        <v>13.524964531250001</v>
      </c>
      <c r="F33" s="219">
        <f>F13*ARPU!F34</f>
        <v>19.12253365283847</v>
      </c>
      <c r="G33" s="219">
        <f>G13*ARPU!G34</f>
        <v>26.939061586626295</v>
      </c>
      <c r="H33" s="219">
        <f>H13*ARPU!H34</f>
        <v>36.612453701612182</v>
      </c>
      <c r="I33" s="219">
        <f>I13*ARPU!I34</f>
        <v>49.704872612934288</v>
      </c>
      <c r="J33" s="219">
        <f>J13*ARPU!J34</f>
        <v>65.10651939429961</v>
      </c>
      <c r="K33" s="219">
        <f>K13*ARPU!K34</f>
        <v>83.100532310977584</v>
      </c>
      <c r="L33" s="219">
        <f>L13*ARPU!L34</f>
        <v>106.0299441628207</v>
      </c>
    </row>
    <row r="34" spans="1:12" ht="15.75" customHeight="1">
      <c r="A34" s="255" t="s">
        <v>541</v>
      </c>
      <c r="B34" s="219" t="s">
        <v>464</v>
      </c>
      <c r="C34" s="336">
        <f t="shared" ref="C34:L34" si="4">SUM(C30:C33)</f>
        <v>0</v>
      </c>
      <c r="D34" s="336">
        <f t="shared" si="4"/>
        <v>528.36387500000001</v>
      </c>
      <c r="E34" s="336">
        <f t="shared" si="4"/>
        <v>890.01137297606886</v>
      </c>
      <c r="F34" s="336">
        <f t="shared" si="4"/>
        <v>1141.8231526090142</v>
      </c>
      <c r="G34" s="336">
        <f t="shared" si="4"/>
        <v>1460.1856564312418</v>
      </c>
      <c r="H34" s="336">
        <f t="shared" si="4"/>
        <v>1802.2549354443513</v>
      </c>
      <c r="I34" s="336">
        <f t="shared" si="4"/>
        <v>2223.0522771358387</v>
      </c>
      <c r="J34" s="336">
        <f t="shared" si="4"/>
        <v>2646.9923739708152</v>
      </c>
      <c r="K34" s="336">
        <f t="shared" si="4"/>
        <v>3072.8191253668515</v>
      </c>
      <c r="L34" s="336">
        <f t="shared" si="4"/>
        <v>3567.8630460973145</v>
      </c>
    </row>
    <row r="35" spans="1:12" ht="15.75" customHeight="1">
      <c r="A35" s="255" t="s">
        <v>542</v>
      </c>
      <c r="B35" s="219" t="s">
        <v>436</v>
      </c>
      <c r="C35" s="95">
        <f t="shared" ref="C35:L35" si="5">IFERROR((C34-C20)/C20, 0)</f>
        <v>0</v>
      </c>
      <c r="D35" s="95">
        <f t="shared" si="5"/>
        <v>0</v>
      </c>
      <c r="E35" s="95">
        <f t="shared" si="5"/>
        <v>-1.2773638761655789E-16</v>
      </c>
      <c r="F35" s="95">
        <f t="shared" si="5"/>
        <v>-1.9913212910746596E-16</v>
      </c>
      <c r="G35" s="95">
        <f t="shared" si="5"/>
        <v>1.5571559304242406E-16</v>
      </c>
      <c r="H35" s="95">
        <f t="shared" si="5"/>
        <v>-2.5232132366131915E-16</v>
      </c>
      <c r="I35" s="95">
        <f t="shared" si="5"/>
        <v>0</v>
      </c>
      <c r="J35" s="95">
        <f t="shared" si="5"/>
        <v>0</v>
      </c>
      <c r="K35" s="95">
        <f t="shared" si="5"/>
        <v>1.4799027613842183E-16</v>
      </c>
      <c r="L35" s="95">
        <f t="shared" si="5"/>
        <v>1.2745650407850909E-16</v>
      </c>
    </row>
    <row r="36" spans="1:12" ht="15.75" customHeight="1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</row>
    <row r="37" spans="1:12" ht="15.75" customHeight="1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</row>
    <row r="38" spans="1:12" ht="15.75" customHeight="1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</row>
    <row r="39" spans="1:12" ht="15.75" customHeight="1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</row>
    <row r="40" spans="1:12" ht="15.75" customHeight="1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</row>
    <row r="41" spans="1:12" ht="15.75" customHeight="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</row>
    <row r="42" spans="1:12" ht="15.75" customHeight="1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</row>
    <row r="43" spans="1:12" ht="15.75" customHeight="1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</row>
    <row r="44" spans="1:12" ht="15.75" customHeight="1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</row>
    <row r="45" spans="1:12" ht="15.75" customHeight="1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</row>
    <row r="46" spans="1:12" ht="15.75" customHeight="1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</row>
    <row r="47" spans="1:12" ht="15.75" customHeight="1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</row>
    <row r="48" spans="1:12" ht="15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</row>
    <row r="49" spans="1:12" ht="15.75" customHeight="1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</row>
    <row r="50" spans="1:12" ht="15.75" customHeight="1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</row>
    <row r="51" spans="1:12" ht="15.75" customHeight="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</row>
  </sheetData>
  <mergeCells count="4">
    <mergeCell ref="A16:L16"/>
    <mergeCell ref="A8:L8"/>
    <mergeCell ref="A19:L19"/>
    <mergeCell ref="A24:L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M51"/>
  <sheetViews>
    <sheetView showGridLines="0" topLeftCell="B6" workbookViewId="0">
      <selection activeCell="E22" sqref="E22"/>
    </sheetView>
  </sheetViews>
  <sheetFormatPr defaultColWidth="8.85546875" defaultRowHeight="15"/>
  <cols>
    <col min="1" max="1" width="60.42578125" bestFit="1" customWidth="1"/>
    <col min="2" max="2" width="5" customWidth="1"/>
    <col min="3" max="12" width="14.28515625" customWidth="1"/>
  </cols>
  <sheetData>
    <row r="1" spans="1:13" ht="15.75" customHeight="1">
      <c r="A1" s="11" t="s">
        <v>543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5.75" customHeight="1">
      <c r="A2" s="10" t="s">
        <v>544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15.75" customHeight="1">
      <c r="A3" s="66" t="s">
        <v>545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s="213" customFormat="1" ht="15.75" customHeight="1"/>
    <row r="5" spans="1:13" ht="15.75" customHeight="1">
      <c r="A5" s="125"/>
      <c r="B5" s="125" t="s">
        <v>423</v>
      </c>
      <c r="C5" s="125" t="s">
        <v>510</v>
      </c>
      <c r="D5" s="125" t="s">
        <v>511</v>
      </c>
      <c r="E5" s="125" t="s">
        <v>512</v>
      </c>
      <c r="F5" s="125" t="s">
        <v>513</v>
      </c>
      <c r="G5" s="125" t="s">
        <v>514</v>
      </c>
      <c r="H5" s="125" t="s">
        <v>515</v>
      </c>
      <c r="I5" s="125" t="s">
        <v>516</v>
      </c>
      <c r="J5" s="125" t="s">
        <v>517</v>
      </c>
      <c r="K5" s="125" t="s">
        <v>518</v>
      </c>
      <c r="L5" s="125" t="s">
        <v>519</v>
      </c>
      <c r="M5" s="213"/>
    </row>
    <row r="6" spans="1:13" ht="15.75" customHeight="1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</row>
    <row r="7" spans="1:13" ht="15.75" customHeight="1">
      <c r="A7" s="14" t="s">
        <v>546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213"/>
    </row>
    <row r="8" spans="1:13" ht="15.75" customHeight="1">
      <c r="A8" s="7" t="s">
        <v>547</v>
      </c>
      <c r="B8" s="13" t="s">
        <v>464</v>
      </c>
      <c r="C8" s="97">
        <f>'Revenue Build'!C20</f>
        <v>0</v>
      </c>
      <c r="D8" s="97">
        <f>'Revenue Build'!D20</f>
        <v>528.36387500000001</v>
      </c>
      <c r="E8" s="97">
        <f>'Revenue Build'!E20</f>
        <v>890.01137297606897</v>
      </c>
      <c r="F8" s="97">
        <f>'Revenue Build'!F20</f>
        <v>1141.8231526090144</v>
      </c>
      <c r="G8" s="97">
        <f>'Revenue Build'!G20</f>
        <v>1460.1856564312416</v>
      </c>
      <c r="H8" s="97">
        <f>'Revenue Build'!H20</f>
        <v>1802.2549354443518</v>
      </c>
      <c r="I8" s="97">
        <f>'Revenue Build'!I20</f>
        <v>2223.0522771358387</v>
      </c>
      <c r="J8" s="97">
        <f>'Revenue Build'!J20</f>
        <v>2646.9923739708152</v>
      </c>
      <c r="K8" s="97">
        <f>'Revenue Build'!K20</f>
        <v>3072.819125366851</v>
      </c>
      <c r="L8" s="97">
        <f>'Revenue Build'!L20</f>
        <v>3567.8630460973141</v>
      </c>
      <c r="M8" s="10" t="s">
        <v>548</v>
      </c>
    </row>
    <row r="9" spans="1:13" ht="15.75" customHeight="1">
      <c r="A9" s="7" t="s">
        <v>549</v>
      </c>
      <c r="B9" s="13" t="s">
        <v>436</v>
      </c>
      <c r="C9" s="101"/>
      <c r="D9" s="101">
        <f>IFERROR(D8/C8-1,0)</f>
        <v>0</v>
      </c>
      <c r="E9" s="101">
        <f t="shared" ref="E9:L9" si="0">E8/D8-1</f>
        <v>0.6844667379579441</v>
      </c>
      <c r="F9" s="101">
        <f t="shared" si="0"/>
        <v>0.28293096838855369</v>
      </c>
      <c r="G9" s="101">
        <f t="shared" si="0"/>
        <v>0.27881945036302969</v>
      </c>
      <c r="H9" s="101">
        <f t="shared" si="0"/>
        <v>0.23426423722661593</v>
      </c>
      <c r="I9" s="101">
        <f t="shared" si="0"/>
        <v>0.23348380598982121</v>
      </c>
      <c r="J9" s="101">
        <f t="shared" si="0"/>
        <v>0.19070181173659906</v>
      </c>
      <c r="K9" s="101">
        <f t="shared" si="0"/>
        <v>0.16087192225538716</v>
      </c>
      <c r="L9" s="101">
        <f t="shared" si="0"/>
        <v>0.16110415241943721</v>
      </c>
      <c r="M9" s="213"/>
    </row>
    <row r="10" spans="1:13" ht="15.7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</row>
    <row r="11" spans="1:13" ht="15.75" customHeight="1">
      <c r="A11" s="14" t="s">
        <v>550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13"/>
    </row>
    <row r="12" spans="1:13" ht="15.75" customHeight="1">
      <c r="A12" s="7" t="s">
        <v>551</v>
      </c>
      <c r="B12" s="13" t="s">
        <v>464</v>
      </c>
      <c r="C12" s="98"/>
      <c r="D12" s="98">
        <f>('Revenue Build'!D30 + 'Revenue Build'!D32 + 'Revenue Build'!D33) * Assumptions!$F$33</f>
        <v>52.569200000000002</v>
      </c>
      <c r="E12" s="98">
        <f>('Revenue Build'!E30 + 'Revenue Build'!E32 + 'Revenue Build'!E33) * Assumptions!$F$33</f>
        <v>78.857413899169387</v>
      </c>
      <c r="F12" s="98">
        <f>('Revenue Build'!F30 + 'Revenue Build'!F32 + 'Revenue Build'!F33) * Assumptions!$F$33</f>
        <v>100.58868807725321</v>
      </c>
      <c r="G12" s="98">
        <f>('Revenue Build'!G30 + 'Revenue Build'!G32 + 'Revenue Build'!G33) * Assumptions!$F$33</f>
        <v>127.86754537597633</v>
      </c>
      <c r="H12" s="98">
        <f>('Revenue Build'!H30 + 'Revenue Build'!H32 + 'Revenue Build'!H33) * Assumptions!$F$33</f>
        <v>156.84379420783034</v>
      </c>
      <c r="I12" s="98">
        <f>('Revenue Build'!I30 + 'Revenue Build'!I32 + 'Revenue Build'!I33) * Assumptions!$F$33</f>
        <v>192.21850670795109</v>
      </c>
      <c r="J12" s="98">
        <f>('Revenue Build'!J30 + 'Revenue Build'!J32 + 'Revenue Build'!J33) * Assumptions!$F$33</f>
        <v>227.34593275428139</v>
      </c>
      <c r="K12" s="98">
        <f>('Revenue Build'!K30 + 'Revenue Build'!K32 + 'Revenue Build'!K33) * Assumptions!$F$33</f>
        <v>262.09246679636902</v>
      </c>
      <c r="L12" s="98">
        <f>('Revenue Build'!L30 + 'Revenue Build'!L32 + 'Revenue Build'!L33) * Assumptions!$F$33</f>
        <v>302.13627530050798</v>
      </c>
      <c r="M12" s="213"/>
    </row>
    <row r="13" spans="1:13" ht="15.75" customHeight="1">
      <c r="A13" s="7" t="s">
        <v>552</v>
      </c>
      <c r="B13" s="13" t="s">
        <v>464</v>
      </c>
      <c r="C13" s="98"/>
      <c r="D13" s="98">
        <f>Members!D31 * Assumptions!$F$32</f>
        <v>156.48000000000002</v>
      </c>
      <c r="E13" s="98">
        <f>Members!E31 * Assumptions!$F$32</f>
        <v>95.105497499999998</v>
      </c>
      <c r="F13" s="98">
        <f>Members!F31 * Assumptions!$F$32</f>
        <v>148.33522882934483</v>
      </c>
      <c r="G13" s="98">
        <f>Members!G31 * Assumptions!$F$32</f>
        <v>140.96582130975483</v>
      </c>
      <c r="H13" s="98">
        <f>Members!H31 * Assumptions!$F$32</f>
        <v>166.91651308084604</v>
      </c>
      <c r="I13" s="98">
        <f>Members!I31 * Assumptions!$F$32</f>
        <v>190.75840990579343</v>
      </c>
      <c r="J13" s="98">
        <f>Members!J31 * Assumptions!$F$32</f>
        <v>172.4788109578752</v>
      </c>
      <c r="K13" s="98">
        <f>Members!K31 * Assumptions!$F$32</f>
        <v>190.15817842010773</v>
      </c>
      <c r="L13" s="98">
        <f>Members!L31 * Assumptions!$F$32</f>
        <v>204.39749084734569</v>
      </c>
      <c r="M13" s="213"/>
    </row>
    <row r="14" spans="1:13" ht="15.75" customHeight="1">
      <c r="A14" s="7" t="s">
        <v>553</v>
      </c>
      <c r="B14" s="13" t="s">
        <v>464</v>
      </c>
      <c r="C14" s="98"/>
      <c r="D14" s="98">
        <f t="shared" ref="D14:L14" si="1">D12+D13+D19</f>
        <v>210.78591875000001</v>
      </c>
      <c r="E14" s="98">
        <f t="shared" si="1"/>
        <v>239.89711348901318</v>
      </c>
      <c r="F14" s="98">
        <f t="shared" si="1"/>
        <v>337.28249360031145</v>
      </c>
      <c r="G14" s="98">
        <f t="shared" si="1"/>
        <v>386.81499842219222</v>
      </c>
      <c r="H14" s="98">
        <f t="shared" si="1"/>
        <v>475.74135297660769</v>
      </c>
      <c r="I14" s="98">
        <f t="shared" si="1"/>
        <v>578.5406031503577</v>
      </c>
      <c r="J14" s="98">
        <f t="shared" si="1"/>
        <v>642.62122389035744</v>
      </c>
      <c r="K14" s="98">
        <f t="shared" si="1"/>
        <v>745.98204252853168</v>
      </c>
      <c r="L14" s="98">
        <f t="shared" si="1"/>
        <v>861.75895665780627</v>
      </c>
      <c r="M14" s="213"/>
    </row>
    <row r="15" spans="1:13" ht="15.75" customHeight="1">
      <c r="A15" s="7" t="s">
        <v>554</v>
      </c>
      <c r="B15" s="13" t="s">
        <v>464</v>
      </c>
      <c r="C15" s="98"/>
      <c r="D15" s="98">
        <f t="shared" ref="D15:L15" si="2">D8-D14</f>
        <v>317.57795625</v>
      </c>
      <c r="E15" s="98">
        <f t="shared" si="2"/>
        <v>650.11425948705573</v>
      </c>
      <c r="F15" s="98">
        <f t="shared" si="2"/>
        <v>804.54065900870296</v>
      </c>
      <c r="G15" s="98">
        <f t="shared" si="2"/>
        <v>1073.3706580090493</v>
      </c>
      <c r="H15" s="98">
        <f t="shared" si="2"/>
        <v>1326.5135824677441</v>
      </c>
      <c r="I15" s="98">
        <f t="shared" si="2"/>
        <v>1644.5116739854811</v>
      </c>
      <c r="J15" s="98">
        <f t="shared" si="2"/>
        <v>2004.3711500804577</v>
      </c>
      <c r="K15" s="98">
        <f t="shared" si="2"/>
        <v>2326.8370828383195</v>
      </c>
      <c r="L15" s="98">
        <f t="shared" si="2"/>
        <v>2706.1040894395078</v>
      </c>
      <c r="M15" s="213"/>
    </row>
    <row r="16" spans="1:13" ht="15.75" customHeight="1">
      <c r="A16" s="7" t="s">
        <v>555</v>
      </c>
      <c r="B16" s="13" t="s">
        <v>436</v>
      </c>
      <c r="C16" s="101"/>
      <c r="D16" s="101">
        <f t="shared" ref="D16:L16" si="3">D15/D8</f>
        <v>0.60105917773049866</v>
      </c>
      <c r="E16" s="101">
        <f t="shared" si="3"/>
        <v>0.73045612587305253</v>
      </c>
      <c r="F16" s="101">
        <f t="shared" si="3"/>
        <v>0.7046105670307734</v>
      </c>
      <c r="G16" s="101">
        <f t="shared" si="3"/>
        <v>0.73509190648565526</v>
      </c>
      <c r="H16" s="101">
        <f t="shared" si="3"/>
        <v>0.73602993471103351</v>
      </c>
      <c r="I16" s="101">
        <f t="shared" si="3"/>
        <v>0.73975393691787383</v>
      </c>
      <c r="J16" s="101">
        <f t="shared" si="3"/>
        <v>0.75722588768688204</v>
      </c>
      <c r="K16" s="101">
        <f t="shared" si="3"/>
        <v>0.7572320360901581</v>
      </c>
      <c r="L16" s="101">
        <f t="shared" si="3"/>
        <v>0.75846635772624837</v>
      </c>
      <c r="M16" s="213"/>
    </row>
    <row r="17" spans="1:13" ht="15.75" customHeight="1">
      <c r="A17" s="7" t="s">
        <v>556</v>
      </c>
      <c r="B17" s="13" t="s">
        <v>436</v>
      </c>
      <c r="C17" s="102"/>
      <c r="D17" s="102">
        <f>IFERROR(('Revenue Build'!D30+'Revenue Build'!D32+'Revenue Build'!D33-D12)/('Revenue Build'!D30+'Revenue Build'!D32+'Revenue Build'!D33),0)</f>
        <v>0.89999999999999991</v>
      </c>
      <c r="E17" s="102">
        <f>IFERROR(('Revenue Build'!E30+'Revenue Build'!E32+'Revenue Build'!E33-E12)/('Revenue Build'!E30+'Revenue Build'!E32+'Revenue Build'!E33),0)</f>
        <v>0.9</v>
      </c>
      <c r="F17" s="102">
        <f>IFERROR(('Revenue Build'!F30+'Revenue Build'!F32+'Revenue Build'!F33-F12)/('Revenue Build'!F30+'Revenue Build'!F32+'Revenue Build'!F33),0)</f>
        <v>0.9</v>
      </c>
      <c r="G17" s="102">
        <f>IFERROR(('Revenue Build'!G30+'Revenue Build'!G32+'Revenue Build'!G33-G12)/('Revenue Build'!G30+'Revenue Build'!G32+'Revenue Build'!G33),0)</f>
        <v>0.9</v>
      </c>
      <c r="H17" s="102">
        <f>IFERROR(('Revenue Build'!H30+'Revenue Build'!H32+'Revenue Build'!H33-H12)/('Revenue Build'!H30+'Revenue Build'!H32+'Revenue Build'!H33),0)</f>
        <v>0.9</v>
      </c>
      <c r="I17" s="102">
        <f>IFERROR(('Revenue Build'!I30+'Revenue Build'!I32+'Revenue Build'!I33-I12)/('Revenue Build'!I30+'Revenue Build'!I32+'Revenue Build'!I33),0)</f>
        <v>0.9</v>
      </c>
      <c r="J17" s="102">
        <f>IFERROR(('Revenue Build'!J30+'Revenue Build'!J32+'Revenue Build'!J33-J12)/('Revenue Build'!J30+'Revenue Build'!J32+'Revenue Build'!J33),0)</f>
        <v>0.9</v>
      </c>
      <c r="K17" s="102">
        <f>IFERROR(('Revenue Build'!K30+'Revenue Build'!K32+'Revenue Build'!K33-K12)/('Revenue Build'!K30+'Revenue Build'!K32+'Revenue Build'!K33),0)</f>
        <v>0.89999999999999991</v>
      </c>
      <c r="L17" s="102">
        <f>IFERROR(('Revenue Build'!L30+'Revenue Build'!L32+'Revenue Build'!L33-L12)/('Revenue Build'!L30+'Revenue Build'!L32+'Revenue Build'!L33),0)</f>
        <v>0.9</v>
      </c>
      <c r="M17" s="10" t="s">
        <v>557</v>
      </c>
    </row>
    <row r="18" spans="1:13" ht="15.75" customHeight="1">
      <c r="A18" s="96" t="s">
        <v>558</v>
      </c>
      <c r="B18" s="13" t="s">
        <v>464</v>
      </c>
      <c r="C18" s="102"/>
      <c r="D18" s="104" t="s">
        <v>559</v>
      </c>
      <c r="E18" s="105">
        <f>Members!E31 * ARPU!E33 - E13</f>
        <v>-80.411698136249996</v>
      </c>
      <c r="F18" s="105">
        <f>Members!F31 * ARPU!F33 - F13</f>
        <v>-124.72990218958704</v>
      </c>
      <c r="G18" s="105">
        <f>Members!G31 * ARPU!G33 - G13</f>
        <v>-117.86024745640316</v>
      </c>
      <c r="H18" s="105">
        <f>Members!H31 * ARPU!H33 - H13</f>
        <v>-138.73661217980018</v>
      </c>
      <c r="I18" s="105">
        <f>Members!I31 * ARPU!I33 - I13</f>
        <v>-157.58721804702162</v>
      </c>
      <c r="J18" s="105">
        <f>Members!J31 * ARPU!J33 - J13</f>
        <v>-141.58650290884887</v>
      </c>
      <c r="K18" s="105">
        <f>Members!K31 * ARPU!K33 - K13</f>
        <v>-155.07759232975422</v>
      </c>
      <c r="L18" s="105">
        <f>Members!L31 * ARPU!L33 - L13</f>
        <v>-165.55879692992821</v>
      </c>
      <c r="M18" s="10" t="s">
        <v>560</v>
      </c>
    </row>
    <row r="19" spans="1:13" ht="15.75" customHeight="1">
      <c r="A19" s="213" t="s">
        <v>561</v>
      </c>
      <c r="B19" s="213" t="s">
        <v>464</v>
      </c>
      <c r="C19" s="99"/>
      <c r="D19" s="99">
        <f>'Revenue Build'!D31 * Assumptions!$F$51</f>
        <v>1.7367187500000001</v>
      </c>
      <c r="E19" s="99">
        <f>'Revenue Build'!E31 * Assumptions!$F$51</f>
        <v>65.934202089843765</v>
      </c>
      <c r="F19" s="99">
        <f>'Revenue Build'!F31 * Assumptions!$F$51</f>
        <v>88.358576693713431</v>
      </c>
      <c r="G19" s="99">
        <f>'Revenue Build'!G31 * Assumptions!$F$51</f>
        <v>117.98163173646104</v>
      </c>
      <c r="H19" s="99">
        <f>'Revenue Build'!H31 * Assumptions!$F$51</f>
        <v>151.98104568793136</v>
      </c>
      <c r="I19" s="99">
        <f>'Revenue Build'!I31 * Assumptions!$F$51</f>
        <v>195.56368653661318</v>
      </c>
      <c r="J19" s="99">
        <f>'Revenue Build'!J31 * Assumptions!$F$51</f>
        <v>242.79648017820085</v>
      </c>
      <c r="K19" s="99">
        <f>'Revenue Build'!K31 * Assumptions!$F$51</f>
        <v>293.73139731205492</v>
      </c>
      <c r="L19" s="99">
        <f>'Revenue Build'!L31 * Assumptions!$F$51</f>
        <v>355.22519050995254</v>
      </c>
      <c r="M19" s="213"/>
    </row>
    <row r="20" spans="1:13" ht="15.75" customHeight="1">
      <c r="A20" s="14" t="s">
        <v>562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213"/>
    </row>
    <row r="21" spans="1:13" ht="15.75" customHeight="1">
      <c r="A21" s="7" t="s">
        <v>563</v>
      </c>
      <c r="B21" s="13" t="s">
        <v>464</v>
      </c>
      <c r="C21" s="98"/>
      <c r="D21" s="98">
        <f>D8*Assumptions!$F$39</f>
        <v>116.2400525</v>
      </c>
      <c r="E21" s="98">
        <f>E8*(Assumptions!$F$39 + (Assumptions!$F$40-Assumptions!$F$39)*(E$5-2026)/7)</f>
        <v>195.80250205473519</v>
      </c>
      <c r="F21" s="98">
        <f>F8*(Assumptions!$F$39 + (Assumptions!$F$40-Assumptions!$F$39)*(F$5-2026)/7)</f>
        <v>239.78286204789302</v>
      </c>
      <c r="G21" s="98">
        <f>G8*(Assumptions!$F$39 + (Assumptions!$F$40-Assumptions!$F$39)*(G$5-2026)/7)</f>
        <v>292.03713128624833</v>
      </c>
      <c r="H21" s="98">
        <f>H8*(Assumptions!$F$39 + (Assumptions!$F$40-Assumptions!$F$39)*(H$5-2026)/7)</f>
        <v>342.42843773442684</v>
      </c>
      <c r="I21" s="98">
        <f>I8*(Assumptions!$F$39 + (Assumptions!$F$40-Assumptions!$F$39)*(I$5-2026)/7)</f>
        <v>400.14940988445096</v>
      </c>
      <c r="J21" s="98">
        <f>J8*(Assumptions!$F$39 + (Assumptions!$F$40-Assumptions!$F$39)*(J$5-2026)/7)</f>
        <v>449.98870357503853</v>
      </c>
      <c r="K21" s="98">
        <f>K8*(Assumptions!$F$39 + (Assumptions!$F$40-Assumptions!$F$39)*(K$5-2026)/7)</f>
        <v>491.6510600586962</v>
      </c>
      <c r="L21" s="98">
        <f>L8*(Assumptions!$F$39 + (Assumptions!$F$40-Assumptions!$F$39)*(L$5-2026)/7)</f>
        <v>535.17945691459704</v>
      </c>
      <c r="M21" s="213"/>
    </row>
    <row r="22" spans="1:13" ht="15.75" customHeight="1">
      <c r="A22" s="7" t="s">
        <v>564</v>
      </c>
      <c r="B22" s="13" t="s">
        <v>436</v>
      </c>
      <c r="C22" s="102"/>
      <c r="D22" s="102">
        <f t="shared" ref="D22:L22" si="4">D21/D8</f>
        <v>0.22</v>
      </c>
      <c r="E22" s="102">
        <f t="shared" si="4"/>
        <v>0.22</v>
      </c>
      <c r="F22" s="102">
        <f t="shared" si="4"/>
        <v>0.21</v>
      </c>
      <c r="G22" s="102">
        <f t="shared" si="4"/>
        <v>0.2</v>
      </c>
      <c r="H22" s="102">
        <f t="shared" si="4"/>
        <v>0.19</v>
      </c>
      <c r="I22" s="102">
        <f t="shared" si="4"/>
        <v>0.18</v>
      </c>
      <c r="J22" s="102">
        <f t="shared" si="4"/>
        <v>0.16999999999999998</v>
      </c>
      <c r="K22" s="102">
        <f t="shared" si="4"/>
        <v>0.16</v>
      </c>
      <c r="L22" s="102">
        <f t="shared" si="4"/>
        <v>0.15</v>
      </c>
      <c r="M22" s="10" t="s">
        <v>565</v>
      </c>
    </row>
    <row r="23" spans="1:13" ht="15.75" customHeight="1">
      <c r="A23" s="7" t="s">
        <v>566</v>
      </c>
      <c r="B23" s="13" t="s">
        <v>464</v>
      </c>
      <c r="C23" s="98"/>
      <c r="D23" s="98">
        <f>D8*Assumptions!$F$41</f>
        <v>158.5091625</v>
      </c>
      <c r="E23" s="98">
        <f>Members!E47</f>
        <v>158.5091625</v>
      </c>
      <c r="F23" s="98">
        <f>Members!F47</f>
        <v>267.00341189282068</v>
      </c>
      <c r="G23" s="98">
        <f>Members!G47</f>
        <v>274.03755662616345</v>
      </c>
      <c r="H23" s="98">
        <f>Members!H47</f>
        <v>350.44455754349798</v>
      </c>
      <c r="I23" s="98">
        <f>Members!I47</f>
        <v>432.54118450664441</v>
      </c>
      <c r="J23" s="98">
        <f>Members!J47</f>
        <v>422.37993265580934</v>
      </c>
      <c r="K23" s="98">
        <f>Members!K47</f>
        <v>502.92855105445489</v>
      </c>
      <c r="L23" s="98">
        <f>Members!L47</f>
        <v>583.83563381970168</v>
      </c>
      <c r="M23" s="213"/>
    </row>
    <row r="24" spans="1:13" ht="15.75" customHeight="1">
      <c r="A24" s="7" t="s">
        <v>567</v>
      </c>
      <c r="B24" s="13" t="s">
        <v>436</v>
      </c>
      <c r="C24" s="102"/>
      <c r="D24" s="102">
        <f t="shared" ref="D24:L24" si="5">D23/D8</f>
        <v>0.3</v>
      </c>
      <c r="E24" s="102">
        <f t="shared" si="5"/>
        <v>0.1780979067379424</v>
      </c>
      <c r="F24" s="102">
        <f t="shared" si="5"/>
        <v>0.23383954974352195</v>
      </c>
      <c r="G24" s="102">
        <f t="shared" si="5"/>
        <v>0.18767309171898275</v>
      </c>
      <c r="H24" s="102">
        <f t="shared" si="5"/>
        <v>0.19444782791347703</v>
      </c>
      <c r="I24" s="102">
        <f t="shared" si="5"/>
        <v>0.19457085600520682</v>
      </c>
      <c r="J24" s="102">
        <f t="shared" si="5"/>
        <v>0.1595697580428565</v>
      </c>
      <c r="K24" s="102">
        <f t="shared" si="5"/>
        <v>0.16367007966810032</v>
      </c>
      <c r="L24" s="102">
        <f t="shared" si="5"/>
        <v>0.16363734433650048</v>
      </c>
      <c r="M24" s="10" t="s">
        <v>568</v>
      </c>
    </row>
    <row r="25" spans="1:13" ht="15.75" customHeight="1">
      <c r="A25" s="7" t="s">
        <v>569</v>
      </c>
      <c r="B25" s="13" t="s">
        <v>464</v>
      </c>
      <c r="C25" s="98"/>
      <c r="D25" s="98">
        <f>D8*Assumptions!$F$45</f>
        <v>79.254581250000001</v>
      </c>
      <c r="E25" s="98">
        <f>E8*(Assumptions!$F$45 + (Assumptions!$F$46-Assumptions!$F$45)*(E$5-2026)/7)</f>
        <v>133.50170594641034</v>
      </c>
      <c r="F25" s="98">
        <f>F8*(Assumptions!$F$45 + (Assumptions!$F$46-Assumptions!$F$45)*(F$5-2026)/7)</f>
        <v>164.7487691621578</v>
      </c>
      <c r="G25" s="98">
        <f>G8*(Assumptions!$F$45 + (Assumptions!$F$46-Assumptions!$F$45)*(G$5-2026)/7)</f>
        <v>202.34001239118632</v>
      </c>
      <c r="H25" s="98">
        <f>H8*(Assumptions!$F$45 + (Assumptions!$F$46-Assumptions!$F$45)*(H$5-2026)/7)</f>
        <v>239.44244142332099</v>
      </c>
      <c r="I25" s="98">
        <f>I8*(Assumptions!$F$45 + (Assumptions!$F$46-Assumptions!$F$45)*(I$5-2026)/7)</f>
        <v>282.6452180929852</v>
      </c>
      <c r="J25" s="98">
        <f>J8*(Assumptions!$F$45 + (Assumptions!$F$46-Assumptions!$F$45)*(J$5-2026)/7)</f>
        <v>321.42050255359896</v>
      </c>
      <c r="K25" s="98">
        <f>K8*(Assumptions!$F$45 + (Assumptions!$F$46-Assumptions!$F$45)*(K$5-2026)/7)</f>
        <v>355.56907022102132</v>
      </c>
      <c r="L25" s="98">
        <f>L8*(Assumptions!$F$45 + (Assumptions!$F$46-Assumptions!$F$45)*(L$5-2026)/7)</f>
        <v>392.46493507070454</v>
      </c>
      <c r="M25" s="213"/>
    </row>
    <row r="26" spans="1:13" ht="15.75" customHeight="1">
      <c r="A26" s="7" t="s">
        <v>570</v>
      </c>
      <c r="B26" s="13" t="s">
        <v>436</v>
      </c>
      <c r="C26" s="102"/>
      <c r="D26" s="102">
        <f t="shared" ref="D26:L26" si="6">D25/D8</f>
        <v>0.15</v>
      </c>
      <c r="E26" s="102">
        <f t="shared" si="6"/>
        <v>0.15</v>
      </c>
      <c r="F26" s="102">
        <f t="shared" si="6"/>
        <v>0.14428571428571429</v>
      </c>
      <c r="G26" s="102">
        <f t="shared" si="6"/>
        <v>0.13857142857142857</v>
      </c>
      <c r="H26" s="102">
        <f t="shared" si="6"/>
        <v>0.13285714285714284</v>
      </c>
      <c r="I26" s="102">
        <f t="shared" si="6"/>
        <v>0.12714285714285714</v>
      </c>
      <c r="J26" s="102">
        <f t="shared" si="6"/>
        <v>0.12142857142857143</v>
      </c>
      <c r="K26" s="102">
        <f t="shared" si="6"/>
        <v>0.11571428571428571</v>
      </c>
      <c r="L26" s="102">
        <f t="shared" si="6"/>
        <v>0.11</v>
      </c>
      <c r="M26" s="10" t="s">
        <v>571</v>
      </c>
    </row>
    <row r="27" spans="1:13" ht="15.75" customHeight="1">
      <c r="A27" s="7" t="s">
        <v>572</v>
      </c>
      <c r="B27" s="13" t="s">
        <v>464</v>
      </c>
      <c r="C27" s="98"/>
      <c r="D27" s="98">
        <f>D8*Assumptions!$F$47</f>
        <v>73.970942500000007</v>
      </c>
      <c r="E27" s="98">
        <f>E8*(Assumptions!$F$47 + (Assumptions!$F$48-Assumptions!$F$47)*(E$5-2026)/7)</f>
        <v>124.60159221664966</v>
      </c>
      <c r="F27" s="98">
        <f>F8*(Assumptions!$F$47 + (Assumptions!$F$48-Assumptions!$F$47)*(F$5-2026)/7)</f>
        <v>150.0681857714705</v>
      </c>
      <c r="G27" s="98">
        <f>G8*(Assumptions!$F$47 + (Assumptions!$F$48-Assumptions!$F$47)*(G$5-2026)/7)</f>
        <v>179.39423779012398</v>
      </c>
      <c r="H27" s="98">
        <f>H8*(Assumptions!$F$47 + (Assumptions!$F$48-Assumptions!$F$47)*(H$5-2026)/7)</f>
        <v>205.97199262221164</v>
      </c>
      <c r="I27" s="98">
        <f>I8*(Assumptions!$F$47 + (Assumptions!$F$48-Assumptions!$F$47)*(I$5-2026)/7)</f>
        <v>235.00838358293154</v>
      </c>
      <c r="J27" s="98">
        <f>J8*(Assumptions!$F$47 + (Assumptions!$F$48-Assumptions!$F$47)*(J$5-2026)/7)</f>
        <v>257.13640204287918</v>
      </c>
      <c r="K27" s="98">
        <f>K8*(Assumptions!$F$47 + (Assumptions!$F$48-Assumptions!$F$47)*(K$5-2026)/7)</f>
        <v>272.16397967534971</v>
      </c>
      <c r="L27" s="98">
        <f>L8*(Assumptions!$F$47 + (Assumptions!$F$48-Assumptions!$F$47)*(L$5-2026)/7)</f>
        <v>285.42904368778511</v>
      </c>
      <c r="M27" s="213"/>
    </row>
    <row r="28" spans="1:13" ht="15.75" customHeight="1">
      <c r="A28" s="7" t="s">
        <v>573</v>
      </c>
      <c r="B28" s="13" t="s">
        <v>436</v>
      </c>
      <c r="C28" s="102"/>
      <c r="D28" s="102">
        <f t="shared" ref="D28:L28" si="7">D27/D8</f>
        <v>0.14000000000000001</v>
      </c>
      <c r="E28" s="102">
        <f t="shared" si="7"/>
        <v>0.14000000000000001</v>
      </c>
      <c r="F28" s="102">
        <f t="shared" si="7"/>
        <v>0.13142857142857145</v>
      </c>
      <c r="G28" s="102">
        <f t="shared" si="7"/>
        <v>0.12285714285714287</v>
      </c>
      <c r="H28" s="102">
        <f t="shared" si="7"/>
        <v>0.1142857142857143</v>
      </c>
      <c r="I28" s="102">
        <f t="shared" si="7"/>
        <v>0.10571428571428572</v>
      </c>
      <c r="J28" s="102">
        <f t="shared" si="7"/>
        <v>9.7142857142857142E-2</v>
      </c>
      <c r="K28" s="102">
        <f t="shared" si="7"/>
        <v>8.8571428571428593E-2</v>
      </c>
      <c r="L28" s="102">
        <f t="shared" si="7"/>
        <v>0.08</v>
      </c>
      <c r="M28" s="10" t="s">
        <v>574</v>
      </c>
    </row>
    <row r="29" spans="1:13" ht="15.75" customHeight="1">
      <c r="A29" s="7" t="s">
        <v>575</v>
      </c>
      <c r="B29" s="13" t="s">
        <v>464</v>
      </c>
      <c r="C29" s="98"/>
      <c r="D29" s="98">
        <f t="shared" ref="D29:L29" si="8">D21+D23+D25+D27</f>
        <v>427.97473875000003</v>
      </c>
      <c r="E29" s="98">
        <f t="shared" si="8"/>
        <v>612.41496271779522</v>
      </c>
      <c r="F29" s="98">
        <f t="shared" si="8"/>
        <v>821.60322887434199</v>
      </c>
      <c r="G29" s="98">
        <f t="shared" si="8"/>
        <v>947.80893809372196</v>
      </c>
      <c r="H29" s="98">
        <f t="shared" si="8"/>
        <v>1138.2874293234574</v>
      </c>
      <c r="I29" s="98">
        <f t="shared" si="8"/>
        <v>1350.3441960670123</v>
      </c>
      <c r="J29" s="98">
        <f t="shared" si="8"/>
        <v>1450.9255408273259</v>
      </c>
      <c r="K29" s="98">
        <f t="shared" si="8"/>
        <v>1622.3126610095221</v>
      </c>
      <c r="L29" s="98">
        <f t="shared" si="8"/>
        <v>1796.9090694927881</v>
      </c>
      <c r="M29" s="213"/>
    </row>
    <row r="30" spans="1:13" ht="15.75" customHeight="1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</row>
    <row r="31" spans="1:13" ht="15.75" customHeight="1">
      <c r="A31" s="14" t="s">
        <v>576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213"/>
    </row>
    <row r="32" spans="1:13" ht="15.75" customHeight="1">
      <c r="A32" s="7" t="s">
        <v>577</v>
      </c>
      <c r="B32" s="13" t="s">
        <v>464</v>
      </c>
      <c r="C32" s="98"/>
      <c r="D32" s="98">
        <f t="shared" ref="D32:L32" si="9">D15-D29+D27</f>
        <v>-36.425840000000022</v>
      </c>
      <c r="E32" s="98">
        <f t="shared" si="9"/>
        <v>162.30088898591018</v>
      </c>
      <c r="F32" s="98">
        <f t="shared" si="9"/>
        <v>133.00561590583146</v>
      </c>
      <c r="G32" s="98">
        <f t="shared" si="9"/>
        <v>304.95595770545128</v>
      </c>
      <c r="H32" s="98">
        <f t="shared" si="9"/>
        <v>394.19814576649827</v>
      </c>
      <c r="I32" s="98">
        <f t="shared" si="9"/>
        <v>529.17586150140039</v>
      </c>
      <c r="J32" s="98">
        <f t="shared" si="9"/>
        <v>810.58201129601093</v>
      </c>
      <c r="K32" s="98">
        <f t="shared" si="9"/>
        <v>976.68840150414712</v>
      </c>
      <c r="L32" s="98">
        <f t="shared" si="9"/>
        <v>1194.6240636345046</v>
      </c>
      <c r="M32" s="213"/>
    </row>
    <row r="33" spans="1:13" ht="15.75" customHeight="1">
      <c r="A33" s="7" t="s">
        <v>578</v>
      </c>
      <c r="B33" s="13" t="s">
        <v>436</v>
      </c>
      <c r="C33" s="101"/>
      <c r="D33" s="101">
        <f t="shared" ref="D33:L33" si="10">D32/D8</f>
        <v>-6.8940822269501337E-2</v>
      </c>
      <c r="E33" s="101">
        <f t="shared" si="10"/>
        <v>0.18235821913511008</v>
      </c>
      <c r="F33" s="101">
        <f t="shared" si="10"/>
        <v>0.11648530300153717</v>
      </c>
      <c r="G33" s="101">
        <f t="shared" si="10"/>
        <v>0.20884738619524393</v>
      </c>
      <c r="H33" s="101">
        <f t="shared" si="10"/>
        <v>0.2187249639404136</v>
      </c>
      <c r="I33" s="101">
        <f t="shared" si="10"/>
        <v>0.23804022376980985</v>
      </c>
      <c r="J33" s="101">
        <f t="shared" si="10"/>
        <v>0.30622755821545411</v>
      </c>
      <c r="K33" s="101">
        <f t="shared" si="10"/>
        <v>0.31784767070777209</v>
      </c>
      <c r="L33" s="101">
        <f t="shared" si="10"/>
        <v>0.33482901338974802</v>
      </c>
      <c r="M33" s="213"/>
    </row>
    <row r="34" spans="1:13" ht="15.75" customHeight="1">
      <c r="A34" s="7" t="s">
        <v>579</v>
      </c>
      <c r="B34" s="13" t="s">
        <v>464</v>
      </c>
      <c r="C34" s="98"/>
      <c r="D34" s="98">
        <f t="shared" ref="D34:L34" si="11">D15-D29</f>
        <v>-110.39678250000003</v>
      </c>
      <c r="E34" s="98">
        <f t="shared" si="11"/>
        <v>37.699296769260513</v>
      </c>
      <c r="F34" s="98">
        <f t="shared" si="11"/>
        <v>-17.062569865639034</v>
      </c>
      <c r="G34" s="98">
        <f t="shared" si="11"/>
        <v>125.56171991532733</v>
      </c>
      <c r="H34" s="98">
        <f t="shared" si="11"/>
        <v>188.22615314428663</v>
      </c>
      <c r="I34" s="98">
        <f t="shared" si="11"/>
        <v>294.16747791846888</v>
      </c>
      <c r="J34" s="98">
        <f t="shared" si="11"/>
        <v>553.44560925313181</v>
      </c>
      <c r="K34" s="98">
        <f t="shared" si="11"/>
        <v>704.52442182879736</v>
      </c>
      <c r="L34" s="98">
        <f t="shared" si="11"/>
        <v>909.19501994671964</v>
      </c>
      <c r="M34" s="213"/>
    </row>
    <row r="35" spans="1:13" ht="15.75" customHeight="1">
      <c r="A35" s="7" t="s">
        <v>580</v>
      </c>
      <c r="B35" s="13" t="s">
        <v>436</v>
      </c>
      <c r="C35" s="101"/>
      <c r="D35" s="101">
        <f t="shared" ref="D35:L35" si="12">D34/D8</f>
        <v>-0.20894082226950134</v>
      </c>
      <c r="E35" s="101">
        <f t="shared" si="12"/>
        <v>4.2358219135110071E-2</v>
      </c>
      <c r="F35" s="101">
        <f t="shared" si="12"/>
        <v>-1.4943268427034284E-2</v>
      </c>
      <c r="G35" s="101">
        <f t="shared" si="12"/>
        <v>8.5990243338101083E-2</v>
      </c>
      <c r="H35" s="101">
        <f t="shared" si="12"/>
        <v>0.10443924965469931</v>
      </c>
      <c r="I35" s="101">
        <f t="shared" si="12"/>
        <v>0.13232593805552414</v>
      </c>
      <c r="J35" s="101">
        <f t="shared" si="12"/>
        <v>0.20908470107259702</v>
      </c>
      <c r="K35" s="101">
        <f t="shared" si="12"/>
        <v>0.22927624213634348</v>
      </c>
      <c r="L35" s="101">
        <f t="shared" si="12"/>
        <v>0.254829013389748</v>
      </c>
      <c r="M35" s="213"/>
    </row>
    <row r="36" spans="1:13" ht="15.75" customHeight="1">
      <c r="A36" s="7" t="s">
        <v>581</v>
      </c>
      <c r="B36" s="13" t="s">
        <v>461</v>
      </c>
      <c r="C36" s="103"/>
      <c r="D36" s="103">
        <f t="shared" ref="D36:L36" si="13">(D9+D33)*100</f>
        <v>-6.8940822269501334</v>
      </c>
      <c r="E36" s="103">
        <f t="shared" si="13"/>
        <v>86.682495709305414</v>
      </c>
      <c r="F36" s="103">
        <f t="shared" si="13"/>
        <v>39.941627139009086</v>
      </c>
      <c r="G36" s="103">
        <f t="shared" si="13"/>
        <v>48.766683655827357</v>
      </c>
      <c r="H36" s="103">
        <f t="shared" si="13"/>
        <v>45.298920116702959</v>
      </c>
      <c r="I36" s="103">
        <f t="shared" si="13"/>
        <v>47.152402975963106</v>
      </c>
      <c r="J36" s="103">
        <f t="shared" si="13"/>
        <v>49.692936995205315</v>
      </c>
      <c r="K36" s="103">
        <f t="shared" si="13"/>
        <v>47.871959296315922</v>
      </c>
      <c r="L36" s="103">
        <f t="shared" si="13"/>
        <v>49.593316580918525</v>
      </c>
      <c r="M36" s="209" t="s">
        <v>582</v>
      </c>
    </row>
    <row r="37" spans="1:13" ht="15.75" customHeight="1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</row>
    <row r="38" spans="1:13" ht="15.75" customHeight="1">
      <c r="A38" s="14" t="s">
        <v>583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13"/>
    </row>
    <row r="39" spans="1:13" ht="15.75" customHeight="1">
      <c r="A39" s="7" t="s">
        <v>584</v>
      </c>
      <c r="B39" s="13" t="s">
        <v>464</v>
      </c>
      <c r="C39" s="100"/>
      <c r="D39" s="97">
        <f>'WC &amp; Cash'!$D$12*Assumptions!$F$67</f>
        <v>2.6250000000000004</v>
      </c>
      <c r="E39" s="97">
        <f>('WC &amp; Cash'!D33 + 'WC &amp; Cash'!E13*0.5)*Assumptions!$F$67</f>
        <v>20.573466872431514</v>
      </c>
      <c r="F39" s="97">
        <f>'WC &amp; Cash'!E33*Assumptions!$F$67</f>
        <v>35.925826332975049</v>
      </c>
      <c r="G39" s="97">
        <f>'WC &amp; Cash'!F33*Assumptions!$F$67</f>
        <v>40.890031623936821</v>
      </c>
      <c r="H39" s="97">
        <f>'WC &amp; Cash'!G33*Assumptions!$F$67</f>
        <v>49.026587751901317</v>
      </c>
      <c r="I39" s="97">
        <f>'WC &amp; Cash'!H33*Assumptions!$F$67</f>
        <v>59.833221547010012</v>
      </c>
      <c r="J39" s="97">
        <f>'WC &amp; Cash'!I33*Assumptions!$F$67</f>
        <v>74.77235828665107</v>
      </c>
      <c r="K39" s="97">
        <f>'WC &amp; Cash'!J33*Assumptions!$F$67</f>
        <v>95.051871746527866</v>
      </c>
      <c r="L39" s="97">
        <f>'WC &amp; Cash'!K33*Assumptions!$F$67</f>
        <v>120.58870137068439</v>
      </c>
      <c r="M39" s="213"/>
    </row>
    <row r="40" spans="1:13" ht="15.75" customHeight="1">
      <c r="A40" s="7" t="s">
        <v>585</v>
      </c>
      <c r="B40" s="13" t="s">
        <v>464</v>
      </c>
      <c r="C40" s="98"/>
      <c r="D40" s="98">
        <f t="shared" ref="D40:L40" si="14">D34+D39</f>
        <v>-107.77178250000003</v>
      </c>
      <c r="E40" s="98">
        <f t="shared" si="14"/>
        <v>58.272763641692023</v>
      </c>
      <c r="F40" s="98">
        <f t="shared" si="14"/>
        <v>18.863256467336015</v>
      </c>
      <c r="G40" s="98">
        <f t="shared" si="14"/>
        <v>166.45175153926414</v>
      </c>
      <c r="H40" s="98">
        <f t="shared" si="14"/>
        <v>237.25274089618796</v>
      </c>
      <c r="I40" s="98">
        <f t="shared" si="14"/>
        <v>354.00069946547887</v>
      </c>
      <c r="J40" s="98">
        <f t="shared" si="14"/>
        <v>628.21796753978288</v>
      </c>
      <c r="K40" s="98">
        <f t="shared" si="14"/>
        <v>799.57629357532528</v>
      </c>
      <c r="L40" s="98">
        <f t="shared" si="14"/>
        <v>1029.7837213174041</v>
      </c>
      <c r="M40" s="213"/>
    </row>
    <row r="41" spans="1:13" ht="15.75" customHeight="1">
      <c r="A41" s="7" t="s">
        <v>586</v>
      </c>
      <c r="B41" s="13" t="s">
        <v>464</v>
      </c>
      <c r="C41" s="98"/>
      <c r="D41" s="98">
        <f>MAX(0, D40-D48)*Assumptions!$F$52</f>
        <v>0</v>
      </c>
      <c r="E41" s="98">
        <f>MAX(0, E40-E48)*Assumptions!$F$52</f>
        <v>2.6805471275178325</v>
      </c>
      <c r="F41" s="98">
        <f>MAX(0, F40-F48)*Assumptions!$F$52</f>
        <v>0.86770979749745658</v>
      </c>
      <c r="G41" s="98">
        <f>MAX(0, G40-G48)*Assumptions!$F$52</f>
        <v>27.689420579091905</v>
      </c>
      <c r="H41" s="98">
        <f>MAX(0, H40-H48)*Assumptions!$F$52</f>
        <v>54.568130406123231</v>
      </c>
      <c r="I41" s="98">
        <f>MAX(0, I40-I48)*Assumptions!$F$52</f>
        <v>81.420160877060141</v>
      </c>
      <c r="J41" s="98">
        <f>MAX(0, J40-J48)*Assumptions!$F$52</f>
        <v>144.49013253415006</v>
      </c>
      <c r="K41" s="98">
        <f>MAX(0, K40-K48)*Assumptions!$F$52</f>
        <v>183.90254752232482</v>
      </c>
      <c r="L41" s="98">
        <f>MAX(0, L40-L48)*Assumptions!$F$52</f>
        <v>236.85025590300296</v>
      </c>
      <c r="M41" s="213"/>
    </row>
    <row r="42" spans="1:13" ht="15.75" customHeight="1">
      <c r="A42" s="7" t="s">
        <v>587</v>
      </c>
      <c r="B42" s="13" t="s">
        <v>464</v>
      </c>
      <c r="C42" s="98"/>
      <c r="D42" s="98">
        <f t="shared" ref="D42:L42" si="15">D40-D41</f>
        <v>-107.77178250000003</v>
      </c>
      <c r="E42" s="98">
        <f t="shared" si="15"/>
        <v>55.59221651417419</v>
      </c>
      <c r="F42" s="98">
        <f t="shared" si="15"/>
        <v>17.995546669838557</v>
      </c>
      <c r="G42" s="98">
        <f t="shared" si="15"/>
        <v>138.76233096017222</v>
      </c>
      <c r="H42" s="98">
        <f t="shared" si="15"/>
        <v>182.68461049006473</v>
      </c>
      <c r="I42" s="98">
        <f t="shared" si="15"/>
        <v>272.58053858841873</v>
      </c>
      <c r="J42" s="98">
        <f t="shared" si="15"/>
        <v>483.72783500563281</v>
      </c>
      <c r="K42" s="98">
        <f t="shared" si="15"/>
        <v>615.67374605300051</v>
      </c>
      <c r="L42" s="98">
        <f t="shared" si="15"/>
        <v>792.9334654144011</v>
      </c>
      <c r="M42" s="213"/>
    </row>
    <row r="43" spans="1:13" ht="15.75" customHeight="1">
      <c r="A43" s="7" t="s">
        <v>588</v>
      </c>
      <c r="B43" s="13" t="s">
        <v>436</v>
      </c>
      <c r="C43" s="101"/>
      <c r="D43" s="101">
        <f t="shared" ref="D43:L43" si="16">D42/D8</f>
        <v>-0.20397265520849628</v>
      </c>
      <c r="E43" s="101">
        <f t="shared" si="16"/>
        <v>6.2462366439522993E-2</v>
      </c>
      <c r="F43" s="101">
        <f t="shared" si="16"/>
        <v>1.5760362389499235E-2</v>
      </c>
      <c r="G43" s="101">
        <f t="shared" si="16"/>
        <v>9.503060816205626E-2</v>
      </c>
      <c r="H43" s="101">
        <f t="shared" si="16"/>
        <v>0.10136446675621019</v>
      </c>
      <c r="I43" s="101">
        <f t="shared" si="16"/>
        <v>0.12261544246706116</v>
      </c>
      <c r="J43" s="101">
        <f t="shared" si="16"/>
        <v>0.18274621406633726</v>
      </c>
      <c r="K43" s="101">
        <f t="shared" si="16"/>
        <v>0.20036120608937494</v>
      </c>
      <c r="L43" s="101">
        <f t="shared" si="16"/>
        <v>0.22224324621477462</v>
      </c>
      <c r="M43" s="213"/>
    </row>
    <row r="44" spans="1:13" ht="15.75" customHeight="1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</row>
    <row r="45" spans="1:13" ht="15.75" customHeight="1">
      <c r="A45" s="89" t="s">
        <v>589</v>
      </c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</row>
    <row r="46" spans="1:13" ht="15.75" customHeight="1">
      <c r="A46" s="213" t="s">
        <v>590</v>
      </c>
      <c r="B46" s="122" t="s">
        <v>464</v>
      </c>
      <c r="C46" s="168">
        <v>0</v>
      </c>
      <c r="D46" s="99">
        <f t="shared" ref="D46:L46" si="17">C49</f>
        <v>0</v>
      </c>
      <c r="E46" s="99">
        <f t="shared" si="17"/>
        <v>107.77178250000003</v>
      </c>
      <c r="F46" s="99">
        <f t="shared" si="17"/>
        <v>61.153571586646407</v>
      </c>
      <c r="G46" s="99">
        <f t="shared" si="17"/>
        <v>46.062966412777598</v>
      </c>
      <c r="H46" s="99">
        <f t="shared" si="17"/>
        <v>0</v>
      </c>
      <c r="I46" s="99">
        <f t="shared" si="17"/>
        <v>0</v>
      </c>
      <c r="J46" s="99">
        <f t="shared" si="17"/>
        <v>0</v>
      </c>
      <c r="K46" s="99">
        <f t="shared" si="17"/>
        <v>0</v>
      </c>
      <c r="L46" s="99">
        <f t="shared" si="17"/>
        <v>0</v>
      </c>
      <c r="M46" s="213"/>
    </row>
    <row r="47" spans="1:13" ht="15.75" customHeight="1">
      <c r="A47" s="213" t="s">
        <v>591</v>
      </c>
      <c r="B47" s="122" t="s">
        <v>464</v>
      </c>
      <c r="C47" s="99">
        <v>0</v>
      </c>
      <c r="D47" s="99">
        <f t="shared" ref="D47:L47" si="18">MAX(0,-D40)</f>
        <v>107.77178250000003</v>
      </c>
      <c r="E47" s="99">
        <f t="shared" si="18"/>
        <v>0</v>
      </c>
      <c r="F47" s="99">
        <f t="shared" si="18"/>
        <v>0</v>
      </c>
      <c r="G47" s="99">
        <f t="shared" si="18"/>
        <v>0</v>
      </c>
      <c r="H47" s="99">
        <f t="shared" si="18"/>
        <v>0</v>
      </c>
      <c r="I47" s="99">
        <f t="shared" si="18"/>
        <v>0</v>
      </c>
      <c r="J47" s="99">
        <f t="shared" si="18"/>
        <v>0</v>
      </c>
      <c r="K47" s="99">
        <f t="shared" si="18"/>
        <v>0</v>
      </c>
      <c r="L47" s="99">
        <f t="shared" si="18"/>
        <v>0</v>
      </c>
      <c r="M47" s="213"/>
    </row>
    <row r="48" spans="1:13" ht="15.75" customHeight="1">
      <c r="A48" s="213" t="s">
        <v>592</v>
      </c>
      <c r="B48" s="122" t="s">
        <v>464</v>
      </c>
      <c r="C48" s="99">
        <v>0</v>
      </c>
      <c r="D48" s="99">
        <f t="shared" ref="D48:L48" si="19">MIN(D46, MAX(0,D40)*0.8)</f>
        <v>0</v>
      </c>
      <c r="E48" s="99">
        <f t="shared" si="19"/>
        <v>46.618210913353622</v>
      </c>
      <c r="F48" s="99">
        <f t="shared" si="19"/>
        <v>15.090605173868813</v>
      </c>
      <c r="G48" s="99">
        <f t="shared" si="19"/>
        <v>46.062966412777598</v>
      </c>
      <c r="H48" s="99">
        <f t="shared" si="19"/>
        <v>0</v>
      </c>
      <c r="I48" s="99">
        <f t="shared" si="19"/>
        <v>0</v>
      </c>
      <c r="J48" s="99">
        <f t="shared" si="19"/>
        <v>0</v>
      </c>
      <c r="K48" s="99">
        <f t="shared" si="19"/>
        <v>0</v>
      </c>
      <c r="L48" s="99">
        <f t="shared" si="19"/>
        <v>0</v>
      </c>
      <c r="M48" s="213"/>
    </row>
    <row r="49" spans="1:13" ht="15.75" customHeight="1">
      <c r="A49" s="88" t="s">
        <v>593</v>
      </c>
      <c r="B49" s="122" t="s">
        <v>464</v>
      </c>
      <c r="C49" s="106">
        <f t="shared" ref="C49:L49" si="20">C46+C47-C48</f>
        <v>0</v>
      </c>
      <c r="D49" s="106">
        <f t="shared" si="20"/>
        <v>107.77178250000003</v>
      </c>
      <c r="E49" s="106">
        <f t="shared" si="20"/>
        <v>61.153571586646407</v>
      </c>
      <c r="F49" s="106">
        <f t="shared" si="20"/>
        <v>46.062966412777598</v>
      </c>
      <c r="G49" s="106">
        <f t="shared" si="20"/>
        <v>0</v>
      </c>
      <c r="H49" s="106">
        <f t="shared" si="20"/>
        <v>0</v>
      </c>
      <c r="I49" s="106">
        <f t="shared" si="20"/>
        <v>0</v>
      </c>
      <c r="J49" s="106">
        <f t="shared" si="20"/>
        <v>0</v>
      </c>
      <c r="K49" s="106">
        <f t="shared" si="20"/>
        <v>0</v>
      </c>
      <c r="L49" s="106">
        <f t="shared" si="20"/>
        <v>0</v>
      </c>
      <c r="M49" s="213"/>
    </row>
    <row r="50" spans="1:13" ht="15.75" customHeight="1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</row>
    <row r="51" spans="1:13" ht="15.75" customHeight="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M51"/>
  <sheetViews>
    <sheetView showGridLines="0" topLeftCell="B6" workbookViewId="0">
      <selection activeCell="E24" sqref="E24"/>
    </sheetView>
  </sheetViews>
  <sheetFormatPr defaultColWidth="8.85546875" defaultRowHeight="15"/>
  <cols>
    <col min="1" max="1" width="38" customWidth="1"/>
    <col min="2" max="2" width="4.85546875" bestFit="1" customWidth="1"/>
    <col min="3" max="3" width="18.28515625" customWidth="1"/>
    <col min="4" max="12" width="14.28515625" customWidth="1"/>
  </cols>
  <sheetData>
    <row r="1" spans="1:13" ht="15.75" customHeight="1">
      <c r="A1" s="347" t="s">
        <v>594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213"/>
    </row>
    <row r="2" spans="1:13" ht="15.75" customHeight="1">
      <c r="A2" s="345" t="s">
        <v>595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213"/>
    </row>
    <row r="3" spans="1:13" ht="15.75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s="213" customFormat="1" ht="15.75" customHeight="1"/>
    <row r="5" spans="1:13" ht="15.75" customHeight="1">
      <c r="A5" s="158"/>
      <c r="B5" s="159" t="s">
        <v>423</v>
      </c>
      <c r="C5" s="160">
        <v>2024</v>
      </c>
      <c r="D5" s="160">
        <v>2025</v>
      </c>
      <c r="E5" s="160">
        <v>2026</v>
      </c>
      <c r="F5" s="160">
        <v>2027</v>
      </c>
      <c r="G5" s="160">
        <v>2028</v>
      </c>
      <c r="H5" s="160">
        <v>2029</v>
      </c>
      <c r="I5" s="160">
        <v>2030</v>
      </c>
      <c r="J5" s="160">
        <v>2031</v>
      </c>
      <c r="K5" s="160">
        <v>2032</v>
      </c>
      <c r="L5" s="160">
        <v>2033</v>
      </c>
      <c r="M5" s="213"/>
    </row>
    <row r="6" spans="1:13" ht="15.75" customHeight="1">
      <c r="A6" s="213"/>
      <c r="B6" s="213"/>
      <c r="C6" s="57" t="s">
        <v>424</v>
      </c>
      <c r="D6" s="57" t="s">
        <v>424</v>
      </c>
      <c r="E6" s="58" t="s">
        <v>425</v>
      </c>
      <c r="F6" s="58" t="s">
        <v>425</v>
      </c>
      <c r="G6" s="58" t="s">
        <v>426</v>
      </c>
      <c r="H6" s="58" t="s">
        <v>426</v>
      </c>
      <c r="I6" s="58" t="s">
        <v>426</v>
      </c>
      <c r="J6" s="58" t="s">
        <v>427</v>
      </c>
      <c r="K6" s="58" t="s">
        <v>427</v>
      </c>
      <c r="L6" s="58" t="s">
        <v>427</v>
      </c>
      <c r="M6" s="213"/>
    </row>
    <row r="7" spans="1:13" ht="15.75" customHeight="1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</row>
    <row r="8" spans="1:13" ht="15.75" customHeight="1">
      <c r="A8" s="346" t="s">
        <v>596</v>
      </c>
      <c r="B8" s="352"/>
      <c r="C8" s="352"/>
      <c r="D8" s="352"/>
      <c r="E8" s="352"/>
      <c r="F8" s="352"/>
      <c r="G8" s="352"/>
      <c r="H8" s="352"/>
      <c r="I8" s="352"/>
      <c r="J8" s="352"/>
      <c r="K8" s="352"/>
      <c r="L8" s="352"/>
      <c r="M8" s="213"/>
    </row>
    <row r="9" spans="1:13" ht="15.75" customHeight="1">
      <c r="A9" s="37" t="s">
        <v>597</v>
      </c>
      <c r="B9" s="58" t="s">
        <v>464</v>
      </c>
      <c r="C9" s="99"/>
      <c r="D9" s="99">
        <f>'P&amp;L'!D34</f>
        <v>-110.39678250000003</v>
      </c>
      <c r="E9" s="99">
        <f>'P&amp;L'!E34</f>
        <v>37.699296769260513</v>
      </c>
      <c r="F9" s="99">
        <f>'P&amp;L'!F34</f>
        <v>-17.062569865639034</v>
      </c>
      <c r="G9" s="99">
        <f>'P&amp;L'!G34</f>
        <v>125.56171991532733</v>
      </c>
      <c r="H9" s="99">
        <f>'P&amp;L'!H34</f>
        <v>188.22615314428663</v>
      </c>
      <c r="I9" s="99">
        <f>'P&amp;L'!I34</f>
        <v>294.16747791846888</v>
      </c>
      <c r="J9" s="99">
        <f>'P&amp;L'!J34</f>
        <v>553.44560925313181</v>
      </c>
      <c r="K9" s="99">
        <f>'P&amp;L'!K34</f>
        <v>704.52442182879736</v>
      </c>
      <c r="L9" s="162">
        <f>'P&amp;L'!L34</f>
        <v>909.19501994671964</v>
      </c>
      <c r="M9" s="210" t="s">
        <v>598</v>
      </c>
    </row>
    <row r="10" spans="1:13" ht="15.75" customHeight="1">
      <c r="A10" s="37" t="s">
        <v>599</v>
      </c>
      <c r="B10" s="58" t="s">
        <v>464</v>
      </c>
      <c r="C10" s="99"/>
      <c r="D10" s="99">
        <f>'P&amp;L'!D41</f>
        <v>0</v>
      </c>
      <c r="E10" s="99">
        <f>'P&amp;L'!E41</f>
        <v>2.6805471275178325</v>
      </c>
      <c r="F10" s="99">
        <f>'P&amp;L'!F41</f>
        <v>0.86770979749745658</v>
      </c>
      <c r="G10" s="99">
        <f>'P&amp;L'!G41</f>
        <v>27.689420579091905</v>
      </c>
      <c r="H10" s="99">
        <f>'P&amp;L'!H41</f>
        <v>54.568130406123231</v>
      </c>
      <c r="I10" s="99">
        <f>'P&amp;L'!I41</f>
        <v>81.420160877060141</v>
      </c>
      <c r="J10" s="99">
        <f>'P&amp;L'!J41</f>
        <v>144.49013253415006</v>
      </c>
      <c r="K10" s="99">
        <f>'P&amp;L'!K41</f>
        <v>183.90254752232482</v>
      </c>
      <c r="L10" s="162">
        <f>'P&amp;L'!L41</f>
        <v>236.85025590300296</v>
      </c>
      <c r="M10" s="210" t="s">
        <v>600</v>
      </c>
    </row>
    <row r="11" spans="1:13" ht="15.75" customHeight="1">
      <c r="A11" s="37" t="s">
        <v>601</v>
      </c>
      <c r="B11" s="58" t="s">
        <v>464</v>
      </c>
      <c r="C11" s="99"/>
      <c r="D11" s="99">
        <f t="shared" ref="D11:L11" si="0">D9-D10</f>
        <v>-110.39678250000003</v>
      </c>
      <c r="E11" s="99">
        <f t="shared" si="0"/>
        <v>35.01874964174268</v>
      </c>
      <c r="F11" s="99">
        <f t="shared" si="0"/>
        <v>-17.930279663136492</v>
      </c>
      <c r="G11" s="99">
        <f t="shared" si="0"/>
        <v>97.872299336235429</v>
      </c>
      <c r="H11" s="99">
        <f t="shared" si="0"/>
        <v>133.6580227381634</v>
      </c>
      <c r="I11" s="99">
        <f t="shared" si="0"/>
        <v>212.74731704140873</v>
      </c>
      <c r="J11" s="99">
        <f t="shared" si="0"/>
        <v>408.95547671898174</v>
      </c>
      <c r="K11" s="99">
        <f t="shared" si="0"/>
        <v>520.62187430647259</v>
      </c>
      <c r="L11" s="162">
        <f t="shared" si="0"/>
        <v>672.34476404371662</v>
      </c>
      <c r="M11" s="210" t="s">
        <v>602</v>
      </c>
    </row>
    <row r="12" spans="1:13" ht="15.75" customHeight="1">
      <c r="A12" s="170"/>
      <c r="B12" s="21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213"/>
    </row>
    <row r="13" spans="1:13" ht="15.75" customHeight="1">
      <c r="A13" s="346" t="s">
        <v>603</v>
      </c>
      <c r="B13" s="352"/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213"/>
    </row>
    <row r="14" spans="1:13" ht="15.75" customHeight="1">
      <c r="A14" s="37" t="s">
        <v>604</v>
      </c>
      <c r="B14" s="58" t="s">
        <v>464</v>
      </c>
      <c r="C14" s="213"/>
      <c r="D14" s="99">
        <f>'P&amp;L'!D8*Assumptions!$F$53</f>
        <v>18.492735625000002</v>
      </c>
      <c r="E14" s="99">
        <f>'P&amp;L'!E8*Assumptions!$F$53</f>
        <v>31.150398054162416</v>
      </c>
      <c r="F14" s="99">
        <f>'P&amp;L'!F8*Assumptions!$F$53</f>
        <v>39.963810341315508</v>
      </c>
      <c r="G14" s="99">
        <f>'P&amp;L'!G8*Assumptions!$F$53</f>
        <v>51.106497975093461</v>
      </c>
      <c r="H14" s="99">
        <f>'P&amp;L'!H8*Assumptions!$F$53</f>
        <v>63.078922740552315</v>
      </c>
      <c r="I14" s="99">
        <f>'P&amp;L'!I8*Assumptions!$F$53</f>
        <v>77.80682969975436</v>
      </c>
      <c r="J14" s="99">
        <f>'P&amp;L'!J8*Assumptions!$F$53</f>
        <v>92.644733088978541</v>
      </c>
      <c r="K14" s="99">
        <f>'P&amp;L'!K8*Assumptions!$F$53</f>
        <v>107.54866938783979</v>
      </c>
      <c r="L14" s="163">
        <f>'P&amp;L'!L8*Assumptions!$F$53</f>
        <v>124.87520661340601</v>
      </c>
      <c r="M14" s="210" t="s">
        <v>605</v>
      </c>
    </row>
    <row r="15" spans="1:13" ht="15.75" customHeight="1">
      <c r="A15" s="37" t="s">
        <v>606</v>
      </c>
      <c r="B15" s="58" t="s">
        <v>464</v>
      </c>
      <c r="C15" s="213"/>
      <c r="D15" s="99">
        <f>-'P&amp;L'!D8*Assumptions!$F$49</f>
        <v>-21.134555000000002</v>
      </c>
      <c r="E15" s="99">
        <f>-'P&amp;L'!E8*Assumptions!$F$49</f>
        <v>-35.600454919042761</v>
      </c>
      <c r="F15" s="99">
        <f>-'P&amp;L'!F8*Assumptions!$F$49</f>
        <v>-45.672926104360577</v>
      </c>
      <c r="G15" s="99">
        <f>-'P&amp;L'!G8*Assumptions!$F$49</f>
        <v>-58.407426257249661</v>
      </c>
      <c r="H15" s="99">
        <f>-'P&amp;L'!H8*Assumptions!$F$49</f>
        <v>-72.090197417774078</v>
      </c>
      <c r="I15" s="99">
        <f>-'P&amp;L'!I8*Assumptions!$F$49</f>
        <v>-88.92209108543355</v>
      </c>
      <c r="J15" s="99">
        <f>-'P&amp;L'!J8*Assumptions!$F$49</f>
        <v>-105.8796949588326</v>
      </c>
      <c r="K15" s="99">
        <f>-'P&amp;L'!K8*Assumptions!$F$49</f>
        <v>-122.91276501467405</v>
      </c>
      <c r="L15" s="163">
        <f>-'P&amp;L'!L8*Assumptions!$F$49</f>
        <v>-142.71452184389256</v>
      </c>
      <c r="M15" s="210" t="s">
        <v>607</v>
      </c>
    </row>
    <row r="16" spans="1:13" ht="15.75" customHeight="1">
      <c r="A16" s="37" t="s">
        <v>608</v>
      </c>
      <c r="B16" s="58" t="s">
        <v>464</v>
      </c>
      <c r="C16" s="213"/>
      <c r="D16" s="99">
        <f>'WC &amp; Cash'!D26</f>
        <v>338.35194108732884</v>
      </c>
      <c r="E16" s="99">
        <f>'WC &amp; Cash'!E26</f>
        <v>120.57014895295301</v>
      </c>
      <c r="F16" s="99">
        <f>'WC &amp; Cash'!F26</f>
        <v>165.47383231080346</v>
      </c>
      <c r="G16" s="99">
        <f>'WC &amp; Cash'!G26</f>
        <v>141.90166117347775</v>
      </c>
      <c r="H16" s="99">
        <f>'WC &amp; Cash'!H26</f>
        <v>184.11421751359262</v>
      </c>
      <c r="I16" s="99">
        <f>'WC &amp; Cash'!I26</f>
        <v>225.20042261972924</v>
      </c>
      <c r="J16" s="99">
        <f>'WC &amp; Cash'!J26</f>
        <v>183.6941554330661</v>
      </c>
      <c r="K16" s="99">
        <f>'WC &amp; Cash'!K26</f>
        <v>224.36592486769075</v>
      </c>
      <c r="L16" s="163">
        <f>'WC &amp; Cash'!L26</f>
        <v>253.26978133179429</v>
      </c>
      <c r="M16" s="210" t="s">
        <v>609</v>
      </c>
    </row>
    <row r="17" spans="1:13" ht="15.75" customHeight="1">
      <c r="A17" s="37" t="s">
        <v>610</v>
      </c>
      <c r="B17" s="58"/>
      <c r="C17" s="213"/>
      <c r="D17" s="213"/>
      <c r="E17" s="213"/>
      <c r="F17" s="213"/>
      <c r="G17" s="213"/>
      <c r="H17" s="213"/>
      <c r="I17" s="213"/>
      <c r="J17" s="213"/>
      <c r="K17" s="213"/>
      <c r="L17" s="214"/>
      <c r="M17" s="211" t="s">
        <v>611</v>
      </c>
    </row>
    <row r="18" spans="1:13" ht="15.75" customHeight="1">
      <c r="A18" s="37" t="s">
        <v>612</v>
      </c>
      <c r="B18" s="58" t="s">
        <v>464</v>
      </c>
      <c r="C18" s="213"/>
      <c r="D18" s="106">
        <f t="shared" ref="D18:L18" si="1">D11+D14+D15+D16</f>
        <v>225.3133392123288</v>
      </c>
      <c r="E18" s="106">
        <f t="shared" si="1"/>
        <v>151.13884172981534</v>
      </c>
      <c r="F18" s="106">
        <f t="shared" si="1"/>
        <v>141.83443688462191</v>
      </c>
      <c r="G18" s="106">
        <f t="shared" si="1"/>
        <v>232.47303222755698</v>
      </c>
      <c r="H18" s="106">
        <f t="shared" si="1"/>
        <v>308.76096557453423</v>
      </c>
      <c r="I18" s="106">
        <f t="shared" si="1"/>
        <v>426.83247827545881</v>
      </c>
      <c r="J18" s="106">
        <f t="shared" si="1"/>
        <v>579.41467028219381</v>
      </c>
      <c r="K18" s="106">
        <f t="shared" si="1"/>
        <v>729.62370354732911</v>
      </c>
      <c r="L18" s="155">
        <f t="shared" si="1"/>
        <v>907.77523014502435</v>
      </c>
      <c r="M18" s="210" t="s">
        <v>613</v>
      </c>
    </row>
    <row r="19" spans="1:13" ht="15.75" customHeight="1">
      <c r="A19" s="170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</row>
    <row r="20" spans="1:13" ht="15.75" customHeight="1">
      <c r="A20" s="346" t="s">
        <v>614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213"/>
    </row>
    <row r="21" spans="1:13" ht="15.75" customHeight="1">
      <c r="A21" s="37" t="s">
        <v>615</v>
      </c>
      <c r="B21" s="58" t="s">
        <v>436</v>
      </c>
      <c r="C21" s="213"/>
      <c r="D21" s="94">
        <f>IFERROR(D18/'P&amp;L'!D8,0)</f>
        <v>0.4264359277256205</v>
      </c>
      <c r="E21" s="94">
        <f>IFERROR(E18/'P&amp;L'!E8,0)</f>
        <v>0.16981675326735318</v>
      </c>
      <c r="F21" s="94">
        <f>IFERROR(F18/'P&amp;L'!F8,0)</f>
        <v>0.12421751701262723</v>
      </c>
      <c r="G21" s="94">
        <f>IFERROR(G18/'P&amp;L'!G8,0)</f>
        <v>0.15920785908535176</v>
      </c>
      <c r="H21" s="94">
        <f>IFERROR(H18/'P&amp;L'!H8,0)</f>
        <v>0.17131925095736147</v>
      </c>
      <c r="I21" s="94">
        <f>IFERROR(I18/'P&amp;L'!I8,0)</f>
        <v>0.19200289739717055</v>
      </c>
      <c r="J21" s="94">
        <f>IFERROR(J18/'P&amp;L'!J8,0)</f>
        <v>0.21889548152078742</v>
      </c>
      <c r="K21" s="94">
        <f>IFERROR(K18/'P&amp;L'!K8,0)</f>
        <v>0.23744440325957109</v>
      </c>
      <c r="L21" s="156">
        <f>IFERROR(L18/'P&amp;L'!L8,0)</f>
        <v>0.25443107496460349</v>
      </c>
      <c r="M21" s="211" t="s">
        <v>616</v>
      </c>
    </row>
    <row r="22" spans="1:13" ht="15.75" customHeight="1">
      <c r="A22" s="37" t="s">
        <v>617</v>
      </c>
      <c r="B22" s="58" t="s">
        <v>436</v>
      </c>
      <c r="C22" s="213"/>
      <c r="D22" s="213"/>
      <c r="E22" s="107">
        <f>IFERROR(('P&amp;L'!E8/'P&amp;L'!D8-1)*100 + E21*100,0)</f>
        <v>85.428349122529724</v>
      </c>
      <c r="F22" s="107">
        <f>IFERROR(('P&amp;L'!F8/'P&amp;L'!E8-1)*100 + F21*100,0)</f>
        <v>40.714848540118091</v>
      </c>
      <c r="G22" s="107">
        <f>IFERROR(('P&amp;L'!G8/'P&amp;L'!F8-1)*100 + G21*100,0)</f>
        <v>43.802730944838146</v>
      </c>
      <c r="H22" s="107">
        <f>IFERROR(('P&amp;L'!H8/'P&amp;L'!G8-1)*100 + H21*100,0)</f>
        <v>40.558348818397739</v>
      </c>
      <c r="I22" s="107">
        <f>IFERROR(('P&amp;L'!I8/'P&amp;L'!H8-1)*100 + I21*100,0)</f>
        <v>42.548670338699175</v>
      </c>
      <c r="J22" s="107">
        <f>IFERROR(('P&amp;L'!J8/'P&amp;L'!I8-1)*100 + J21*100,0)</f>
        <v>40.95972932573865</v>
      </c>
      <c r="K22" s="107">
        <f>IFERROR(('P&amp;L'!K8/'P&amp;L'!J8-1)*100 + K21*100,0)</f>
        <v>39.831632551495822</v>
      </c>
      <c r="L22" s="157">
        <f>IFERROR(('P&amp;L'!L8/'P&amp;L'!K8-1)*100 + L21*100,0)</f>
        <v>41.55352273840407</v>
      </c>
      <c r="M22" s="211" t="s">
        <v>618</v>
      </c>
    </row>
    <row r="23" spans="1:1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</row>
    <row r="24" spans="1:13" ht="15.75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</row>
    <row r="25" spans="1:13" ht="15.75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</row>
    <row r="26" spans="1:13" ht="15.75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</row>
    <row r="27" spans="1:13" ht="15.75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</row>
    <row r="28" spans="1:13" ht="15.75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</row>
    <row r="29" spans="1:13" ht="15.75" customHeight="1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</row>
    <row r="30" spans="1:13" ht="15.75" customHeight="1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</row>
    <row r="31" spans="1:13" ht="15.75" customHeight="1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</row>
    <row r="32" spans="1:13" ht="15.75" customHeight="1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</row>
    <row r="33" spans="1:13" ht="15.75" customHeight="1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</row>
    <row r="34" spans="1:13" ht="15.75" customHeight="1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</row>
    <row r="35" spans="1:13" ht="15.75" customHeight="1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</row>
    <row r="36" spans="1:13" ht="15.75" customHeight="1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</row>
    <row r="37" spans="1:13" ht="15.75" customHeight="1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</row>
    <row r="38" spans="1:13" ht="15.75" customHeight="1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</row>
    <row r="39" spans="1:13" ht="15.75" customHeight="1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</row>
    <row r="40" spans="1:13" ht="15.75" customHeight="1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</row>
    <row r="41" spans="1:13" ht="15.75" customHeight="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</row>
    <row r="42" spans="1:13" ht="15.75" customHeight="1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</row>
    <row r="43" spans="1:13" ht="15.75" customHeight="1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</row>
    <row r="44" spans="1:13" ht="15.75" customHeight="1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</row>
    <row r="45" spans="1:13" ht="15.75" customHeight="1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</row>
    <row r="46" spans="1:13" ht="15.75" customHeight="1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</row>
    <row r="47" spans="1:13" ht="15.75" customHeight="1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</row>
    <row r="48" spans="1:13" ht="15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</row>
    <row r="49" spans="1:13" ht="15.75" customHeight="1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</row>
    <row r="50" spans="1:13" ht="15.75" customHeight="1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</row>
    <row r="51" spans="1:13" ht="15.75" customHeight="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</row>
  </sheetData>
  <mergeCells count="5">
    <mergeCell ref="A2:L2"/>
    <mergeCell ref="A8:L8"/>
    <mergeCell ref="A20:L20"/>
    <mergeCell ref="A1:L1"/>
    <mergeCell ref="A13:L13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913-9BEF-42B7-8A6A-D447E5C687D7}">
  <sheetPr>
    <tabColor rgb="FF548235"/>
  </sheetPr>
  <dimension ref="A1:L51"/>
  <sheetViews>
    <sheetView showGridLines="0" topLeftCell="B6" workbookViewId="0">
      <selection activeCell="C8" sqref="C8"/>
    </sheetView>
  </sheetViews>
  <sheetFormatPr defaultColWidth="8.85546875" defaultRowHeight="15"/>
  <cols>
    <col min="13" max="13" width="9.140625"/>
  </cols>
  <sheetData>
    <row r="1" spans="1:12" ht="15.75" customHeight="1">
      <c r="A1" s="285" t="s">
        <v>619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</row>
    <row r="2" spans="1:12" ht="15.75" customHeight="1">
      <c r="A2" s="245" t="s">
        <v>620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</row>
    <row r="3" spans="1:12" ht="15.75" customHeight="1">
      <c r="A3" s="286" t="s">
        <v>621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</row>
    <row r="4" spans="1:12" s="213" customFormat="1" ht="15.75" customHeight="1"/>
    <row r="5" spans="1:12" ht="15.75" customHeight="1">
      <c r="A5" s="257"/>
      <c r="B5" s="257" t="s">
        <v>423</v>
      </c>
      <c r="C5" s="208">
        <v>2024</v>
      </c>
      <c r="D5" s="208">
        <v>2025</v>
      </c>
      <c r="E5" s="208">
        <v>2026</v>
      </c>
      <c r="F5" s="208">
        <v>2027</v>
      </c>
      <c r="G5" s="208">
        <v>2028</v>
      </c>
      <c r="H5" s="208">
        <v>2029</v>
      </c>
      <c r="I5" s="208">
        <v>2030</v>
      </c>
      <c r="J5" s="208">
        <v>2031</v>
      </c>
      <c r="K5" s="208">
        <v>2032</v>
      </c>
      <c r="L5" s="208">
        <v>2033</v>
      </c>
    </row>
    <row r="6" spans="1:12" ht="15.75" customHeight="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</row>
    <row r="7" spans="1:12" ht="15.75" customHeight="1">
      <c r="A7" s="262" t="s">
        <v>622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</row>
    <row r="8" spans="1:12" ht="15.75" customHeight="1">
      <c r="A8" s="255" t="s">
        <v>623</v>
      </c>
      <c r="B8" s="287" t="s">
        <v>624</v>
      </c>
      <c r="C8" s="219"/>
      <c r="D8" s="164">
        <v>6</v>
      </c>
      <c r="E8" s="219"/>
      <c r="F8" s="219"/>
      <c r="G8" s="219"/>
      <c r="H8" s="219"/>
      <c r="I8" s="219"/>
      <c r="J8" s="219"/>
      <c r="K8" s="219"/>
      <c r="L8" s="219"/>
    </row>
    <row r="9" spans="1:12" ht="15.75" customHeight="1">
      <c r="A9" s="255" t="s">
        <v>625</v>
      </c>
      <c r="B9" s="287" t="s">
        <v>626</v>
      </c>
      <c r="C9" s="219"/>
      <c r="D9" s="164">
        <v>45</v>
      </c>
      <c r="E9" s="219"/>
      <c r="F9" s="219"/>
      <c r="G9" s="219"/>
      <c r="H9" s="219"/>
      <c r="I9" s="219"/>
      <c r="J9" s="219"/>
      <c r="K9" s="219"/>
      <c r="L9" s="219"/>
    </row>
    <row r="10" spans="1:12" ht="15.75" customHeight="1">
      <c r="A10" s="255" t="s">
        <v>627</v>
      </c>
      <c r="B10" s="287" t="s">
        <v>626</v>
      </c>
      <c r="C10" s="219"/>
      <c r="D10" s="164">
        <v>18</v>
      </c>
      <c r="E10" s="219"/>
      <c r="F10" s="219"/>
      <c r="G10" s="219"/>
      <c r="H10" s="219"/>
      <c r="I10" s="219"/>
      <c r="J10" s="219"/>
      <c r="K10" s="219"/>
      <c r="L10" s="219"/>
    </row>
    <row r="11" spans="1:12" ht="15.75" customHeight="1">
      <c r="A11" s="255" t="s">
        <v>628</v>
      </c>
      <c r="B11" s="287" t="s">
        <v>436</v>
      </c>
      <c r="C11" s="219"/>
      <c r="D11" s="337">
        <v>1.4999999999999999E-2</v>
      </c>
      <c r="E11" s="219"/>
      <c r="F11" s="219"/>
      <c r="G11" s="219"/>
      <c r="H11" s="219"/>
      <c r="I11" s="219"/>
      <c r="J11" s="219"/>
      <c r="K11" s="219"/>
      <c r="L11" s="219"/>
    </row>
    <row r="12" spans="1:12" ht="15.75" customHeight="1">
      <c r="A12" s="255" t="s">
        <v>629</v>
      </c>
      <c r="B12" s="287" t="s">
        <v>464</v>
      </c>
      <c r="C12" s="219"/>
      <c r="D12" s="288">
        <v>75</v>
      </c>
      <c r="E12" s="219"/>
      <c r="F12" s="219"/>
      <c r="G12" s="219"/>
      <c r="H12" s="219"/>
      <c r="I12" s="219"/>
      <c r="J12" s="219"/>
      <c r="K12" s="219"/>
      <c r="L12" s="219"/>
    </row>
    <row r="13" spans="1:12" ht="15.75" customHeight="1">
      <c r="A13" s="255" t="s">
        <v>630</v>
      </c>
      <c r="B13" s="287" t="s">
        <v>464</v>
      </c>
      <c r="C13" s="219"/>
      <c r="D13" s="288">
        <v>0</v>
      </c>
      <c r="E13" s="288">
        <v>575</v>
      </c>
      <c r="F13" s="219"/>
      <c r="G13" s="219"/>
      <c r="H13" s="219"/>
      <c r="I13" s="219"/>
      <c r="J13" s="219"/>
      <c r="K13" s="219"/>
      <c r="L13" s="219"/>
    </row>
    <row r="14" spans="1:12" ht="15.75" customHeight="1">
      <c r="A14" s="2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</row>
    <row r="15" spans="1:12" ht="15.75" customHeight="1">
      <c r="A15" s="262" t="s">
        <v>631</v>
      </c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</row>
    <row r="16" spans="1:12" ht="15.75" customHeight="1">
      <c r="A16" s="219" t="s">
        <v>632</v>
      </c>
      <c r="B16" s="287" t="s">
        <v>464</v>
      </c>
      <c r="C16" s="99">
        <v>0</v>
      </c>
      <c r="D16" s="99">
        <f>Members!D34*ARPU!D35*$D$8/12</f>
        <v>347.60781250000008</v>
      </c>
      <c r="E16" s="99">
        <f>Members!E34*ARPU!E35*$D$8/12</f>
        <v>478.72962297606887</v>
      </c>
      <c r="F16" s="99">
        <f>Members!F34*ARPU!F35*$D$8/12</f>
        <v>642.26950819949002</v>
      </c>
      <c r="G16" s="99">
        <f>Members!G34*ARPU!G35*$D$8/12</f>
        <v>789.70330841771283</v>
      </c>
      <c r="H16" s="99">
        <f>Members!H34*ARPU!H35*$D$8/12</f>
        <v>977.50256778812718</v>
      </c>
      <c r="I16" s="99">
        <f>Members!I34*ARPU!I35*$D$8/12</f>
        <v>1201.6917492845059</v>
      </c>
      <c r="J16" s="99">
        <f>Members!J34*ARPU!J35*$D$8/12</f>
        <v>1390.7645140125089</v>
      </c>
      <c r="K16" s="99">
        <f>Members!K34*ARPU!K35*$D$8/12</f>
        <v>1618.176125969602</v>
      </c>
      <c r="L16" s="99">
        <f>Members!L34*ARPU!L35*$D$8/12</f>
        <v>1874.4220041947631</v>
      </c>
    </row>
    <row r="17" spans="1:12" ht="15.75" customHeight="1">
      <c r="A17" s="219" t="s">
        <v>633</v>
      </c>
      <c r="B17" s="287" t="s">
        <v>464</v>
      </c>
      <c r="C17" s="99">
        <v>0</v>
      </c>
      <c r="D17" s="99">
        <f>'P&amp;L'!E13*$D$9/365</f>
        <v>11.725335308219178</v>
      </c>
      <c r="E17" s="99">
        <f>'P&amp;L'!F13*$D$9/365</f>
        <v>18.287904924165801</v>
      </c>
      <c r="F17" s="99">
        <f>'P&amp;L'!G13*$D$9/365</f>
        <v>17.379347832709499</v>
      </c>
      <c r="G17" s="99">
        <f>'P&amp;L'!H13*$D$9/365</f>
        <v>20.578748188049513</v>
      </c>
      <c r="H17" s="99">
        <f>'P&amp;L'!I13*$D$9/365</f>
        <v>23.518160125371789</v>
      </c>
      <c r="I17" s="99">
        <f>'P&amp;L'!J13*$D$9/365</f>
        <v>21.264510940012009</v>
      </c>
      <c r="J17" s="99">
        <f>'P&amp;L'!K13*$D$9/365</f>
        <v>23.444158983300952</v>
      </c>
      <c r="K17" s="99">
        <f>'P&amp;L'!L13*$D$9/365</f>
        <v>25.199690652412482</v>
      </c>
      <c r="L17" s="99">
        <f>K17*1.05</f>
        <v>26.459675185033106</v>
      </c>
    </row>
    <row r="18" spans="1:12" ht="15.75" customHeight="1">
      <c r="A18" s="219" t="s">
        <v>634</v>
      </c>
      <c r="B18" s="287" t="s">
        <v>464</v>
      </c>
      <c r="C18" s="99">
        <v>0</v>
      </c>
      <c r="D18" s="99">
        <f>'P&amp;L'!D14*$D$10/365</f>
        <v>10.394922020547947</v>
      </c>
      <c r="E18" s="99">
        <f>'P&amp;L'!E14*$D$10/365</f>
        <v>11.830542583019827</v>
      </c>
      <c r="F18" s="99">
        <f>'P&amp;L'!F14*$D$10/365</f>
        <v>16.633109273440017</v>
      </c>
      <c r="G18" s="99">
        <f>'P&amp;L'!G14*$D$10/365</f>
        <v>19.075808141368384</v>
      </c>
      <c r="H18" s="99">
        <f>'P&amp;L'!H14*$D$10/365</f>
        <v>23.461217407065583</v>
      </c>
      <c r="I18" s="99">
        <f>'P&amp;L'!I14*$D$10/365</f>
        <v>28.530769470428602</v>
      </c>
      <c r="J18" s="99">
        <f>'P&amp;L'!J14*$D$10/365</f>
        <v>31.690909671305299</v>
      </c>
      <c r="K18" s="99">
        <f>'P&amp;L'!K14*$D$10/365</f>
        <v>36.788155521954984</v>
      </c>
      <c r="L18" s="99">
        <f>'P&amp;L'!L14*$D$10/365</f>
        <v>42.497701972165785</v>
      </c>
    </row>
    <row r="19" spans="1:12" ht="15.75" customHeight="1">
      <c r="A19" s="219" t="s">
        <v>635</v>
      </c>
      <c r="B19" s="287" t="s">
        <v>464</v>
      </c>
      <c r="C19" s="99">
        <v>0</v>
      </c>
      <c r="D19" s="99">
        <f>'P&amp;L'!D8*$D$11</f>
        <v>7.9254581249999996</v>
      </c>
      <c r="E19" s="99">
        <f>'P&amp;L'!E8*$D$11</f>
        <v>13.350170594641034</v>
      </c>
      <c r="F19" s="99">
        <f>'P&amp;L'!F8*$D$11</f>
        <v>17.127347289135216</v>
      </c>
      <c r="G19" s="99">
        <f>'P&amp;L'!G8*$D$11</f>
        <v>21.902784846468624</v>
      </c>
      <c r="H19" s="99">
        <f>'P&amp;L'!H8*$D$11</f>
        <v>27.033824031665276</v>
      </c>
      <c r="I19" s="99">
        <f>'P&amp;L'!I8*$D$11</f>
        <v>33.345784157037578</v>
      </c>
      <c r="J19" s="99">
        <f>'P&amp;L'!J8*$D$11</f>
        <v>39.704885609562226</v>
      </c>
      <c r="K19" s="99">
        <f>'P&amp;L'!K8*$D$11</f>
        <v>46.092286880502762</v>
      </c>
      <c r="L19" s="99">
        <f>'P&amp;L'!L8*$D$11</f>
        <v>53.517945691459708</v>
      </c>
    </row>
    <row r="20" spans="1:12" ht="15.75" customHeight="1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</row>
    <row r="21" spans="1:12" ht="15.75" customHeight="1">
      <c r="A21" s="262" t="s">
        <v>636</v>
      </c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</row>
    <row r="22" spans="1:12" ht="15.75" customHeight="1">
      <c r="A22" s="219" t="s">
        <v>637</v>
      </c>
      <c r="B22" s="287" t="s">
        <v>464</v>
      </c>
      <c r="C22" s="219"/>
      <c r="D22" s="99">
        <f t="shared" ref="D22:L22" si="0">D16-C16</f>
        <v>347.60781250000008</v>
      </c>
      <c r="E22" s="99">
        <f t="shared" si="0"/>
        <v>131.12181047606879</v>
      </c>
      <c r="F22" s="99">
        <f t="shared" si="0"/>
        <v>163.53988522342115</v>
      </c>
      <c r="G22" s="99">
        <f t="shared" si="0"/>
        <v>147.43380021822281</v>
      </c>
      <c r="H22" s="99">
        <f t="shared" si="0"/>
        <v>187.79925937041435</v>
      </c>
      <c r="I22" s="99">
        <f t="shared" si="0"/>
        <v>224.18918149637875</v>
      </c>
      <c r="J22" s="99">
        <f t="shared" si="0"/>
        <v>189.07276472800299</v>
      </c>
      <c r="K22" s="99">
        <f t="shared" si="0"/>
        <v>227.4116119570931</v>
      </c>
      <c r="L22" s="99">
        <f t="shared" si="0"/>
        <v>256.24587822516105</v>
      </c>
    </row>
    <row r="23" spans="1:12" ht="15.75" customHeight="1">
      <c r="A23" s="219" t="s">
        <v>638</v>
      </c>
      <c r="B23" s="287" t="s">
        <v>464</v>
      </c>
      <c r="C23" s="219"/>
      <c r="D23" s="99">
        <f t="shared" ref="D23:L23" si="1">-(D17-C17)</f>
        <v>-11.725335308219178</v>
      </c>
      <c r="E23" s="99">
        <f t="shared" si="1"/>
        <v>-6.5625696159466234</v>
      </c>
      <c r="F23" s="99">
        <f t="shared" si="1"/>
        <v>0.90855709145630215</v>
      </c>
      <c r="G23" s="99">
        <f t="shared" si="1"/>
        <v>-3.1994003553400141</v>
      </c>
      <c r="H23" s="99">
        <f t="shared" si="1"/>
        <v>-2.9394119373222765</v>
      </c>
      <c r="I23" s="99">
        <f t="shared" si="1"/>
        <v>2.2536491853597802</v>
      </c>
      <c r="J23" s="99">
        <f t="shared" si="1"/>
        <v>-2.1796480432889425</v>
      </c>
      <c r="K23" s="99">
        <f t="shared" si="1"/>
        <v>-1.7555316691115301</v>
      </c>
      <c r="L23" s="99">
        <f t="shared" si="1"/>
        <v>-1.2599845326206243</v>
      </c>
    </row>
    <row r="24" spans="1:12" ht="15.75" customHeight="1">
      <c r="A24" s="219" t="s">
        <v>639</v>
      </c>
      <c r="B24" s="287" t="s">
        <v>464</v>
      </c>
      <c r="C24" s="219"/>
      <c r="D24" s="99">
        <f t="shared" ref="D24:L24" si="2">D18-C18</f>
        <v>10.394922020547947</v>
      </c>
      <c r="E24" s="99">
        <f t="shared" si="2"/>
        <v>1.4356205624718807</v>
      </c>
      <c r="F24" s="99">
        <f t="shared" si="2"/>
        <v>4.8025666904201891</v>
      </c>
      <c r="G24" s="99">
        <f t="shared" si="2"/>
        <v>2.4426988679283674</v>
      </c>
      <c r="H24" s="99">
        <f t="shared" si="2"/>
        <v>4.3854092656971986</v>
      </c>
      <c r="I24" s="99">
        <f t="shared" si="2"/>
        <v>5.0695520633630196</v>
      </c>
      <c r="J24" s="99">
        <f t="shared" si="2"/>
        <v>3.1601402008766968</v>
      </c>
      <c r="K24" s="99">
        <f t="shared" si="2"/>
        <v>5.0972458506496849</v>
      </c>
      <c r="L24" s="99">
        <f t="shared" si="2"/>
        <v>5.7095464502108015</v>
      </c>
    </row>
    <row r="25" spans="1:12" ht="15.75" customHeight="1">
      <c r="A25" s="219" t="s">
        <v>640</v>
      </c>
      <c r="B25" s="287" t="s">
        <v>464</v>
      </c>
      <c r="C25" s="219"/>
      <c r="D25" s="99">
        <f t="shared" ref="D25:L25" si="3">-(D19-C19)</f>
        <v>-7.9254581249999996</v>
      </c>
      <c r="E25" s="99">
        <f t="shared" si="3"/>
        <v>-5.424712469641034</v>
      </c>
      <c r="F25" s="99">
        <f t="shared" si="3"/>
        <v>-3.777176694494182</v>
      </c>
      <c r="G25" s="99">
        <f t="shared" si="3"/>
        <v>-4.775437557333408</v>
      </c>
      <c r="H25" s="99">
        <f t="shared" si="3"/>
        <v>-5.1310391851966521</v>
      </c>
      <c r="I25" s="99">
        <f t="shared" si="3"/>
        <v>-6.3119601253723019</v>
      </c>
      <c r="J25" s="99">
        <f t="shared" si="3"/>
        <v>-6.3591014525246479</v>
      </c>
      <c r="K25" s="99">
        <f t="shared" si="3"/>
        <v>-6.3874012709405363</v>
      </c>
      <c r="L25" s="99">
        <f t="shared" si="3"/>
        <v>-7.4256588109569464</v>
      </c>
    </row>
    <row r="26" spans="1:12" ht="15.75" customHeight="1">
      <c r="A26" s="273" t="s">
        <v>641</v>
      </c>
      <c r="B26" s="287" t="s">
        <v>464</v>
      </c>
      <c r="C26" s="219"/>
      <c r="D26" s="106">
        <f t="shared" ref="D26:L26" si="4">SUM(D22:D25)</f>
        <v>338.35194108732884</v>
      </c>
      <c r="E26" s="106">
        <f t="shared" si="4"/>
        <v>120.57014895295301</v>
      </c>
      <c r="F26" s="106">
        <f t="shared" si="4"/>
        <v>165.47383231080346</v>
      </c>
      <c r="G26" s="106">
        <f t="shared" si="4"/>
        <v>141.90166117347775</v>
      </c>
      <c r="H26" s="106">
        <f t="shared" si="4"/>
        <v>184.11421751359262</v>
      </c>
      <c r="I26" s="106">
        <f t="shared" si="4"/>
        <v>225.20042261972924</v>
      </c>
      <c r="J26" s="106">
        <f t="shared" si="4"/>
        <v>183.6941554330661</v>
      </c>
      <c r="K26" s="106">
        <f t="shared" si="4"/>
        <v>224.36592486769075</v>
      </c>
      <c r="L26" s="106">
        <f t="shared" si="4"/>
        <v>253.26978133179429</v>
      </c>
    </row>
    <row r="27" spans="1:12" ht="15.75" customHeight="1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</row>
    <row r="28" spans="1:12" ht="15.75" customHeight="1">
      <c r="A28" s="262" t="s">
        <v>642</v>
      </c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</row>
    <row r="29" spans="1:12" ht="15.75" customHeight="1">
      <c r="A29" s="219" t="s">
        <v>643</v>
      </c>
      <c r="B29" s="287" t="s">
        <v>464</v>
      </c>
      <c r="C29" s="219"/>
      <c r="D29" s="99">
        <f>$D$12</f>
        <v>75</v>
      </c>
      <c r="E29" s="99">
        <f t="shared" ref="E29:L29" si="5">D33</f>
        <v>300.3133392123288</v>
      </c>
      <c r="F29" s="99">
        <f t="shared" si="5"/>
        <v>1026.4521809421442</v>
      </c>
      <c r="G29" s="99">
        <f t="shared" si="5"/>
        <v>1168.2866178267661</v>
      </c>
      <c r="H29" s="99">
        <f t="shared" si="5"/>
        <v>1400.7596500543232</v>
      </c>
      <c r="I29" s="99">
        <f t="shared" si="5"/>
        <v>1709.5206156288573</v>
      </c>
      <c r="J29" s="99">
        <f t="shared" si="5"/>
        <v>2136.3530939043162</v>
      </c>
      <c r="K29" s="99">
        <f t="shared" si="5"/>
        <v>2715.7677641865102</v>
      </c>
      <c r="L29" s="99">
        <f t="shared" si="5"/>
        <v>3445.3914677338394</v>
      </c>
    </row>
    <row r="30" spans="1:12" ht="15.75" customHeight="1">
      <c r="A30" s="255" t="s">
        <v>644</v>
      </c>
      <c r="B30" s="287" t="s">
        <v>464</v>
      </c>
      <c r="C30" s="219"/>
      <c r="D30" s="168">
        <f>$D$13</f>
        <v>0</v>
      </c>
      <c r="E30" s="168">
        <f>$E$13</f>
        <v>575</v>
      </c>
      <c r="F30" s="219"/>
      <c r="G30" s="219"/>
      <c r="H30" s="219"/>
      <c r="I30" s="219"/>
      <c r="J30" s="219"/>
      <c r="K30" s="219"/>
      <c r="L30" s="219"/>
    </row>
    <row r="31" spans="1:12" ht="15.75" customHeight="1">
      <c r="A31" s="255" t="s">
        <v>645</v>
      </c>
      <c r="B31" s="287" t="s">
        <v>464</v>
      </c>
      <c r="C31" s="219"/>
      <c r="D31" s="169">
        <f>FCF!D18</f>
        <v>225.3133392123288</v>
      </c>
      <c r="E31" s="169">
        <f>FCF!E18</f>
        <v>151.13884172981534</v>
      </c>
      <c r="F31" s="169">
        <f>FCF!F18</f>
        <v>141.83443688462191</v>
      </c>
      <c r="G31" s="169">
        <f>FCF!G18</f>
        <v>232.47303222755698</v>
      </c>
      <c r="H31" s="169">
        <f>FCF!H18</f>
        <v>308.76096557453423</v>
      </c>
      <c r="I31" s="169">
        <f>FCF!I18</f>
        <v>426.83247827545881</v>
      </c>
      <c r="J31" s="169">
        <f>FCF!J18</f>
        <v>579.41467028219381</v>
      </c>
      <c r="K31" s="169">
        <f>FCF!K18</f>
        <v>729.62370354732911</v>
      </c>
      <c r="L31" s="169">
        <f>FCF!L18</f>
        <v>907.77523014502435</v>
      </c>
    </row>
    <row r="32" spans="1:12" ht="15.75" customHeight="1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</row>
    <row r="33" spans="1:12" ht="15.75" customHeight="1">
      <c r="A33" s="273" t="s">
        <v>646</v>
      </c>
      <c r="B33" s="287" t="s">
        <v>464</v>
      </c>
      <c r="C33" s="219"/>
      <c r="D33" s="106">
        <f>D29+D30+D31</f>
        <v>300.3133392123288</v>
      </c>
      <c r="E33" s="106">
        <f>E29+E30+E31</f>
        <v>1026.4521809421442</v>
      </c>
      <c r="F33" s="106">
        <f t="shared" ref="F33:L33" si="6">F29+F31</f>
        <v>1168.2866178267661</v>
      </c>
      <c r="G33" s="106">
        <f t="shared" si="6"/>
        <v>1400.7596500543232</v>
      </c>
      <c r="H33" s="106">
        <f t="shared" si="6"/>
        <v>1709.5206156288573</v>
      </c>
      <c r="I33" s="106">
        <f t="shared" si="6"/>
        <v>2136.3530939043162</v>
      </c>
      <c r="J33" s="106">
        <f t="shared" si="6"/>
        <v>2715.7677641865102</v>
      </c>
      <c r="K33" s="106">
        <f t="shared" si="6"/>
        <v>3445.3914677338394</v>
      </c>
      <c r="L33" s="106">
        <f t="shared" si="6"/>
        <v>4353.1666978788635</v>
      </c>
    </row>
    <row r="34" spans="1:12" ht="15.75" customHeight="1">
      <c r="A34" s="219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</row>
    <row r="35" spans="1:12" ht="15.75" customHeight="1">
      <c r="A35" s="219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</row>
    <row r="36" spans="1:12" ht="15.75" customHeight="1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</row>
    <row r="37" spans="1:12" ht="15.75" customHeight="1">
      <c r="A37" s="219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</row>
    <row r="38" spans="1:12" ht="15.75" customHeight="1">
      <c r="A38" s="219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</row>
    <row r="39" spans="1:12" ht="15.75" customHeight="1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</row>
    <row r="40" spans="1:12" ht="15.75" customHeight="1">
      <c r="A40" s="219" t="s">
        <v>647</v>
      </c>
      <c r="B40" s="287" t="s">
        <v>464</v>
      </c>
      <c r="C40" s="219"/>
      <c r="D40" s="99">
        <f>$D$12</f>
        <v>75</v>
      </c>
      <c r="E40" s="99">
        <f t="shared" ref="E40:L40" si="7">D44</f>
        <v>300.3133392123288</v>
      </c>
      <c r="F40" s="99">
        <f t="shared" si="7"/>
        <v>1026.4521809421442</v>
      </c>
      <c r="G40" s="99">
        <f t="shared" si="7"/>
        <v>1168.2866178267661</v>
      </c>
      <c r="H40" s="99">
        <f t="shared" si="7"/>
        <v>1400.7596500543232</v>
      </c>
      <c r="I40" s="99">
        <f t="shared" si="7"/>
        <v>1709.5206156288573</v>
      </c>
      <c r="J40" s="99">
        <f t="shared" si="7"/>
        <v>2136.3530939043162</v>
      </c>
      <c r="K40" s="99">
        <f t="shared" si="7"/>
        <v>2715.7677641865102</v>
      </c>
      <c r="L40" s="99">
        <f t="shared" si="7"/>
        <v>3445.3914677338394</v>
      </c>
    </row>
    <row r="41" spans="1:12" ht="15.75" customHeight="1">
      <c r="A41" s="219" t="s">
        <v>644</v>
      </c>
      <c r="B41" s="287" t="s">
        <v>464</v>
      </c>
      <c r="C41" s="219"/>
      <c r="D41" s="99">
        <f>$D$13</f>
        <v>0</v>
      </c>
      <c r="E41" s="99">
        <f>$E$13</f>
        <v>575</v>
      </c>
      <c r="F41" s="219"/>
      <c r="G41" s="219"/>
      <c r="H41" s="219"/>
      <c r="I41" s="219"/>
      <c r="J41" s="219"/>
      <c r="K41" s="219"/>
      <c r="L41" s="219"/>
    </row>
    <row r="42" spans="1:12" ht="15.75" customHeight="1">
      <c r="A42" s="219" t="s">
        <v>648</v>
      </c>
      <c r="B42" s="287" t="s">
        <v>464</v>
      </c>
      <c r="C42" s="219"/>
      <c r="D42" s="99">
        <f>FCF!D11+FCF!D14+FCF!D15+D26</f>
        <v>225.3133392123288</v>
      </c>
      <c r="E42" s="99">
        <f>FCF!E11+FCF!E14+FCF!E15+E26</f>
        <v>151.13884172981534</v>
      </c>
      <c r="F42" s="99">
        <f>FCF!F11+FCF!F14+FCF!F15+F26</f>
        <v>141.83443688462191</v>
      </c>
      <c r="G42" s="99">
        <f>FCF!G11+FCF!G14+FCF!G15+G26</f>
        <v>232.47303222755698</v>
      </c>
      <c r="H42" s="99">
        <f>FCF!H11+FCF!H14+FCF!H15+H26</f>
        <v>308.76096557453423</v>
      </c>
      <c r="I42" s="99">
        <f>FCF!I11+FCF!I14+FCF!I15+I26</f>
        <v>426.83247827545881</v>
      </c>
      <c r="J42" s="99">
        <f>FCF!J11+FCF!J14+FCF!J15+J26</f>
        <v>579.41467028219381</v>
      </c>
      <c r="K42" s="99">
        <f>FCF!K11+FCF!K14+FCF!K15+K26</f>
        <v>729.62370354732911</v>
      </c>
      <c r="L42" s="99">
        <f>FCF!L11+FCF!L14+FCF!L15+L26</f>
        <v>907.77523014502435</v>
      </c>
    </row>
    <row r="43" spans="1:12" ht="15.75" customHeight="1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</row>
    <row r="44" spans="1:12" ht="15.75" customHeight="1">
      <c r="A44" s="273" t="s">
        <v>649</v>
      </c>
      <c r="B44" s="287" t="s">
        <v>464</v>
      </c>
      <c r="C44" s="219"/>
      <c r="D44" s="106">
        <f>D40+D41+D42</f>
        <v>300.3133392123288</v>
      </c>
      <c r="E44" s="106">
        <f>E40+E41+E42</f>
        <v>1026.4521809421442</v>
      </c>
      <c r="F44" s="106">
        <f t="shared" ref="F44:L44" si="8">F40+F42</f>
        <v>1168.2866178267661</v>
      </c>
      <c r="G44" s="106">
        <f t="shared" si="8"/>
        <v>1400.7596500543232</v>
      </c>
      <c r="H44" s="106">
        <f t="shared" si="8"/>
        <v>1709.5206156288573</v>
      </c>
      <c r="I44" s="106">
        <f t="shared" si="8"/>
        <v>2136.3530939043162</v>
      </c>
      <c r="J44" s="106">
        <f t="shared" si="8"/>
        <v>2715.7677641865102</v>
      </c>
      <c r="K44" s="106">
        <f t="shared" si="8"/>
        <v>3445.3914677338394</v>
      </c>
      <c r="L44" s="106">
        <f t="shared" si="8"/>
        <v>4353.1666978788635</v>
      </c>
    </row>
    <row r="45" spans="1:12" ht="15.75" customHeight="1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</row>
    <row r="46" spans="1:12" ht="15.75" customHeight="1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</row>
    <row r="47" spans="1:12" ht="15.75" customHeight="1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</row>
    <row r="48" spans="1:12" ht="15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</row>
    <row r="49" spans="1:12" ht="15.75" customHeight="1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</row>
    <row r="50" spans="1:12" ht="15.75" customHeight="1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</row>
    <row r="51" spans="1:12" ht="15.75" customHeight="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M61"/>
  <sheetViews>
    <sheetView showGridLines="0" topLeftCell="B6" zoomScaleNormal="100" workbookViewId="0">
      <selection activeCell="J53" sqref="J53"/>
    </sheetView>
  </sheetViews>
  <sheetFormatPr defaultColWidth="8.85546875" defaultRowHeight="15"/>
  <cols>
    <col min="1" max="1" width="94" bestFit="1" customWidth="1"/>
    <col min="2" max="2" width="5" customWidth="1"/>
    <col min="3" max="11" width="14.28515625" customWidth="1"/>
    <col min="12" max="12" width="14" customWidth="1"/>
  </cols>
  <sheetData>
    <row r="1" spans="1:13" ht="15.75" customHeight="1">
      <c r="A1" s="11" t="s">
        <v>650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5.75" customHeight="1">
      <c r="A2" s="123" t="s">
        <v>651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3" ht="15.75" customHeight="1">
      <c r="A3" s="171" t="s">
        <v>652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5.75" customHeight="1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</row>
    <row r="5" spans="1:13" ht="15.75" customHeight="1">
      <c r="A5" s="125"/>
      <c r="B5" s="125" t="s">
        <v>423</v>
      </c>
      <c r="C5" s="125" t="s">
        <v>511</v>
      </c>
      <c r="D5" s="125" t="s">
        <v>512</v>
      </c>
      <c r="E5" s="125" t="s">
        <v>513</v>
      </c>
      <c r="F5" s="125" t="s">
        <v>514</v>
      </c>
      <c r="G5" s="125" t="s">
        <v>515</v>
      </c>
      <c r="H5" s="125" t="s">
        <v>516</v>
      </c>
      <c r="I5" s="125" t="s">
        <v>517</v>
      </c>
      <c r="J5" s="125" t="s">
        <v>518</v>
      </c>
      <c r="K5" s="125" t="s">
        <v>519</v>
      </c>
      <c r="L5" s="158"/>
      <c r="M5" s="213"/>
    </row>
    <row r="6" spans="1:13" ht="15.75" customHeight="1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</row>
    <row r="7" spans="1:13" ht="15.75" customHeight="1">
      <c r="A7" s="110" t="s">
        <v>653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215"/>
      <c r="M7" s="213"/>
    </row>
    <row r="8" spans="1:13" ht="15.75" customHeight="1">
      <c r="A8" s="96" t="s">
        <v>654</v>
      </c>
      <c r="B8" s="13" t="s">
        <v>464</v>
      </c>
      <c r="C8" s="97">
        <f>'P&amp;L'!D8</f>
        <v>528.36387500000001</v>
      </c>
      <c r="D8" s="97">
        <f>'P&amp;L'!E8</f>
        <v>890.01137297606897</v>
      </c>
      <c r="E8" s="97">
        <f>'P&amp;L'!F8</f>
        <v>1141.8231526090144</v>
      </c>
      <c r="F8" s="97">
        <f>'P&amp;L'!G8</f>
        <v>1460.1856564312416</v>
      </c>
      <c r="G8" s="97">
        <f>'P&amp;L'!H8</f>
        <v>1802.2549354443518</v>
      </c>
      <c r="H8" s="97">
        <f>'P&amp;L'!I8</f>
        <v>2223.0522771358387</v>
      </c>
      <c r="I8" s="97">
        <f>'P&amp;L'!J8</f>
        <v>2646.9923739708152</v>
      </c>
      <c r="J8" s="97">
        <f>'P&amp;L'!K8</f>
        <v>3072.819125366851</v>
      </c>
      <c r="K8" s="97">
        <f>'P&amp;L'!L8</f>
        <v>3567.8630460973141</v>
      </c>
      <c r="L8" s="10"/>
      <c r="M8" s="66" t="s">
        <v>655</v>
      </c>
    </row>
    <row r="9" spans="1:13" ht="15.75" customHeight="1">
      <c r="A9" s="4" t="s">
        <v>612</v>
      </c>
      <c r="B9" s="13" t="s">
        <v>464</v>
      </c>
      <c r="C9" s="97">
        <f>FCF!D18</f>
        <v>225.3133392123288</v>
      </c>
      <c r="D9" s="97">
        <f>FCF!E18</f>
        <v>151.13884172981534</v>
      </c>
      <c r="E9" s="97">
        <f>FCF!F18</f>
        <v>141.83443688462191</v>
      </c>
      <c r="F9" s="97">
        <f>FCF!G18</f>
        <v>232.47303222755698</v>
      </c>
      <c r="G9" s="97">
        <f>FCF!H18</f>
        <v>308.76096557453423</v>
      </c>
      <c r="H9" s="97">
        <f>FCF!I18</f>
        <v>426.83247827545881</v>
      </c>
      <c r="I9" s="97">
        <f>FCF!J18</f>
        <v>579.41467028219381</v>
      </c>
      <c r="J9" s="97">
        <f>FCF!K18</f>
        <v>729.62370354732911</v>
      </c>
      <c r="K9" s="97">
        <f>FCF!L18</f>
        <v>907.77523014502435</v>
      </c>
      <c r="L9" s="213"/>
      <c r="M9" s="66" t="s">
        <v>656</v>
      </c>
    </row>
    <row r="10" spans="1:13" ht="15.75" customHeight="1">
      <c r="A10" s="96" t="s">
        <v>615</v>
      </c>
      <c r="B10" s="13" t="s">
        <v>436</v>
      </c>
      <c r="C10" s="112">
        <f t="shared" ref="C10:K10" si="0">IFERROR(C9/C8,0)</f>
        <v>0.4264359277256205</v>
      </c>
      <c r="D10" s="112">
        <f t="shared" si="0"/>
        <v>0.16981675326735318</v>
      </c>
      <c r="E10" s="112">
        <f t="shared" si="0"/>
        <v>0.12421751701262723</v>
      </c>
      <c r="F10" s="112">
        <f t="shared" si="0"/>
        <v>0.15920785908535176</v>
      </c>
      <c r="G10" s="112">
        <f t="shared" si="0"/>
        <v>0.17131925095736147</v>
      </c>
      <c r="H10" s="112">
        <f t="shared" si="0"/>
        <v>0.19200289739717055</v>
      </c>
      <c r="I10" s="112">
        <f t="shared" si="0"/>
        <v>0.21889548152078742</v>
      </c>
      <c r="J10" s="112">
        <f t="shared" si="0"/>
        <v>0.23744440325957109</v>
      </c>
      <c r="K10" s="112">
        <f t="shared" si="0"/>
        <v>0.25443107496460349</v>
      </c>
      <c r="L10" s="213"/>
      <c r="M10" s="213"/>
    </row>
    <row r="11" spans="1:13" ht="15.75" customHeight="1">
      <c r="A11" s="7"/>
      <c r="B11" s="13"/>
      <c r="C11" s="22"/>
      <c r="D11" s="22"/>
      <c r="E11" s="22"/>
      <c r="F11" s="22"/>
      <c r="G11" s="22"/>
      <c r="H11" s="22"/>
      <c r="I11" s="22"/>
      <c r="J11" s="22"/>
      <c r="K11" s="22"/>
      <c r="L11" s="213"/>
      <c r="M11" s="213"/>
    </row>
    <row r="12" spans="1:13" ht="15.75" customHeight="1">
      <c r="A12" s="96" t="s">
        <v>657</v>
      </c>
      <c r="B12" s="13" t="s">
        <v>436</v>
      </c>
      <c r="C12" s="113" t="s">
        <v>469</v>
      </c>
      <c r="D12" s="114">
        <f>Assumptions!$F$74</f>
        <v>0.10844999999999999</v>
      </c>
      <c r="E12" s="114">
        <f>Assumptions!$F$74</f>
        <v>0.10844999999999999</v>
      </c>
      <c r="F12" s="114">
        <f>Assumptions!$F$74</f>
        <v>0.10844999999999999</v>
      </c>
      <c r="G12" s="114">
        <f>Assumptions!$F$74</f>
        <v>0.10844999999999999</v>
      </c>
      <c r="H12" s="114">
        <f>Assumptions!$F$74</f>
        <v>0.10844999999999999</v>
      </c>
      <c r="I12" s="114">
        <f>Assumptions!$F$74</f>
        <v>0.10844999999999999</v>
      </c>
      <c r="J12" s="114">
        <f>Assumptions!$F$74</f>
        <v>0.10844999999999999</v>
      </c>
      <c r="K12" s="114">
        <f>Assumptions!$F$74</f>
        <v>0.10844999999999999</v>
      </c>
      <c r="L12" s="213"/>
      <c r="M12" s="66" t="s">
        <v>658</v>
      </c>
    </row>
    <row r="13" spans="1:13" ht="15.75" customHeight="1">
      <c r="A13" s="96" t="s">
        <v>659</v>
      </c>
      <c r="B13" s="13" t="s">
        <v>660</v>
      </c>
      <c r="C13" s="113" t="s">
        <v>469</v>
      </c>
      <c r="D13" s="18">
        <v>0.5</v>
      </c>
      <c r="E13" s="18">
        <v>1.5</v>
      </c>
      <c r="F13" s="18">
        <v>2.5</v>
      </c>
      <c r="G13" s="18">
        <v>3.5</v>
      </c>
      <c r="H13" s="18">
        <v>4.5</v>
      </c>
      <c r="I13" s="18">
        <v>5.5</v>
      </c>
      <c r="J13" s="18">
        <v>6.5</v>
      </c>
      <c r="K13" s="18">
        <v>7.5</v>
      </c>
      <c r="L13" s="213"/>
      <c r="M13" s="66" t="s">
        <v>661</v>
      </c>
    </row>
    <row r="14" spans="1:13" ht="15.75" customHeight="1">
      <c r="A14" s="96" t="s">
        <v>662</v>
      </c>
      <c r="B14" s="13" t="s">
        <v>534</v>
      </c>
      <c r="C14" s="113" t="s">
        <v>469</v>
      </c>
      <c r="D14" s="115">
        <f t="shared" ref="D14:K14" si="1">1/(1+D12)^D13</f>
        <v>0.94982139100790142</v>
      </c>
      <c r="E14" s="115">
        <f t="shared" si="1"/>
        <v>0.85689150706653572</v>
      </c>
      <c r="F14" s="115">
        <f t="shared" si="1"/>
        <v>0.77305382025940339</v>
      </c>
      <c r="G14" s="115">
        <f t="shared" si="1"/>
        <v>0.69741875615445303</v>
      </c>
      <c r="H14" s="115">
        <f t="shared" si="1"/>
        <v>0.62918377568176564</v>
      </c>
      <c r="I14" s="115">
        <f t="shared" si="1"/>
        <v>0.56762485965245668</v>
      </c>
      <c r="J14" s="115">
        <f t="shared" si="1"/>
        <v>0.51208882642650255</v>
      </c>
      <c r="K14" s="115">
        <f t="shared" si="1"/>
        <v>0.4619864012147617</v>
      </c>
      <c r="L14" s="10"/>
      <c r="M14" s="213"/>
    </row>
    <row r="15" spans="1:13" ht="15.75" customHeight="1">
      <c r="A15" s="4" t="s">
        <v>663</v>
      </c>
      <c r="B15" s="13" t="s">
        <v>464</v>
      </c>
      <c r="C15" s="113" t="s">
        <v>469</v>
      </c>
      <c r="D15" s="116">
        <f t="shared" ref="D15:K15" si="2">D9*D14</f>
        <v>143.55490488713627</v>
      </c>
      <c r="E15" s="116">
        <f t="shared" si="2"/>
        <v>121.53672437599711</v>
      </c>
      <c r="F15" s="116">
        <f t="shared" si="2"/>
        <v>179.71416567080033</v>
      </c>
      <c r="G15" s="116">
        <f t="shared" si="2"/>
        <v>215.33568856003956</v>
      </c>
      <c r="H15" s="116">
        <f t="shared" si="2"/>
        <v>268.55607026495841</v>
      </c>
      <c r="I15" s="116">
        <f t="shared" si="2"/>
        <v>328.89017089950471</v>
      </c>
      <c r="J15" s="116">
        <f t="shared" si="2"/>
        <v>373.63214608251019</v>
      </c>
      <c r="K15" s="116">
        <f t="shared" si="2"/>
        <v>419.37981168660184</v>
      </c>
      <c r="L15" s="213"/>
      <c r="M15" s="212" t="s">
        <v>664</v>
      </c>
    </row>
    <row r="16" spans="1:13" ht="15.75" customHeight="1">
      <c r="A16" s="7"/>
      <c r="B16" s="13"/>
      <c r="C16" s="19"/>
      <c r="D16" s="19"/>
      <c r="E16" s="19"/>
      <c r="F16" s="19"/>
      <c r="G16" s="19"/>
      <c r="H16" s="19"/>
      <c r="I16" s="19"/>
      <c r="J16" s="19"/>
      <c r="K16" s="19"/>
      <c r="L16" s="213"/>
      <c r="M16" s="213"/>
    </row>
    <row r="17" spans="1:12" ht="15.75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</row>
    <row r="18" spans="1:12" ht="15.75" customHeight="1">
      <c r="A18" s="14" t="s">
        <v>665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213"/>
    </row>
    <row r="19" spans="1:12" ht="15.75" customHeight="1">
      <c r="A19" s="7" t="s">
        <v>657</v>
      </c>
      <c r="B19" s="13" t="s">
        <v>436</v>
      </c>
      <c r="C19" s="25"/>
      <c r="D19" s="25"/>
      <c r="E19" s="25"/>
      <c r="F19" s="25"/>
      <c r="G19" s="25"/>
      <c r="H19" s="25"/>
      <c r="I19" s="25"/>
      <c r="J19" s="25"/>
      <c r="K19" s="25"/>
      <c r="L19" s="10" t="s">
        <v>666</v>
      </c>
    </row>
    <row r="20" spans="1:12" ht="15.75" customHeight="1">
      <c r="A20" s="7" t="s">
        <v>667</v>
      </c>
      <c r="B20" s="13" t="s">
        <v>461</v>
      </c>
      <c r="C20" s="7"/>
      <c r="D20" s="7"/>
      <c r="E20" s="7"/>
      <c r="F20" s="7"/>
      <c r="G20" s="7"/>
      <c r="H20" s="7"/>
      <c r="I20" s="7"/>
      <c r="J20" s="7"/>
      <c r="K20" s="7"/>
      <c r="L20" s="10" t="s">
        <v>661</v>
      </c>
    </row>
    <row r="21" spans="1:12" ht="15.75" customHeight="1">
      <c r="A21" s="7" t="s">
        <v>662</v>
      </c>
      <c r="B21" s="13" t="s">
        <v>534</v>
      </c>
      <c r="C21" s="23"/>
      <c r="D21" s="23"/>
      <c r="E21" s="23"/>
      <c r="F21" s="23"/>
      <c r="G21" s="23"/>
      <c r="H21" s="23"/>
      <c r="I21" s="23"/>
      <c r="J21" s="23"/>
      <c r="K21" s="23"/>
      <c r="L21" s="213"/>
    </row>
    <row r="22" spans="1:12" ht="15.75" customHeight="1">
      <c r="A22" s="7" t="s">
        <v>668</v>
      </c>
      <c r="B22" s="13" t="s">
        <v>464</v>
      </c>
      <c r="C22" s="22"/>
      <c r="D22" s="22"/>
      <c r="E22" s="22"/>
      <c r="F22" s="22"/>
      <c r="G22" s="22"/>
      <c r="H22" s="22"/>
      <c r="I22" s="22"/>
      <c r="J22" s="22"/>
      <c r="K22" s="22"/>
      <c r="L22" s="213"/>
    </row>
    <row r="23" spans="1:12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</row>
    <row r="24" spans="1:12" ht="15.75" customHeight="1">
      <c r="A24" s="110" t="s">
        <v>669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215"/>
    </row>
    <row r="25" spans="1:12" ht="15.75" customHeight="1">
      <c r="A25" s="7" t="s">
        <v>670</v>
      </c>
      <c r="B25" s="13" t="s">
        <v>464</v>
      </c>
      <c r="C25" s="97">
        <f>K8</f>
        <v>3567.8630460973141</v>
      </c>
      <c r="D25" s="24"/>
      <c r="E25" s="24"/>
      <c r="F25" s="24"/>
      <c r="G25" s="24"/>
      <c r="H25" s="24"/>
      <c r="I25" s="24"/>
      <c r="J25" s="24"/>
      <c r="K25" s="24"/>
      <c r="L25" s="213"/>
    </row>
    <row r="26" spans="1:12" ht="15.75" customHeight="1">
      <c r="A26" s="7" t="s">
        <v>671</v>
      </c>
      <c r="B26" s="13" t="s">
        <v>464</v>
      </c>
      <c r="C26" s="97">
        <f>'P&amp;L'!L32</f>
        <v>1194.6240636345046</v>
      </c>
      <c r="D26" s="24"/>
      <c r="E26" s="24"/>
      <c r="F26" s="24"/>
      <c r="G26" s="24"/>
      <c r="H26" s="24"/>
      <c r="I26" s="24"/>
      <c r="J26" s="24"/>
      <c r="K26" s="24"/>
      <c r="L26" s="213"/>
    </row>
    <row r="27" spans="1:12" ht="15.75" customHeight="1">
      <c r="A27" s="7" t="s">
        <v>672</v>
      </c>
      <c r="B27" s="13" t="s">
        <v>464</v>
      </c>
      <c r="C27" s="97">
        <f>K9</f>
        <v>907.77523014502435</v>
      </c>
      <c r="D27" s="24"/>
      <c r="E27" s="24"/>
      <c r="F27" s="24"/>
      <c r="G27" s="24"/>
      <c r="H27" s="24"/>
      <c r="I27" s="24"/>
      <c r="J27" s="24"/>
      <c r="K27" s="24"/>
      <c r="L27" s="213"/>
    </row>
    <row r="28" spans="1:12" ht="15.75" customHeight="1">
      <c r="A28" s="7" t="s">
        <v>673</v>
      </c>
      <c r="B28" s="13" t="s">
        <v>534</v>
      </c>
      <c r="C28" s="117">
        <f>Assumptions!$F$78</f>
        <v>4.5</v>
      </c>
      <c r="D28" s="26"/>
      <c r="E28" s="26"/>
      <c r="F28" s="26"/>
      <c r="G28" s="26"/>
      <c r="H28" s="26"/>
      <c r="I28" s="26"/>
      <c r="J28" s="26"/>
      <c r="K28" s="26"/>
      <c r="L28" s="10" t="s">
        <v>674</v>
      </c>
    </row>
    <row r="29" spans="1:12" ht="15.75" customHeight="1">
      <c r="A29" s="4" t="s">
        <v>675</v>
      </c>
      <c r="B29" s="13" t="s">
        <v>464</v>
      </c>
      <c r="C29" s="116">
        <f>C25*C28</f>
        <v>16055.383707437913</v>
      </c>
      <c r="D29" s="22"/>
      <c r="E29" s="22"/>
      <c r="F29" s="22"/>
      <c r="G29" s="22"/>
      <c r="H29" s="22"/>
      <c r="I29" s="22"/>
      <c r="J29" s="22"/>
      <c r="K29" s="22"/>
      <c r="L29" s="213"/>
    </row>
    <row r="30" spans="1:12" ht="15.75" customHeight="1">
      <c r="A30" s="4" t="s">
        <v>676</v>
      </c>
      <c r="B30" s="13" t="s">
        <v>464</v>
      </c>
      <c r="C30" s="116">
        <f>C27*(1+Assumptions!$F$80)/(D12-Assumptions!$F$80)</f>
        <v>11918.527559584134</v>
      </c>
      <c r="D30" s="22"/>
      <c r="E30" s="22"/>
      <c r="F30" s="22"/>
      <c r="G30" s="22"/>
      <c r="H30" s="22"/>
      <c r="I30" s="22"/>
      <c r="J30" s="22"/>
      <c r="K30" s="22"/>
      <c r="L30" s="10" t="e">
        <f>FCF * (1+g) / (WACC - g)</f>
        <v>#NAME?</v>
      </c>
    </row>
    <row r="31" spans="1:12" ht="15.75" customHeight="1">
      <c r="A31" s="96" t="s">
        <v>677</v>
      </c>
      <c r="B31" s="13" t="s">
        <v>436</v>
      </c>
      <c r="C31" s="124">
        <f>ABS(C29-C30)/((C29+C30)/2)</f>
        <v>0.29576530134566104</v>
      </c>
      <c r="D31" s="19"/>
      <c r="E31" s="19"/>
      <c r="F31" s="19"/>
      <c r="G31" s="19"/>
      <c r="H31" s="19"/>
      <c r="I31" s="19"/>
      <c r="J31" s="19"/>
      <c r="K31" s="19"/>
      <c r="L31" s="10" t="s">
        <v>678</v>
      </c>
    </row>
    <row r="32" spans="1:12" ht="15.75" customHeight="1">
      <c r="A32" s="4" t="s">
        <v>679</v>
      </c>
      <c r="B32" s="13" t="s">
        <v>464</v>
      </c>
      <c r="C32" s="118">
        <f>C29</f>
        <v>16055.383707437913</v>
      </c>
      <c r="D32" s="15"/>
      <c r="E32" s="15"/>
      <c r="F32" s="15"/>
      <c r="G32" s="15"/>
      <c r="H32" s="15"/>
      <c r="I32" s="15"/>
      <c r="J32" s="15"/>
      <c r="K32" s="15"/>
      <c r="L32" s="213"/>
    </row>
    <row r="33" spans="1:12" ht="15.75" customHeight="1">
      <c r="A33" s="4" t="s">
        <v>680</v>
      </c>
      <c r="B33" s="13" t="s">
        <v>464</v>
      </c>
      <c r="C33" s="116">
        <f>C32*K14</f>
        <v>7417.3689391213602</v>
      </c>
      <c r="D33" s="22"/>
      <c r="E33" s="22"/>
      <c r="F33" s="22"/>
      <c r="G33" s="22"/>
      <c r="H33" s="22"/>
      <c r="I33" s="22"/>
      <c r="J33" s="22"/>
      <c r="K33" s="22"/>
      <c r="L33" s="213"/>
    </row>
    <row r="34" spans="1:12" ht="15.75" customHeight="1">
      <c r="A34" s="96" t="s">
        <v>681</v>
      </c>
      <c r="B34" s="13" t="s">
        <v>436</v>
      </c>
      <c r="C34" s="124">
        <f>C33/(C33+SUM(D15:K15))</f>
        <v>0.7834171442266481</v>
      </c>
      <c r="D34" s="19"/>
      <c r="E34" s="19"/>
      <c r="F34" s="19"/>
      <c r="G34" s="19"/>
      <c r="H34" s="19"/>
      <c r="I34" s="19"/>
      <c r="J34" s="19"/>
      <c r="K34" s="19"/>
      <c r="L34" s="10" t="s">
        <v>682</v>
      </c>
    </row>
    <row r="35" spans="1:12" ht="15.75" customHeight="1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</row>
    <row r="36" spans="1:12" ht="15.75" customHeight="1">
      <c r="A36" s="110" t="s">
        <v>683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215"/>
    </row>
    <row r="37" spans="1:12" ht="15.75" customHeight="1">
      <c r="A37" s="7" t="s">
        <v>684</v>
      </c>
      <c r="B37" s="13" t="s">
        <v>464</v>
      </c>
      <c r="C37" s="98">
        <f>SUM(D15:K15)</f>
        <v>2050.5996824275485</v>
      </c>
      <c r="D37" s="22"/>
      <c r="E37" s="22"/>
      <c r="F37" s="22"/>
      <c r="G37" s="22"/>
      <c r="H37" s="22"/>
      <c r="I37" s="22"/>
      <c r="J37" s="22"/>
      <c r="K37" s="22"/>
      <c r="L37" s="213"/>
    </row>
    <row r="38" spans="1:12" ht="15.75" customHeight="1">
      <c r="A38" s="7" t="s">
        <v>680</v>
      </c>
      <c r="B38" s="13" t="s">
        <v>464</v>
      </c>
      <c r="C38" s="98">
        <f>C33</f>
        <v>7417.3689391213602</v>
      </c>
      <c r="D38" s="22"/>
      <c r="E38" s="22"/>
      <c r="F38" s="22"/>
      <c r="G38" s="22"/>
      <c r="H38" s="22"/>
      <c r="I38" s="22"/>
      <c r="J38" s="22"/>
      <c r="K38" s="22"/>
      <c r="L38" s="213"/>
    </row>
    <row r="39" spans="1:12" ht="15.75" customHeight="1">
      <c r="A39" s="4" t="s">
        <v>685</v>
      </c>
      <c r="B39" s="13" t="s">
        <v>464</v>
      </c>
      <c r="C39" s="116">
        <f>C37+C38</f>
        <v>9467.9686215489091</v>
      </c>
      <c r="D39" s="22"/>
      <c r="E39" s="22"/>
      <c r="F39" s="22"/>
      <c r="G39" s="22"/>
      <c r="H39" s="22"/>
      <c r="I39" s="22"/>
      <c r="J39" s="22"/>
      <c r="K39" s="22"/>
      <c r="L39" s="213"/>
    </row>
    <row r="40" spans="1:12" ht="15.75" customHeight="1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</row>
    <row r="41" spans="1:12" ht="15.75" customHeight="1">
      <c r="A41" s="110" t="s">
        <v>686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215"/>
    </row>
    <row r="42" spans="1:12" ht="15.75" customHeight="1">
      <c r="A42" s="7" t="s">
        <v>687</v>
      </c>
      <c r="B42" s="13" t="s">
        <v>464</v>
      </c>
      <c r="C42" s="97">
        <f>C39</f>
        <v>9467.9686215489091</v>
      </c>
      <c r="D42" s="22"/>
      <c r="E42" s="22"/>
      <c r="F42" s="22"/>
      <c r="G42" s="22"/>
      <c r="H42" s="22"/>
      <c r="I42" s="22"/>
      <c r="J42" s="22"/>
      <c r="K42" s="22"/>
      <c r="L42" s="213"/>
    </row>
    <row r="43" spans="1:12" ht="15.75" customHeight="1">
      <c r="A43" s="7" t="s">
        <v>688</v>
      </c>
      <c r="B43" s="13" t="s">
        <v>464</v>
      </c>
      <c r="C43" s="97">
        <f>-Assumptions!$F$62</f>
        <v>-10</v>
      </c>
      <c r="D43" s="15"/>
      <c r="E43" s="15"/>
      <c r="F43" s="15"/>
      <c r="G43" s="15"/>
      <c r="H43" s="15"/>
      <c r="I43" s="15"/>
      <c r="J43" s="15"/>
      <c r="K43" s="15"/>
      <c r="L43" s="10" t="s">
        <v>689</v>
      </c>
    </row>
    <row r="44" spans="1:12" ht="15.75" customHeight="1">
      <c r="A44" s="7" t="s">
        <v>690</v>
      </c>
      <c r="B44" s="13" t="s">
        <v>464</v>
      </c>
      <c r="C44" s="97">
        <f>Assumptions!$F$63</f>
        <v>700</v>
      </c>
      <c r="D44" s="15"/>
      <c r="E44" s="15"/>
      <c r="F44" s="15"/>
      <c r="G44" s="15"/>
      <c r="H44" s="15"/>
      <c r="I44" s="15"/>
      <c r="J44" s="15"/>
      <c r="K44" s="15"/>
      <c r="L44" s="10" t="s">
        <v>691</v>
      </c>
    </row>
    <row r="45" spans="1:12" ht="15.75" customHeight="1">
      <c r="A45" s="4" t="s">
        <v>692</v>
      </c>
      <c r="B45" s="13" t="s">
        <v>464</v>
      </c>
      <c r="C45" s="116">
        <f>C42+C43+C44</f>
        <v>10157.968621548909</v>
      </c>
      <c r="D45" s="22"/>
      <c r="E45" s="22"/>
      <c r="F45" s="22"/>
      <c r="G45" s="22"/>
      <c r="H45" s="22"/>
      <c r="I45" s="22"/>
      <c r="J45" s="22"/>
      <c r="K45" s="22"/>
      <c r="L45" s="213"/>
    </row>
    <row r="46" spans="1:12" ht="15.75" customHeight="1">
      <c r="A46" s="7" t="s">
        <v>693</v>
      </c>
      <c r="B46" s="13" t="s">
        <v>430</v>
      </c>
      <c r="C46" s="24">
        <f>Assumptions!$F$55</f>
        <v>410</v>
      </c>
      <c r="D46" s="5"/>
      <c r="E46" s="5"/>
      <c r="F46" s="5"/>
      <c r="G46" s="5"/>
      <c r="H46" s="5"/>
      <c r="I46" s="5"/>
      <c r="J46" s="5"/>
      <c r="K46" s="5"/>
      <c r="L46" s="10" t="s">
        <v>694</v>
      </c>
    </row>
    <row r="47" spans="1:12" ht="15.75" customHeight="1">
      <c r="A47" s="4" t="s">
        <v>695</v>
      </c>
      <c r="B47" s="13" t="s">
        <v>696</v>
      </c>
      <c r="C47" s="119">
        <f>C45/C46</f>
        <v>24.775533223290022</v>
      </c>
      <c r="D47" s="27"/>
      <c r="E47" s="27"/>
      <c r="F47" s="27"/>
      <c r="G47" s="27"/>
      <c r="H47" s="27"/>
      <c r="I47" s="27"/>
      <c r="J47" s="27"/>
      <c r="K47" s="27"/>
      <c r="L47" s="213"/>
    </row>
    <row r="48" spans="1:12" ht="15.75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</row>
    <row r="49" spans="1:13" ht="15.75" customHeight="1">
      <c r="A49" s="110" t="s">
        <v>697</v>
      </c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215"/>
      <c r="M49" s="213"/>
    </row>
    <row r="50" spans="1:13" ht="15.75" customHeight="1">
      <c r="A50" s="7" t="s">
        <v>698</v>
      </c>
      <c r="B50" s="13" t="s">
        <v>464</v>
      </c>
      <c r="C50" s="97">
        <f>RealOptions!E5*1000</f>
        <v>990</v>
      </c>
      <c r="D50" s="22"/>
      <c r="E50" s="22"/>
      <c r="F50" s="22"/>
      <c r="G50" s="22"/>
      <c r="H50" s="22"/>
      <c r="I50" s="22"/>
      <c r="J50" s="22"/>
      <c r="K50" s="22"/>
      <c r="L50" s="10" t="s">
        <v>699</v>
      </c>
      <c r="M50" s="213"/>
    </row>
    <row r="51" spans="1:13" ht="15.75" customHeight="1">
      <c r="A51" s="7" t="s">
        <v>700</v>
      </c>
      <c r="B51" s="13" t="s">
        <v>464</v>
      </c>
      <c r="C51" s="97">
        <f>RealOptions!E6*1000</f>
        <v>1125</v>
      </c>
      <c r="D51" s="22"/>
      <c r="E51" s="22"/>
      <c r="F51" s="22"/>
      <c r="G51" s="22"/>
      <c r="H51" s="22"/>
      <c r="I51" s="22"/>
      <c r="J51" s="22"/>
      <c r="K51" s="22"/>
      <c r="L51" s="213"/>
      <c r="M51" s="213"/>
    </row>
    <row r="52" spans="1:13">
      <c r="A52" s="7" t="s">
        <v>701</v>
      </c>
      <c r="B52" s="13" t="s">
        <v>464</v>
      </c>
      <c r="C52" s="97">
        <f>RealOptions!E7*1000</f>
        <v>277.49999999999994</v>
      </c>
      <c r="D52" s="22"/>
      <c r="E52" s="22"/>
      <c r="F52" s="22"/>
      <c r="G52" s="22"/>
      <c r="H52" s="22"/>
      <c r="I52" s="22"/>
      <c r="J52" s="22"/>
      <c r="K52" s="22"/>
      <c r="L52" s="213"/>
      <c r="M52" s="213"/>
    </row>
    <row r="53" spans="1:13">
      <c r="A53" s="4" t="s">
        <v>702</v>
      </c>
      <c r="B53" s="13" t="s">
        <v>464</v>
      </c>
      <c r="C53" s="116">
        <f>C50+C51+C52</f>
        <v>2392.5</v>
      </c>
      <c r="D53" s="22"/>
      <c r="E53" s="22"/>
      <c r="F53" s="22"/>
      <c r="G53" s="22"/>
      <c r="H53" s="22"/>
      <c r="I53" s="22"/>
      <c r="J53" s="22"/>
      <c r="K53" s="22"/>
      <c r="L53" s="213"/>
      <c r="M53" s="213"/>
    </row>
    <row r="54" spans="1:13">
      <c r="A54" s="4" t="s">
        <v>36</v>
      </c>
      <c r="B54" s="13" t="s">
        <v>464</v>
      </c>
      <c r="C54" s="116">
        <f>C39+C53</f>
        <v>11860.468621548909</v>
      </c>
      <c r="D54" s="22"/>
      <c r="E54" s="22"/>
      <c r="F54" s="22"/>
      <c r="G54" s="22"/>
      <c r="H54" s="22"/>
      <c r="I54" s="22"/>
      <c r="J54" s="22"/>
      <c r="K54" s="22"/>
      <c r="L54" s="213"/>
      <c r="M54" s="213"/>
    </row>
    <row r="56" spans="1:13">
      <c r="A56" s="110" t="s">
        <v>703</v>
      </c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215"/>
      <c r="M56" s="213"/>
    </row>
    <row r="57" spans="1:13">
      <c r="A57" s="7" t="s">
        <v>704</v>
      </c>
      <c r="B57" s="13" t="s">
        <v>464</v>
      </c>
      <c r="C57" s="98">
        <f>C39</f>
        <v>9467.9686215489091</v>
      </c>
      <c r="D57" s="22"/>
      <c r="E57" s="22"/>
      <c r="F57" s="22"/>
      <c r="G57" s="22"/>
      <c r="H57" s="22"/>
      <c r="I57" s="22"/>
      <c r="J57" s="22"/>
      <c r="K57" s="22"/>
      <c r="L57" s="213"/>
      <c r="M57" s="213"/>
    </row>
    <row r="58" spans="1:13">
      <c r="A58" s="7" t="s">
        <v>705</v>
      </c>
      <c r="B58" s="13" t="s">
        <v>464</v>
      </c>
      <c r="C58" s="98">
        <f>C54</f>
        <v>11860.468621548909</v>
      </c>
      <c r="D58" s="22"/>
      <c r="E58" s="22"/>
      <c r="F58" s="22"/>
      <c r="G58" s="22"/>
      <c r="H58" s="22"/>
      <c r="I58" s="22"/>
      <c r="J58" s="22"/>
      <c r="K58" s="22"/>
      <c r="L58" s="213"/>
      <c r="M58" s="213"/>
    </row>
    <row r="59" spans="1:13">
      <c r="A59" s="7" t="s">
        <v>37</v>
      </c>
      <c r="B59" s="13" t="s">
        <v>464</v>
      </c>
      <c r="C59" s="100">
        <v>10100</v>
      </c>
      <c r="D59" s="15"/>
      <c r="E59" s="15"/>
      <c r="F59" s="15"/>
      <c r="G59" s="15"/>
      <c r="H59" s="15"/>
      <c r="I59" s="15"/>
      <c r="J59" s="15"/>
      <c r="K59" s="15"/>
      <c r="L59" s="10" t="s">
        <v>706</v>
      </c>
      <c r="M59" s="213"/>
    </row>
    <row r="60" spans="1:13">
      <c r="A60" s="4" t="s">
        <v>707</v>
      </c>
      <c r="B60" s="13" t="s">
        <v>436</v>
      </c>
      <c r="C60" s="120">
        <f>C57/C59-1</f>
        <v>-6.2577364203078356E-2</v>
      </c>
      <c r="D60" s="19"/>
      <c r="E60" s="19"/>
      <c r="F60" s="19"/>
      <c r="G60" s="19"/>
      <c r="H60" s="19"/>
      <c r="I60" s="19"/>
      <c r="J60" s="19"/>
      <c r="K60" s="19"/>
      <c r="L60" s="213"/>
      <c r="M60" s="66" t="s">
        <v>708</v>
      </c>
    </row>
    <row r="61" spans="1:13">
      <c r="A61" s="88" t="s">
        <v>709</v>
      </c>
      <c r="B61" s="122" t="s">
        <v>436</v>
      </c>
      <c r="C61" s="121">
        <f>C58/C59-1</f>
        <v>0.17430382391573351</v>
      </c>
      <c r="D61" s="213"/>
      <c r="E61" s="213"/>
      <c r="F61" s="213"/>
      <c r="G61" s="213"/>
      <c r="H61" s="213"/>
      <c r="I61" s="213"/>
      <c r="J61" s="213"/>
      <c r="K61" s="213"/>
      <c r="L61" s="213"/>
      <c r="M61" s="66" t="s">
        <v>710</v>
      </c>
    </row>
  </sheetData>
  <pageMargins left="0.75" right="0.75" top="1" bottom="1" header="0.5" footer="0.5"/>
  <pageSetup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L22"/>
  <sheetViews>
    <sheetView showGridLines="0" workbookViewId="0">
      <selection activeCell="D5" sqref="D5"/>
    </sheetView>
  </sheetViews>
  <sheetFormatPr defaultColWidth="8.85546875" defaultRowHeight="15"/>
  <cols>
    <col min="1" max="1" width="32" customWidth="1"/>
    <col min="2" max="2" width="50" customWidth="1"/>
    <col min="3" max="4" width="14" customWidth="1"/>
    <col min="5" max="5" width="16" customWidth="1"/>
  </cols>
  <sheetData>
    <row r="1" spans="1:12" ht="21.95" customHeight="1">
      <c r="A1" s="347" t="s">
        <v>711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</row>
    <row r="2" spans="1:12">
      <c r="A2" s="345" t="s">
        <v>712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</row>
    <row r="4" spans="1:12">
      <c r="A4" s="161" t="s">
        <v>713</v>
      </c>
      <c r="B4" s="161" t="s">
        <v>714</v>
      </c>
      <c r="C4" s="161" t="s">
        <v>715</v>
      </c>
      <c r="D4" s="161" t="s">
        <v>716</v>
      </c>
      <c r="E4" s="161" t="s">
        <v>717</v>
      </c>
      <c r="F4" s="213"/>
      <c r="G4" s="213"/>
      <c r="H4" s="213"/>
      <c r="I4" s="213"/>
      <c r="J4" s="213"/>
      <c r="K4" s="213"/>
      <c r="L4" s="213"/>
    </row>
    <row r="5" spans="1:12">
      <c r="A5" s="37" t="s">
        <v>718</v>
      </c>
      <c r="B5" s="214" t="s">
        <v>719</v>
      </c>
      <c r="C5" s="61">
        <v>5.5</v>
      </c>
      <c r="D5" s="31">
        <v>0.18</v>
      </c>
      <c r="E5" s="62">
        <f>C5*D5</f>
        <v>0.99</v>
      </c>
      <c r="F5" s="213"/>
      <c r="G5" s="213"/>
      <c r="H5" s="213"/>
      <c r="I5" s="213"/>
      <c r="J5" s="213"/>
      <c r="K5" s="213"/>
      <c r="L5" s="213"/>
    </row>
    <row r="6" spans="1:12">
      <c r="A6" s="37" t="s">
        <v>720</v>
      </c>
      <c r="B6" s="214" t="s">
        <v>721</v>
      </c>
      <c r="C6" s="61">
        <v>2.5</v>
      </c>
      <c r="D6" s="31">
        <v>0.45</v>
      </c>
      <c r="E6" s="62">
        <f>C6*D6</f>
        <v>1.125</v>
      </c>
      <c r="F6" s="213"/>
      <c r="G6" s="213"/>
      <c r="H6" s="213"/>
      <c r="I6" s="213"/>
      <c r="J6" s="213"/>
      <c r="K6" s="213"/>
      <c r="L6" s="213"/>
    </row>
    <row r="7" spans="1:12">
      <c r="A7" s="37" t="s">
        <v>722</v>
      </c>
      <c r="B7" s="214" t="s">
        <v>723</v>
      </c>
      <c r="C7" s="61">
        <v>0.75</v>
      </c>
      <c r="D7" s="31">
        <v>0.37</v>
      </c>
      <c r="E7" s="62">
        <f>C7*D7</f>
        <v>0.27749999999999997</v>
      </c>
      <c r="F7" s="213"/>
      <c r="G7" s="213"/>
      <c r="H7" s="213"/>
      <c r="I7" s="213"/>
      <c r="J7" s="213"/>
      <c r="K7" s="213"/>
      <c r="L7" s="213"/>
    </row>
    <row r="8" spans="1:12">
      <c r="A8" s="37" t="s">
        <v>724</v>
      </c>
      <c r="B8" s="213"/>
      <c r="C8" s="213"/>
      <c r="D8" s="43">
        <f>SUM(D5:D7)</f>
        <v>1</v>
      </c>
      <c r="E8" s="213"/>
      <c r="F8" s="213"/>
      <c r="G8" s="213"/>
      <c r="H8" s="213"/>
      <c r="I8" s="213"/>
      <c r="J8" s="213"/>
      <c r="K8" s="213"/>
      <c r="L8" s="213"/>
    </row>
    <row r="9" spans="1:12">
      <c r="A9" s="37" t="s">
        <v>725</v>
      </c>
      <c r="B9" s="213"/>
      <c r="C9" s="213"/>
      <c r="D9" s="213"/>
      <c r="E9" s="62">
        <f>SUM(E5:E7)</f>
        <v>2.3925000000000001</v>
      </c>
      <c r="F9" s="213"/>
      <c r="G9" s="213"/>
      <c r="H9" s="213"/>
      <c r="I9" s="213"/>
      <c r="J9" s="213"/>
      <c r="K9" s="213"/>
      <c r="L9" s="213"/>
    </row>
    <row r="11" spans="1:12" ht="20.100000000000001" customHeight="1">
      <c r="A11" s="346" t="s">
        <v>726</v>
      </c>
      <c r="B11" s="352"/>
      <c r="C11" s="352"/>
      <c r="D11" s="352"/>
      <c r="E11" s="352"/>
      <c r="F11" s="215"/>
      <c r="G11" s="215"/>
      <c r="H11" s="215"/>
      <c r="I11" s="215"/>
      <c r="J11" s="215"/>
      <c r="K11" s="215"/>
      <c r="L11" s="215"/>
    </row>
    <row r="12" spans="1:12">
      <c r="A12" s="37" t="s">
        <v>727</v>
      </c>
      <c r="B12" s="345" t="s">
        <v>728</v>
      </c>
      <c r="C12" s="351"/>
      <c r="D12" s="351"/>
      <c r="E12" s="351"/>
      <c r="F12" s="213"/>
      <c r="G12" s="213"/>
      <c r="H12" s="213"/>
      <c r="I12" s="213"/>
      <c r="J12" s="213"/>
      <c r="K12" s="213"/>
      <c r="L12" s="213"/>
    </row>
    <row r="13" spans="1:12">
      <c r="A13" s="37" t="s">
        <v>729</v>
      </c>
      <c r="B13" s="345" t="s">
        <v>730</v>
      </c>
      <c r="C13" s="351"/>
      <c r="D13" s="351"/>
      <c r="E13" s="351"/>
      <c r="F13" s="213"/>
      <c r="G13" s="213"/>
      <c r="H13" s="213"/>
      <c r="I13" s="213"/>
      <c r="J13" s="213"/>
      <c r="K13" s="213"/>
      <c r="L13" s="213"/>
    </row>
    <row r="14" spans="1:12">
      <c r="A14" s="37" t="s">
        <v>731</v>
      </c>
      <c r="B14" s="345" t="s">
        <v>732</v>
      </c>
      <c r="C14" s="351"/>
      <c r="D14" s="351"/>
      <c r="E14" s="351"/>
      <c r="F14" s="213"/>
      <c r="G14" s="213"/>
      <c r="H14" s="213"/>
      <c r="I14" s="213"/>
      <c r="J14" s="213"/>
      <c r="K14" s="213"/>
      <c r="L14" s="213"/>
    </row>
    <row r="15" spans="1:12">
      <c r="A15" s="37" t="s">
        <v>733</v>
      </c>
      <c r="B15" s="345" t="s">
        <v>734</v>
      </c>
      <c r="C15" s="351"/>
      <c r="D15" s="351"/>
      <c r="E15" s="351"/>
      <c r="F15" s="213"/>
      <c r="G15" s="213"/>
      <c r="H15" s="213"/>
      <c r="I15" s="213"/>
      <c r="J15" s="213"/>
      <c r="K15" s="213"/>
      <c r="L15" s="213"/>
    </row>
    <row r="16" spans="1:12">
      <c r="A16" s="37" t="s">
        <v>735</v>
      </c>
      <c r="B16" s="345" t="s">
        <v>736</v>
      </c>
      <c r="C16" s="351"/>
      <c r="D16" s="351"/>
      <c r="E16" s="351"/>
      <c r="F16" s="213"/>
      <c r="G16" s="213"/>
      <c r="H16" s="213"/>
      <c r="I16" s="213"/>
      <c r="J16" s="213"/>
      <c r="K16" s="213"/>
      <c r="L16" s="213"/>
    </row>
    <row r="18" spans="1:12">
      <c r="A18" s="215" t="s">
        <v>737</v>
      </c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</row>
    <row r="19" spans="1:12" ht="92.1">
      <c r="A19" s="190" t="s">
        <v>738</v>
      </c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</row>
    <row r="20" spans="1:12" ht="78.95">
      <c r="A20" s="190" t="s">
        <v>739</v>
      </c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</row>
    <row r="21" spans="1:12" ht="53.1">
      <c r="A21" s="190" t="s">
        <v>740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</row>
    <row r="22" spans="1:12" ht="92.1">
      <c r="A22" s="201" t="s">
        <v>741</v>
      </c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</row>
  </sheetData>
  <mergeCells count="8">
    <mergeCell ref="A2:L2"/>
    <mergeCell ref="B12:E12"/>
    <mergeCell ref="B13:E13"/>
    <mergeCell ref="A1:L1"/>
    <mergeCell ref="B16:E16"/>
    <mergeCell ref="A11:E11"/>
    <mergeCell ref="B15:E15"/>
    <mergeCell ref="B14:E14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N59"/>
  <sheetViews>
    <sheetView showGridLines="0" tabSelected="1" topLeftCell="A15" workbookViewId="0">
      <selection activeCell="B46" sqref="B46"/>
    </sheetView>
  </sheetViews>
  <sheetFormatPr defaultColWidth="8.85546875" defaultRowHeight="15"/>
  <cols>
    <col min="1" max="1" width="22" customWidth="1"/>
    <col min="2" max="2" width="8" customWidth="1"/>
    <col min="3" max="3" width="10" customWidth="1"/>
    <col min="4" max="14" width="12" customWidth="1"/>
  </cols>
  <sheetData>
    <row r="1" spans="1:14" ht="18.95">
      <c r="A1" s="277" t="s">
        <v>742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>
      <c r="A2" s="289" t="s">
        <v>743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</row>
    <row r="4" spans="1:14" ht="30">
      <c r="A4" s="279" t="s">
        <v>744</v>
      </c>
      <c r="B4" s="279" t="s">
        <v>745</v>
      </c>
      <c r="C4" s="279" t="s">
        <v>746</v>
      </c>
      <c r="D4" s="279" t="s">
        <v>747</v>
      </c>
      <c r="E4" s="279" t="s">
        <v>748</v>
      </c>
      <c r="F4" s="279" t="s">
        <v>749</v>
      </c>
      <c r="G4" s="279" t="s">
        <v>750</v>
      </c>
      <c r="H4" s="279" t="s">
        <v>751</v>
      </c>
      <c r="I4" s="279" t="s">
        <v>752</v>
      </c>
      <c r="J4" s="279" t="s">
        <v>555</v>
      </c>
      <c r="K4" s="279" t="s">
        <v>753</v>
      </c>
      <c r="L4" s="279" t="s">
        <v>754</v>
      </c>
      <c r="M4" s="279" t="s">
        <v>755</v>
      </c>
      <c r="N4" s="279" t="s">
        <v>756</v>
      </c>
    </row>
    <row r="5" spans="1:14">
      <c r="A5" s="290"/>
      <c r="B5" s="290"/>
      <c r="C5" s="290"/>
      <c r="D5" s="290" t="s">
        <v>757</v>
      </c>
      <c r="E5" s="290" t="s">
        <v>757</v>
      </c>
      <c r="F5" s="290" t="s">
        <v>757</v>
      </c>
      <c r="G5" s="290" t="s">
        <v>534</v>
      </c>
      <c r="H5" s="290" t="s">
        <v>534</v>
      </c>
      <c r="I5" s="290" t="s">
        <v>534</v>
      </c>
      <c r="J5" s="290" t="s">
        <v>436</v>
      </c>
      <c r="K5" s="290" t="s">
        <v>436</v>
      </c>
      <c r="L5" s="290" t="s">
        <v>436</v>
      </c>
      <c r="M5" s="290" t="s">
        <v>461</v>
      </c>
      <c r="N5" s="290" t="s">
        <v>758</v>
      </c>
    </row>
    <row r="6" spans="1:14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</row>
    <row r="7" spans="1:14">
      <c r="A7" s="291" t="s">
        <v>759</v>
      </c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</row>
    <row r="8" spans="1:14">
      <c r="A8" s="292" t="s">
        <v>760</v>
      </c>
      <c r="B8" s="292" t="s">
        <v>761</v>
      </c>
      <c r="C8" s="292" t="s">
        <v>762</v>
      </c>
      <c r="D8" s="28">
        <v>51.2</v>
      </c>
      <c r="E8" s="28">
        <v>48.6</v>
      </c>
      <c r="F8" s="29">
        <v>7.25</v>
      </c>
      <c r="G8" s="53">
        <f>E8/F8</f>
        <v>6.703448275862069</v>
      </c>
      <c r="H8" s="30">
        <v>6.2</v>
      </c>
      <c r="I8" s="30">
        <v>22.9</v>
      </c>
      <c r="J8" s="31">
        <v>0.58699999999999997</v>
      </c>
      <c r="K8" s="31">
        <v>0.25900000000000001</v>
      </c>
      <c r="L8" s="31">
        <v>0.15</v>
      </c>
      <c r="M8" s="32">
        <f>(L8 + K8)*100</f>
        <v>40.900000000000006</v>
      </c>
      <c r="N8" s="29">
        <f>IFERROR(G8/(L8*100), 0)</f>
        <v>0.44689655172413795</v>
      </c>
    </row>
    <row r="9" spans="1:14">
      <c r="A9" s="219"/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</row>
    <row r="10" spans="1:14">
      <c r="A10" s="291" t="s">
        <v>763</v>
      </c>
      <c r="B10" s="291"/>
      <c r="C10" s="291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291"/>
    </row>
    <row r="11" spans="1:14">
      <c r="A11" s="292" t="s">
        <v>764</v>
      </c>
      <c r="B11" s="292" t="s">
        <v>765</v>
      </c>
      <c r="C11" s="292" t="s">
        <v>766</v>
      </c>
      <c r="D11" s="28">
        <v>2.1</v>
      </c>
      <c r="E11" s="28">
        <v>2.8</v>
      </c>
      <c r="F11" s="29">
        <v>2.4900000000000002</v>
      </c>
      <c r="G11" s="53">
        <f>E11/F11</f>
        <v>1.1244979919678713</v>
      </c>
      <c r="H11" s="30">
        <v>1.2</v>
      </c>
      <c r="I11" s="30">
        <v>16.399999999999999</v>
      </c>
      <c r="J11" s="31">
        <v>0.50900000000000001</v>
      </c>
      <c r="K11" s="31">
        <v>-1.4E-2</v>
      </c>
      <c r="L11" s="31">
        <v>-0.08</v>
      </c>
      <c r="M11" s="32">
        <f>(L11 + K11)*100</f>
        <v>-9.4</v>
      </c>
      <c r="N11" s="29">
        <f>IFERROR(G11/(L11*100), 0)</f>
        <v>-0.14056224899598391</v>
      </c>
    </row>
    <row r="12" spans="1:14">
      <c r="A12" s="292" t="s">
        <v>767</v>
      </c>
      <c r="B12" s="292" t="s">
        <v>768</v>
      </c>
      <c r="C12" s="292" t="s">
        <v>766</v>
      </c>
      <c r="D12" s="28">
        <v>109.3</v>
      </c>
      <c r="E12" s="28">
        <v>102.6</v>
      </c>
      <c r="F12" s="29">
        <v>20.2</v>
      </c>
      <c r="G12" s="53">
        <f>E12/F12</f>
        <v>5.0792079207920793</v>
      </c>
      <c r="H12" s="30">
        <v>4.5</v>
      </c>
      <c r="I12" s="30">
        <v>38.799999999999997</v>
      </c>
      <c r="J12" s="31">
        <v>0.32</v>
      </c>
      <c r="K12" s="31">
        <v>0.128</v>
      </c>
      <c r="L12" s="31">
        <v>0.1</v>
      </c>
      <c r="M12" s="32">
        <f>(L12 + K12)*100</f>
        <v>22.8</v>
      </c>
      <c r="N12" s="29">
        <f>IFERROR(G12/(L12*100), 0)</f>
        <v>0.50792079207920793</v>
      </c>
    </row>
    <row r="13" spans="1:14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</row>
    <row r="14" spans="1:14">
      <c r="A14" s="291" t="s">
        <v>769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</row>
    <row r="15" spans="1:14">
      <c r="A15" s="292" t="s">
        <v>770</v>
      </c>
      <c r="B15" s="292" t="s">
        <v>771</v>
      </c>
      <c r="C15" s="292" t="s">
        <v>772</v>
      </c>
      <c r="D15" s="28">
        <v>23.7</v>
      </c>
      <c r="E15" s="28">
        <v>23.1</v>
      </c>
      <c r="F15" s="29">
        <v>4.66</v>
      </c>
      <c r="G15" s="53">
        <f>E15/F15</f>
        <v>4.9570815450643781</v>
      </c>
      <c r="H15" s="30">
        <v>4.4000000000000004</v>
      </c>
      <c r="I15" s="30">
        <v>19.8</v>
      </c>
      <c r="J15" s="31">
        <v>0.6</v>
      </c>
      <c r="K15" s="31">
        <v>0.2</v>
      </c>
      <c r="L15" s="31">
        <v>0.16</v>
      </c>
      <c r="M15" s="32">
        <f>(L15 + K15)*100</f>
        <v>36</v>
      </c>
      <c r="N15" s="29">
        <f>IFERROR(G15/(L15*100), 0)</f>
        <v>0.30981759656652363</v>
      </c>
    </row>
    <row r="16" spans="1:14">
      <c r="A16" s="292" t="s">
        <v>773</v>
      </c>
      <c r="B16" s="292" t="s">
        <v>774</v>
      </c>
      <c r="C16" s="292" t="s">
        <v>772</v>
      </c>
      <c r="D16" s="28">
        <v>33.200000000000003</v>
      </c>
      <c r="E16" s="28">
        <v>32.6</v>
      </c>
      <c r="F16" s="29">
        <v>5.4</v>
      </c>
      <c r="G16" s="53">
        <f>E16/F16</f>
        <v>6.0370370370370372</v>
      </c>
      <c r="H16" s="30">
        <v>5.5</v>
      </c>
      <c r="I16" s="30">
        <v>16.100000000000001</v>
      </c>
      <c r="J16" s="31">
        <v>0.59399999999999997</v>
      </c>
      <c r="K16" s="31">
        <v>0.32800000000000001</v>
      </c>
      <c r="L16" s="31">
        <v>0.1</v>
      </c>
      <c r="M16" s="32">
        <f>(L16 + K16)*100</f>
        <v>42.800000000000004</v>
      </c>
      <c r="N16" s="29">
        <f>IFERROR(G16/(L16*100), 0)</f>
        <v>0.60370370370370374</v>
      </c>
    </row>
    <row r="17" spans="1:14">
      <c r="A17" s="292" t="s">
        <v>775</v>
      </c>
      <c r="B17" s="292" t="s">
        <v>776</v>
      </c>
      <c r="C17" s="292" t="s">
        <v>772</v>
      </c>
      <c r="D17" s="28">
        <v>9.3000000000000007</v>
      </c>
      <c r="E17" s="28">
        <v>9.6999999999999993</v>
      </c>
      <c r="F17" s="29">
        <v>1.52</v>
      </c>
      <c r="G17" s="53">
        <f>E17/F17</f>
        <v>6.3815789473684204</v>
      </c>
      <c r="H17" s="30">
        <v>6</v>
      </c>
      <c r="I17" s="30">
        <v>28.2</v>
      </c>
      <c r="J17" s="31">
        <v>0.63</v>
      </c>
      <c r="K17" s="31">
        <v>0.27500000000000002</v>
      </c>
      <c r="L17" s="31">
        <v>0.09</v>
      </c>
      <c r="M17" s="32">
        <f>(L17 + K17)*100</f>
        <v>36.5</v>
      </c>
      <c r="N17" s="29">
        <f>IFERROR(G17/(L17*100), 0)</f>
        <v>0.70906432748538006</v>
      </c>
    </row>
    <row r="18" spans="1:14">
      <c r="A18" s="292" t="s">
        <v>777</v>
      </c>
      <c r="B18" s="292" t="s">
        <v>778</v>
      </c>
      <c r="C18" s="292" t="s">
        <v>772</v>
      </c>
      <c r="D18" s="28">
        <v>4</v>
      </c>
      <c r="E18" s="28">
        <v>4.2</v>
      </c>
      <c r="F18" s="29">
        <v>0.75</v>
      </c>
      <c r="G18" s="53">
        <f>E18/F18</f>
        <v>5.6000000000000005</v>
      </c>
      <c r="H18" s="30">
        <v>4.8</v>
      </c>
      <c r="I18" s="30">
        <v>60.5</v>
      </c>
      <c r="J18" s="31">
        <v>0.70599999999999996</v>
      </c>
      <c r="K18" s="31">
        <v>-7.6999999999999999E-2</v>
      </c>
      <c r="L18" s="31">
        <v>0.26</v>
      </c>
      <c r="M18" s="32">
        <f>(L18 + K18)*100</f>
        <v>18.3</v>
      </c>
      <c r="N18" s="29">
        <f>IFERROR(G18/(L18*100), 0)</f>
        <v>0.2153846153846154</v>
      </c>
    </row>
    <row r="19" spans="1:14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</row>
    <row r="20" spans="1:14">
      <c r="A20" s="219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</row>
    <row r="21" spans="1:14">
      <c r="A21" s="291" t="s">
        <v>779</v>
      </c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</row>
    <row r="22" spans="1:14" ht="30">
      <c r="A22" s="293" t="s">
        <v>746</v>
      </c>
      <c r="B22" s="293"/>
      <c r="C22" s="293"/>
      <c r="D22" s="293"/>
      <c r="E22" s="293"/>
      <c r="F22" s="293"/>
      <c r="G22" s="293" t="s">
        <v>750</v>
      </c>
      <c r="H22" s="293" t="s">
        <v>751</v>
      </c>
      <c r="I22" s="293"/>
      <c r="J22" s="293" t="s">
        <v>555</v>
      </c>
      <c r="K22" s="293"/>
      <c r="L22" s="293" t="s">
        <v>754</v>
      </c>
      <c r="M22" s="293" t="s">
        <v>755</v>
      </c>
      <c r="N22" s="279" t="s">
        <v>756</v>
      </c>
    </row>
    <row r="23" spans="1:14">
      <c r="A23" s="222" t="s">
        <v>780</v>
      </c>
      <c r="B23" s="222"/>
      <c r="C23" s="222"/>
      <c r="D23" s="222"/>
      <c r="E23" s="222"/>
      <c r="F23" s="222"/>
      <c r="G23" s="191">
        <f>G8</f>
        <v>6.703448275862069</v>
      </c>
      <c r="H23" s="191">
        <f>H8</f>
        <v>6.2</v>
      </c>
      <c r="I23" s="191">
        <f>I8</f>
        <v>22.9</v>
      </c>
      <c r="J23" s="19">
        <f>J8</f>
        <v>0.58699999999999997</v>
      </c>
      <c r="K23" s="222"/>
      <c r="L23" s="19">
        <f>L8</f>
        <v>0.15</v>
      </c>
      <c r="M23" s="33">
        <f>M8</f>
        <v>40.900000000000006</v>
      </c>
      <c r="N23" s="192">
        <f>N8</f>
        <v>0.44689655172413795</v>
      </c>
    </row>
    <row r="24" spans="1:14">
      <c r="A24" s="222" t="s">
        <v>781</v>
      </c>
      <c r="B24" s="222"/>
      <c r="C24" s="222"/>
      <c r="D24" s="222"/>
      <c r="E24" s="222"/>
      <c r="F24" s="222"/>
      <c r="G24" s="191">
        <f t="shared" ref="G24:J25" si="0">G11</f>
        <v>1.1244979919678713</v>
      </c>
      <c r="H24" s="191">
        <f t="shared" si="0"/>
        <v>1.2</v>
      </c>
      <c r="I24" s="191">
        <f t="shared" si="0"/>
        <v>16.399999999999999</v>
      </c>
      <c r="J24" s="19">
        <f t="shared" si="0"/>
        <v>0.50900000000000001</v>
      </c>
      <c r="K24" s="222"/>
      <c r="L24" s="19">
        <f t="shared" ref="L24:N25" si="1">L11</f>
        <v>-0.08</v>
      </c>
      <c r="M24" s="33">
        <f t="shared" si="1"/>
        <v>-9.4</v>
      </c>
      <c r="N24" s="192">
        <f t="shared" si="1"/>
        <v>-0.14056224899598391</v>
      </c>
    </row>
    <row r="25" spans="1:14">
      <c r="A25" s="222" t="s">
        <v>782</v>
      </c>
      <c r="B25" s="222"/>
      <c r="C25" s="222"/>
      <c r="D25" s="222"/>
      <c r="E25" s="222"/>
      <c r="F25" s="222"/>
      <c r="G25" s="191">
        <f t="shared" si="0"/>
        <v>5.0792079207920793</v>
      </c>
      <c r="H25" s="191">
        <f t="shared" si="0"/>
        <v>4.5</v>
      </c>
      <c r="I25" s="191">
        <f t="shared" si="0"/>
        <v>38.799999999999997</v>
      </c>
      <c r="J25" s="19">
        <f t="shared" si="0"/>
        <v>0.32</v>
      </c>
      <c r="K25" s="222"/>
      <c r="L25" s="19">
        <f t="shared" si="1"/>
        <v>0.1</v>
      </c>
      <c r="M25" s="33">
        <f t="shared" si="1"/>
        <v>22.8</v>
      </c>
      <c r="N25" s="192">
        <f t="shared" si="1"/>
        <v>0.50792079207920793</v>
      </c>
    </row>
    <row r="26" spans="1:14">
      <c r="A26" s="222" t="s">
        <v>783</v>
      </c>
      <c r="B26" s="222"/>
      <c r="C26" s="222"/>
      <c r="D26" s="222"/>
      <c r="E26" s="222"/>
      <c r="F26" s="222"/>
      <c r="G26" s="191">
        <f>MEDIAN(G15:G18)</f>
        <v>5.8185185185185189</v>
      </c>
      <c r="H26" s="191">
        <f>MEDIAN(H15:H18)</f>
        <v>5.15</v>
      </c>
      <c r="I26" s="191">
        <f>MEDIAN(I15:I18)</f>
        <v>24</v>
      </c>
      <c r="J26" s="19">
        <f>MEDIAN(J15:J18)</f>
        <v>0.61499999999999999</v>
      </c>
      <c r="K26" s="222"/>
      <c r="L26" s="19">
        <f>MEDIAN(L15:L18)</f>
        <v>0.13</v>
      </c>
      <c r="M26" s="33">
        <f>MEDIAN(M15:M18)</f>
        <v>36.25</v>
      </c>
      <c r="N26" s="192">
        <f>MEDIAN(N15:N18)</f>
        <v>0.45676065013511369</v>
      </c>
    </row>
    <row r="27" spans="1:14">
      <c r="A27" s="222" t="s">
        <v>784</v>
      </c>
      <c r="B27" s="222"/>
      <c r="C27" s="222"/>
      <c r="D27" s="222"/>
      <c r="E27" s="222"/>
      <c r="F27" s="222"/>
      <c r="G27" s="294" t="str">
        <f>MIN(G15:G18) &amp; "-" &amp; MAX(G15:G18) &amp; "x"</f>
        <v>4.95708154506438-6.38157894736842x</v>
      </c>
      <c r="H27" s="294" t="str">
        <f>MIN(H15:H18) &amp; "-" &amp; MAX(H15:H18) &amp; "x"</f>
        <v>4.4-6x</v>
      </c>
      <c r="I27" s="222"/>
      <c r="J27" s="222"/>
      <c r="K27" s="222"/>
      <c r="L27" s="222"/>
      <c r="M27" s="222"/>
      <c r="N27" s="222"/>
    </row>
    <row r="28" spans="1:14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</row>
    <row r="29" spans="1:14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</row>
    <row r="30" spans="1:14">
      <c r="A30" s="291" t="s">
        <v>785</v>
      </c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</row>
    <row r="31" spans="1:14">
      <c r="A31" s="295" t="s">
        <v>786</v>
      </c>
      <c r="B31" s="295" t="s">
        <v>787</v>
      </c>
      <c r="C31" s="295" t="s">
        <v>788</v>
      </c>
      <c r="D31" s="295" t="s">
        <v>789</v>
      </c>
      <c r="E31" s="295" t="s">
        <v>790</v>
      </c>
      <c r="F31" s="295" t="s">
        <v>791</v>
      </c>
      <c r="G31" s="295" t="s">
        <v>792</v>
      </c>
      <c r="H31" s="295" t="s">
        <v>793</v>
      </c>
      <c r="I31" s="295" t="s">
        <v>794</v>
      </c>
      <c r="J31" s="295" t="s">
        <v>795</v>
      </c>
      <c r="K31" s="219"/>
      <c r="L31" s="219"/>
      <c r="M31" s="219"/>
      <c r="N31" s="219"/>
    </row>
    <row r="32" spans="1:14">
      <c r="A32" s="282" t="s">
        <v>57</v>
      </c>
      <c r="B32" s="16">
        <v>0.4</v>
      </c>
      <c r="C32" s="16">
        <v>0.4</v>
      </c>
      <c r="D32" s="16">
        <v>0.2</v>
      </c>
      <c r="E32" s="193">
        <f>$G$23</f>
        <v>6.703448275862069</v>
      </c>
      <c r="F32" s="193">
        <f>$G$24</f>
        <v>1.1244979919678713</v>
      </c>
      <c r="G32" s="193">
        <f>$G$26</f>
        <v>5.8185185185185189</v>
      </c>
      <c r="H32" s="194">
        <f>B32*E32 + C32*F32 + D32*G32</f>
        <v>4.2948822108356799</v>
      </c>
      <c r="I32" s="116">
        <f>H32 * $C$44 / 1000</f>
        <v>4.7243704319192474</v>
      </c>
      <c r="J32" s="101">
        <f>I32*1000/10100 - 1</f>
        <v>-0.53224055129512404</v>
      </c>
      <c r="K32" s="219"/>
      <c r="L32" s="219"/>
      <c r="M32" s="219"/>
      <c r="N32" s="219"/>
    </row>
    <row r="33" spans="1:14">
      <c r="A33" s="282" t="s">
        <v>53</v>
      </c>
      <c r="B33" s="16">
        <v>0.2</v>
      </c>
      <c r="C33" s="16">
        <v>0.4</v>
      </c>
      <c r="D33" s="16">
        <v>0.4</v>
      </c>
      <c r="E33" s="193">
        <f>$G$23</f>
        <v>6.703448275862069</v>
      </c>
      <c r="F33" s="193">
        <f>AVERAGE($G$24,$G$25)</f>
        <v>3.1018529563799753</v>
      </c>
      <c r="G33" s="193">
        <f>$G$26</f>
        <v>5.8185185185185189</v>
      </c>
      <c r="H33" s="194">
        <f>B33*E33 + C33*F33 + D33*G33</f>
        <v>4.908838245131812</v>
      </c>
      <c r="I33" s="116">
        <f>H33 * $C$44 / 1000</f>
        <v>5.3997220696449935</v>
      </c>
      <c r="J33" s="101">
        <f>I33*1000/10100 - 1</f>
        <v>-0.46537405251039676</v>
      </c>
      <c r="K33" s="219"/>
      <c r="L33" s="219"/>
      <c r="M33" s="219"/>
      <c r="N33" s="219"/>
    </row>
    <row r="34" spans="1:14">
      <c r="A34" s="282" t="s">
        <v>58</v>
      </c>
      <c r="B34" s="16">
        <v>0.1</v>
      </c>
      <c r="C34" s="16">
        <v>0.3</v>
      </c>
      <c r="D34" s="16">
        <v>0.6</v>
      </c>
      <c r="E34" s="193">
        <f>$G$23</f>
        <v>6.703448275862069</v>
      </c>
      <c r="F34" s="193">
        <f>$G$25</f>
        <v>5.0792079207920793</v>
      </c>
      <c r="G34" s="193">
        <f>$G$26</f>
        <v>5.8185185185185189</v>
      </c>
      <c r="H34" s="194">
        <f>B34*E34 + C34*F34 + D34*G34</f>
        <v>5.6852183149349411</v>
      </c>
      <c r="I34" s="116">
        <f>H34 * $C$44 / 1000</f>
        <v>6.2537401464284352</v>
      </c>
      <c r="J34" s="101">
        <f>I34*1000/10100 - 1</f>
        <v>-0.38081780728431336</v>
      </c>
      <c r="K34" s="219"/>
      <c r="L34" s="219"/>
      <c r="M34" s="219"/>
      <c r="N34" s="219"/>
    </row>
    <row r="35" spans="1:14">
      <c r="A35" s="282" t="s">
        <v>796</v>
      </c>
      <c r="B35" s="16">
        <v>0.05</v>
      </c>
      <c r="C35" s="16">
        <v>0.25</v>
      </c>
      <c r="D35" s="16">
        <v>0.7</v>
      </c>
      <c r="E35" s="193">
        <f>$G$23</f>
        <v>6.703448275862069</v>
      </c>
      <c r="F35" s="193">
        <f>$G$25</f>
        <v>5.0792079207920793</v>
      </c>
      <c r="G35" s="193">
        <f>$G$26</f>
        <v>5.8185185185185189</v>
      </c>
      <c r="H35" s="194">
        <f>B35*E35 + C35*F35 + D35*G35</f>
        <v>5.6779373569540859</v>
      </c>
      <c r="I35" s="116">
        <f>H35 * $C$44 / 1000</f>
        <v>6.2457310926494944</v>
      </c>
      <c r="J35" s="101">
        <f>I35*1000/10100 - 1</f>
        <v>-0.3816107829059906</v>
      </c>
      <c r="K35" s="219"/>
      <c r="L35" s="219"/>
      <c r="M35" s="219"/>
      <c r="N35" s="219"/>
    </row>
    <row r="36" spans="1:14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</row>
    <row r="37" spans="1:14">
      <c r="A37" s="278" t="s">
        <v>797</v>
      </c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</row>
    <row r="38" spans="1:14">
      <c r="A38" s="278" t="s">
        <v>798</v>
      </c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</row>
    <row r="39" spans="1:14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</row>
    <row r="40" spans="1:14">
      <c r="A40" s="269" t="s">
        <v>799</v>
      </c>
      <c r="B40" s="269"/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</row>
    <row r="41" spans="1:14">
      <c r="A41" s="255" t="s">
        <v>800</v>
      </c>
      <c r="B41" s="99">
        <f>'Revenue Build'!D20</f>
        <v>528.36387500000001</v>
      </c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</row>
    <row r="42" spans="1:14">
      <c r="A42" s="255" t="s">
        <v>801</v>
      </c>
      <c r="B42" s="168">
        <v>1100</v>
      </c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</row>
    <row r="43" spans="1:14">
      <c r="A43" s="255" t="s">
        <v>802</v>
      </c>
      <c r="B43" s="99">
        <f>'Revenue Build'!E20</f>
        <v>890.01137297606897</v>
      </c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</row>
    <row r="44" spans="1:14">
      <c r="A44" s="273" t="s">
        <v>803</v>
      </c>
      <c r="B44" s="296" t="s">
        <v>804</v>
      </c>
      <c r="C44" s="106">
        <f>IF($B$44="Recognized",B41,IF($B$44="Bookings",B42,IF($B$44="NTM",B43,B42)))</f>
        <v>1100</v>
      </c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</row>
    <row r="45" spans="1:14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</row>
    <row r="46" spans="1:14">
      <c r="A46" s="297" t="s">
        <v>805</v>
      </c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</row>
    <row r="47" spans="1:14">
      <c r="A47" s="219" t="s">
        <v>806</v>
      </c>
      <c r="B47" s="195">
        <f>10100/$C$44</f>
        <v>9.1818181818181817</v>
      </c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</row>
    <row r="48" spans="1:14">
      <c r="A48" s="219" t="s">
        <v>807</v>
      </c>
      <c r="B48" s="198">
        <f>IFERROR((B47 - 0.2*G23 - 0.4*AVERAGE(G24,G25))/0.4, 0)</f>
        <v>16.500968360234445</v>
      </c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</row>
    <row r="49" spans="1:14">
      <c r="A49" s="255" t="s">
        <v>808</v>
      </c>
      <c r="B49" s="197">
        <f>IFERROR(B48/G26 - 1, 0)</f>
        <v>1.8359398200275621</v>
      </c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</row>
    <row r="50" spans="1:14">
      <c r="A50" s="219" t="s">
        <v>809</v>
      </c>
      <c r="B50" s="196">
        <f>B47/100</f>
        <v>9.1818181818181813E-2</v>
      </c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</row>
    <row r="51" spans="1:14">
      <c r="A51" s="273" t="s">
        <v>810</v>
      </c>
      <c r="B51" s="199">
        <f>N26</f>
        <v>0.45676065013511369</v>
      </c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</row>
    <row r="52" spans="1:14">
      <c r="A52" s="273" t="s">
        <v>811</v>
      </c>
      <c r="B52" s="197">
        <f>IFERROR(B50/B51, 0)</f>
        <v>0.20102034137796504</v>
      </c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</row>
    <row r="53" spans="1:14" ht="144">
      <c r="A53" s="298" t="s">
        <v>812</v>
      </c>
      <c r="B53" s="219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</row>
    <row r="54" spans="1:14">
      <c r="A54" s="219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</row>
    <row r="55" spans="1:14">
      <c r="A55" s="262" t="s">
        <v>813</v>
      </c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</row>
    <row r="56" spans="1:14" ht="105">
      <c r="A56" s="298" t="s">
        <v>814</v>
      </c>
      <c r="B56" s="219"/>
      <c r="C56" s="219"/>
      <c r="D56" s="219"/>
      <c r="E56" s="219"/>
      <c r="F56" s="219"/>
      <c r="G56" s="219"/>
      <c r="H56" s="219"/>
      <c r="I56" s="219"/>
      <c r="J56" s="219"/>
      <c r="K56" s="219"/>
      <c r="L56" s="219"/>
      <c r="M56" s="219"/>
      <c r="N56" s="219"/>
    </row>
    <row r="57" spans="1:14" ht="117.95">
      <c r="A57" s="298" t="s">
        <v>815</v>
      </c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</row>
    <row r="58" spans="1:14" ht="105">
      <c r="A58" s="298" t="s">
        <v>816</v>
      </c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</row>
    <row r="59" spans="1:14" ht="53.1">
      <c r="A59" s="299" t="s">
        <v>817</v>
      </c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H21"/>
  <sheetViews>
    <sheetView showGridLines="0" workbookViewId="0"/>
  </sheetViews>
  <sheetFormatPr defaultColWidth="8.85546875" defaultRowHeight="15"/>
  <cols>
    <col min="1" max="1" width="28" customWidth="1"/>
    <col min="2" max="5" width="12" customWidth="1"/>
    <col min="6" max="6" width="14" customWidth="1"/>
    <col min="7" max="7" width="10" customWidth="1"/>
    <col min="8" max="8" width="35" customWidth="1"/>
  </cols>
  <sheetData>
    <row r="1" spans="1:8" ht="18.95">
      <c r="A1" s="11" t="s">
        <v>818</v>
      </c>
      <c r="B1" s="213"/>
      <c r="C1" s="213"/>
      <c r="D1" s="213"/>
      <c r="E1" s="213"/>
      <c r="F1" s="213"/>
      <c r="G1" s="213"/>
      <c r="H1" s="213"/>
    </row>
    <row r="2" spans="1:8">
      <c r="A2" s="13" t="s">
        <v>819</v>
      </c>
      <c r="B2" s="213"/>
      <c r="C2" s="213"/>
      <c r="D2" s="213"/>
      <c r="E2" s="213"/>
      <c r="F2" s="213"/>
      <c r="G2" s="213"/>
      <c r="H2" s="213"/>
    </row>
    <row r="4" spans="1:8">
      <c r="A4" s="12" t="s">
        <v>820</v>
      </c>
      <c r="B4" s="12" t="s">
        <v>821</v>
      </c>
      <c r="C4" s="12" t="s">
        <v>748</v>
      </c>
      <c r="D4" s="12" t="s">
        <v>749</v>
      </c>
      <c r="E4" s="12" t="s">
        <v>822</v>
      </c>
      <c r="F4" s="12" t="s">
        <v>823</v>
      </c>
      <c r="G4" s="12" t="s">
        <v>746</v>
      </c>
      <c r="H4" s="12" t="s">
        <v>824</v>
      </c>
    </row>
    <row r="5" spans="1:8">
      <c r="A5" s="5" t="s">
        <v>825</v>
      </c>
      <c r="B5" s="5" t="s">
        <v>826</v>
      </c>
      <c r="C5" s="18">
        <v>2.1</v>
      </c>
      <c r="D5" s="34">
        <v>1.43</v>
      </c>
      <c r="E5" s="17">
        <v>1.5</v>
      </c>
      <c r="F5" s="5" t="s">
        <v>827</v>
      </c>
      <c r="G5" s="5" t="s">
        <v>762</v>
      </c>
      <c r="H5" s="214" t="s">
        <v>828</v>
      </c>
    </row>
    <row r="6" spans="1:8">
      <c r="A6" s="5" t="s">
        <v>829</v>
      </c>
      <c r="B6" s="5" t="s">
        <v>830</v>
      </c>
      <c r="C6" s="18">
        <v>0.5</v>
      </c>
      <c r="D6" s="34">
        <v>0.17</v>
      </c>
      <c r="E6" s="17">
        <v>2.9</v>
      </c>
      <c r="F6" s="5" t="s">
        <v>827</v>
      </c>
      <c r="G6" s="5" t="s">
        <v>766</v>
      </c>
      <c r="H6" s="214" t="s">
        <v>831</v>
      </c>
    </row>
    <row r="7" spans="1:8">
      <c r="A7" s="5" t="s">
        <v>832</v>
      </c>
      <c r="B7" s="5" t="s">
        <v>833</v>
      </c>
      <c r="C7" s="18">
        <v>18.5</v>
      </c>
      <c r="D7" s="34">
        <v>0.28999999999999998</v>
      </c>
      <c r="E7" s="17">
        <v>63.8</v>
      </c>
      <c r="F7" s="5" t="s">
        <v>827</v>
      </c>
      <c r="G7" s="5" t="s">
        <v>834</v>
      </c>
      <c r="H7" s="214" t="s">
        <v>835</v>
      </c>
    </row>
    <row r="8" spans="1:8">
      <c r="A8" s="5" t="s">
        <v>836</v>
      </c>
      <c r="B8" s="5" t="s">
        <v>837</v>
      </c>
      <c r="C8" s="18">
        <v>19.7</v>
      </c>
      <c r="D8" s="34">
        <v>1.48</v>
      </c>
      <c r="E8" s="17">
        <v>13.3</v>
      </c>
      <c r="F8" s="5" t="s">
        <v>838</v>
      </c>
      <c r="G8" s="5" t="s">
        <v>834</v>
      </c>
      <c r="H8" s="214" t="s">
        <v>839</v>
      </c>
    </row>
    <row r="9" spans="1:8">
      <c r="A9" s="5" t="s">
        <v>840</v>
      </c>
      <c r="B9" s="5" t="s">
        <v>841</v>
      </c>
      <c r="C9" s="18">
        <v>1.03</v>
      </c>
      <c r="D9" s="34">
        <v>0.9</v>
      </c>
      <c r="E9" s="17">
        <v>1.1000000000000001</v>
      </c>
      <c r="F9" s="5" t="s">
        <v>838</v>
      </c>
      <c r="G9" s="5" t="s">
        <v>762</v>
      </c>
      <c r="H9" s="214" t="s">
        <v>842</v>
      </c>
    </row>
    <row r="10" spans="1:8">
      <c r="A10" s="5" t="s">
        <v>843</v>
      </c>
      <c r="B10" s="5" t="s">
        <v>844</v>
      </c>
      <c r="C10" s="18">
        <v>8</v>
      </c>
      <c r="D10" s="34">
        <v>0.77</v>
      </c>
      <c r="E10" s="17">
        <v>10.4</v>
      </c>
      <c r="F10" s="5" t="s">
        <v>838</v>
      </c>
      <c r="G10" s="5" t="s">
        <v>772</v>
      </c>
      <c r="H10" s="214" t="s">
        <v>845</v>
      </c>
    </row>
    <row r="11" spans="1:8">
      <c r="A11" s="5" t="s">
        <v>846</v>
      </c>
      <c r="B11" s="5" t="s">
        <v>847</v>
      </c>
      <c r="C11" s="18">
        <v>3.9</v>
      </c>
      <c r="D11" s="34">
        <v>1.1000000000000001</v>
      </c>
      <c r="E11" s="17">
        <v>3.5</v>
      </c>
      <c r="F11" s="5" t="s">
        <v>838</v>
      </c>
      <c r="G11" s="5" t="s">
        <v>834</v>
      </c>
      <c r="H11" s="214" t="s">
        <v>848</v>
      </c>
    </row>
    <row r="12" spans="1:8">
      <c r="A12" s="5" t="s">
        <v>849</v>
      </c>
      <c r="B12" s="5" t="s">
        <v>850</v>
      </c>
      <c r="C12" s="18">
        <v>13.1</v>
      </c>
      <c r="D12" s="34">
        <v>0.73</v>
      </c>
      <c r="E12" s="17">
        <v>17.899999999999999</v>
      </c>
      <c r="F12" s="5" t="s">
        <v>851</v>
      </c>
      <c r="G12" s="5" t="s">
        <v>772</v>
      </c>
      <c r="H12" s="214" t="s">
        <v>852</v>
      </c>
    </row>
    <row r="13" spans="1:8">
      <c r="A13" s="5" t="s">
        <v>853</v>
      </c>
      <c r="B13" s="5" t="s">
        <v>854</v>
      </c>
      <c r="C13" s="18">
        <v>3.7</v>
      </c>
      <c r="D13" s="34">
        <v>0.37</v>
      </c>
      <c r="E13" s="17">
        <v>10.1</v>
      </c>
      <c r="F13" s="5" t="s">
        <v>851</v>
      </c>
      <c r="G13" s="5" t="s">
        <v>772</v>
      </c>
      <c r="H13" s="214" t="s">
        <v>855</v>
      </c>
    </row>
    <row r="14" spans="1:8">
      <c r="A14" s="5" t="s">
        <v>856</v>
      </c>
      <c r="B14" s="5" t="s">
        <v>857</v>
      </c>
      <c r="C14" s="18">
        <v>4.9000000000000004</v>
      </c>
      <c r="D14" s="34">
        <v>0.6</v>
      </c>
      <c r="E14" s="17">
        <v>8.1</v>
      </c>
      <c r="F14" s="5" t="s">
        <v>851</v>
      </c>
      <c r="G14" s="5" t="s">
        <v>772</v>
      </c>
      <c r="H14" s="214" t="s">
        <v>858</v>
      </c>
    </row>
    <row r="15" spans="1:8">
      <c r="A15" s="5" t="s">
        <v>859</v>
      </c>
      <c r="B15" s="5" t="s">
        <v>860</v>
      </c>
      <c r="C15" s="18">
        <v>9.9</v>
      </c>
      <c r="D15" s="34">
        <v>1.51</v>
      </c>
      <c r="E15" s="17">
        <v>6.6</v>
      </c>
      <c r="F15" s="5" t="s">
        <v>851</v>
      </c>
      <c r="G15" s="5" t="s">
        <v>772</v>
      </c>
      <c r="H15" s="214" t="s">
        <v>861</v>
      </c>
    </row>
    <row r="18" spans="1:8">
      <c r="A18" s="14" t="s">
        <v>862</v>
      </c>
      <c r="B18" s="14"/>
      <c r="C18" s="14"/>
      <c r="D18" s="14"/>
      <c r="E18" s="14"/>
      <c r="F18" s="14"/>
      <c r="G18" s="14"/>
      <c r="H18" s="14"/>
    </row>
    <row r="19" spans="1:8">
      <c r="A19" s="7" t="s">
        <v>863</v>
      </c>
      <c r="B19" s="213"/>
      <c r="C19" s="213"/>
      <c r="D19" s="213"/>
      <c r="E19" s="213"/>
      <c r="F19" s="213"/>
      <c r="G19" s="213"/>
      <c r="H19" s="213"/>
    </row>
    <row r="20" spans="1:8">
      <c r="A20" s="35" t="s">
        <v>864</v>
      </c>
      <c r="B20" s="213"/>
      <c r="C20" s="213"/>
      <c r="D20" s="213"/>
      <c r="E20" s="213"/>
      <c r="F20" s="213"/>
      <c r="G20" s="213"/>
      <c r="H20" s="213"/>
    </row>
    <row r="21" spans="1:8">
      <c r="A21" s="7" t="s">
        <v>865</v>
      </c>
      <c r="B21" s="213"/>
      <c r="C21" s="213"/>
      <c r="D21" s="213"/>
      <c r="E21" s="213"/>
      <c r="F21" s="213"/>
      <c r="G21" s="213"/>
      <c r="H21" s="21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I35"/>
  <sheetViews>
    <sheetView showGridLines="0" topLeftCell="D1" workbookViewId="0"/>
  </sheetViews>
  <sheetFormatPr defaultColWidth="8.85546875" defaultRowHeight="15"/>
  <cols>
    <col min="1" max="1" width="22" customWidth="1"/>
    <col min="2" max="3" width="14" customWidth="1"/>
    <col min="4" max="4" width="16" customWidth="1"/>
    <col min="5" max="8" width="14" customWidth="1"/>
    <col min="9" max="9" width="25" customWidth="1"/>
  </cols>
  <sheetData>
    <row r="1" spans="1:9" ht="18.95">
      <c r="A1" s="11" t="s">
        <v>866</v>
      </c>
      <c r="B1" s="213"/>
      <c r="C1" s="213"/>
      <c r="D1" s="213"/>
      <c r="E1" s="213"/>
      <c r="F1" s="213"/>
      <c r="G1" s="213"/>
      <c r="H1" s="213"/>
      <c r="I1" s="213"/>
    </row>
    <row r="2" spans="1:9">
      <c r="A2" s="13" t="s">
        <v>867</v>
      </c>
      <c r="B2" s="213"/>
      <c r="C2" s="213"/>
      <c r="D2" s="213"/>
      <c r="E2" s="213"/>
      <c r="F2" s="213"/>
      <c r="G2" s="213"/>
      <c r="H2" s="213"/>
      <c r="I2" s="213"/>
    </row>
    <row r="4" spans="1:9">
      <c r="A4" s="12" t="s">
        <v>868</v>
      </c>
      <c r="B4" s="12" t="s">
        <v>821</v>
      </c>
      <c r="C4" s="12" t="s">
        <v>869</v>
      </c>
      <c r="D4" s="12" t="s">
        <v>870</v>
      </c>
      <c r="E4" s="12" t="s">
        <v>871</v>
      </c>
      <c r="F4" s="12" t="s">
        <v>872</v>
      </c>
      <c r="G4" s="12" t="s">
        <v>873</v>
      </c>
      <c r="H4" s="12" t="s">
        <v>874</v>
      </c>
      <c r="I4" s="12" t="s">
        <v>875</v>
      </c>
    </row>
    <row r="5" spans="1:9">
      <c r="A5" s="5" t="s">
        <v>876</v>
      </c>
      <c r="B5" s="5" t="s">
        <v>877</v>
      </c>
      <c r="C5" s="18">
        <v>1</v>
      </c>
      <c r="D5" s="5"/>
      <c r="E5" s="5"/>
      <c r="F5" s="5"/>
      <c r="G5" s="5"/>
      <c r="H5" s="5" t="s">
        <v>878</v>
      </c>
      <c r="I5" s="5" t="s">
        <v>879</v>
      </c>
    </row>
    <row r="6" spans="1:9">
      <c r="A6" s="5" t="s">
        <v>880</v>
      </c>
      <c r="B6" s="5" t="s">
        <v>881</v>
      </c>
      <c r="C6" s="18">
        <v>4</v>
      </c>
      <c r="D6" s="5"/>
      <c r="E6" s="5"/>
      <c r="F6" s="5"/>
      <c r="G6" s="5"/>
      <c r="H6" s="5" t="s">
        <v>878</v>
      </c>
      <c r="I6" s="5" t="s">
        <v>882</v>
      </c>
    </row>
    <row r="7" spans="1:9">
      <c r="A7" s="5" t="s">
        <v>883</v>
      </c>
      <c r="B7" s="5" t="s">
        <v>884</v>
      </c>
      <c r="C7" s="18">
        <v>12</v>
      </c>
      <c r="D7" s="5"/>
      <c r="E7" s="5"/>
      <c r="F7" s="5"/>
      <c r="G7" s="5"/>
      <c r="H7" s="5" t="s">
        <v>878</v>
      </c>
      <c r="I7" s="5" t="s">
        <v>885</v>
      </c>
    </row>
    <row r="8" spans="1:9">
      <c r="A8" s="5" t="s">
        <v>886</v>
      </c>
      <c r="B8" s="5" t="s">
        <v>887</v>
      </c>
      <c r="C8" s="18">
        <v>55</v>
      </c>
      <c r="D8" s="34">
        <v>0.43</v>
      </c>
      <c r="E8" s="5"/>
      <c r="F8" s="5"/>
      <c r="G8" s="5"/>
      <c r="H8" s="5" t="s">
        <v>878</v>
      </c>
      <c r="I8" s="5" t="s">
        <v>888</v>
      </c>
    </row>
    <row r="9" spans="1:9">
      <c r="A9" s="5" t="s">
        <v>889</v>
      </c>
      <c r="B9" s="5" t="s">
        <v>833</v>
      </c>
      <c r="C9" s="18">
        <v>100</v>
      </c>
      <c r="D9" s="34">
        <v>1.2</v>
      </c>
      <c r="E9" s="5"/>
      <c r="F9" s="5"/>
      <c r="G9" s="5"/>
      <c r="H9" s="5" t="s">
        <v>878</v>
      </c>
      <c r="I9" s="5" t="s">
        <v>888</v>
      </c>
    </row>
    <row r="10" spans="1:9">
      <c r="A10" s="5" t="s">
        <v>890</v>
      </c>
      <c r="B10" s="5" t="s">
        <v>891</v>
      </c>
      <c r="C10" s="18">
        <v>200</v>
      </c>
      <c r="D10" s="34">
        <v>2.4</v>
      </c>
      <c r="E10" s="5"/>
      <c r="F10" s="5"/>
      <c r="G10" s="5"/>
      <c r="H10" s="5" t="s">
        <v>878</v>
      </c>
      <c r="I10" s="5" t="s">
        <v>892</v>
      </c>
    </row>
    <row r="11" spans="1:9">
      <c r="A11" s="5" t="s">
        <v>893</v>
      </c>
      <c r="B11" s="5" t="s">
        <v>891</v>
      </c>
      <c r="C11" s="18">
        <v>200</v>
      </c>
      <c r="D11" s="34">
        <v>3.6</v>
      </c>
      <c r="E11" s="36">
        <v>4.76</v>
      </c>
      <c r="F11" s="5"/>
      <c r="G11" s="5"/>
      <c r="H11" s="5" t="s">
        <v>878</v>
      </c>
      <c r="I11" s="5" t="s">
        <v>892</v>
      </c>
    </row>
    <row r="12" spans="1:9">
      <c r="A12" s="5" t="s">
        <v>894</v>
      </c>
      <c r="B12" s="5" t="s">
        <v>895</v>
      </c>
      <c r="C12" s="18">
        <v>46</v>
      </c>
      <c r="D12" s="5"/>
      <c r="E12" s="5"/>
      <c r="F12" s="5"/>
      <c r="G12" s="5"/>
      <c r="H12" s="5" t="s">
        <v>896</v>
      </c>
      <c r="I12" s="5" t="s">
        <v>897</v>
      </c>
    </row>
    <row r="13" spans="1:9">
      <c r="A13" s="5" t="s">
        <v>898</v>
      </c>
      <c r="B13" s="5" t="s">
        <v>899</v>
      </c>
      <c r="C13" s="18">
        <v>575</v>
      </c>
      <c r="D13" s="34">
        <v>10.1</v>
      </c>
      <c r="E13" s="36">
        <v>11.23</v>
      </c>
      <c r="F13" s="5"/>
      <c r="G13" s="16">
        <v>5.7000000000000002E-2</v>
      </c>
      <c r="H13" s="5" t="s">
        <v>878</v>
      </c>
      <c r="I13" s="5" t="s">
        <v>900</v>
      </c>
    </row>
    <row r="15" spans="1:9">
      <c r="A15" s="4" t="s">
        <v>901</v>
      </c>
      <c r="B15" s="213"/>
      <c r="C15" s="22">
        <v>1030</v>
      </c>
      <c r="D15" s="213"/>
      <c r="E15" s="213"/>
      <c r="F15" s="213"/>
      <c r="G15" s="213"/>
      <c r="H15" s="213"/>
      <c r="I15" s="213"/>
    </row>
    <row r="17" spans="1:9">
      <c r="A17" s="14" t="s">
        <v>902</v>
      </c>
      <c r="B17" s="14"/>
      <c r="C17" s="14"/>
      <c r="D17" s="14"/>
      <c r="E17" s="14"/>
      <c r="F17" s="14"/>
      <c r="G17" s="14"/>
      <c r="H17" s="14"/>
      <c r="I17" s="14"/>
    </row>
    <row r="18" spans="1:9">
      <c r="A18" s="7" t="s">
        <v>903</v>
      </c>
      <c r="B18" s="213"/>
      <c r="C18" s="5" t="s">
        <v>904</v>
      </c>
      <c r="D18" s="213"/>
      <c r="E18" s="10" t="s">
        <v>905</v>
      </c>
      <c r="F18" s="213"/>
      <c r="G18" s="213"/>
      <c r="H18" s="213"/>
      <c r="I18" s="213"/>
    </row>
    <row r="19" spans="1:9">
      <c r="A19" s="7" t="s">
        <v>906</v>
      </c>
      <c r="B19" s="213"/>
      <c r="C19" s="5" t="s">
        <v>907</v>
      </c>
      <c r="D19" s="213"/>
      <c r="E19" s="10" t="s">
        <v>905</v>
      </c>
      <c r="F19" s="213"/>
      <c r="G19" s="213"/>
      <c r="H19" s="213"/>
      <c r="I19" s="213"/>
    </row>
    <row r="20" spans="1:9">
      <c r="A20" s="7" t="s">
        <v>908</v>
      </c>
      <c r="B20" s="213"/>
      <c r="C20" s="5" t="s">
        <v>909</v>
      </c>
      <c r="D20" s="213"/>
      <c r="E20" s="10" t="s">
        <v>910</v>
      </c>
      <c r="F20" s="213"/>
      <c r="G20" s="213"/>
      <c r="H20" s="213"/>
      <c r="I20" s="213"/>
    </row>
    <row r="21" spans="1:9">
      <c r="A21" s="7" t="s">
        <v>911</v>
      </c>
      <c r="B21" s="213"/>
      <c r="C21" s="5" t="s">
        <v>912</v>
      </c>
      <c r="D21" s="213"/>
      <c r="E21" s="10" t="s">
        <v>913</v>
      </c>
      <c r="F21" s="213"/>
      <c r="G21" s="213"/>
      <c r="H21" s="213"/>
      <c r="I21" s="213"/>
    </row>
    <row r="22" spans="1:9">
      <c r="A22" s="7" t="s">
        <v>914</v>
      </c>
      <c r="B22" s="213"/>
      <c r="C22" s="5" t="s">
        <v>915</v>
      </c>
      <c r="D22" s="213"/>
      <c r="E22" s="10" t="s">
        <v>905</v>
      </c>
      <c r="F22" s="213"/>
      <c r="G22" s="213"/>
      <c r="H22" s="213"/>
      <c r="I22" s="213"/>
    </row>
    <row r="23" spans="1:9">
      <c r="A23" s="7" t="s">
        <v>916</v>
      </c>
      <c r="B23" s="213"/>
      <c r="C23" s="5" t="s">
        <v>917</v>
      </c>
      <c r="D23" s="213"/>
      <c r="E23" s="10" t="s">
        <v>918</v>
      </c>
      <c r="F23" s="213"/>
      <c r="G23" s="213"/>
      <c r="H23" s="213"/>
      <c r="I23" s="213"/>
    </row>
    <row r="26" spans="1:9">
      <c r="A26" s="14" t="s">
        <v>919</v>
      </c>
      <c r="B26" s="14"/>
      <c r="C26" s="14"/>
      <c r="D26" s="14"/>
      <c r="E26" s="14"/>
      <c r="F26" s="14"/>
      <c r="G26" s="14"/>
      <c r="H26" s="14"/>
      <c r="I26" s="14"/>
    </row>
    <row r="27" spans="1:9">
      <c r="A27" s="12"/>
      <c r="B27" s="12"/>
      <c r="C27" s="12" t="s">
        <v>920</v>
      </c>
      <c r="D27" s="12"/>
      <c r="E27" s="12" t="s">
        <v>921</v>
      </c>
      <c r="F27" s="12"/>
      <c r="G27" s="12" t="s">
        <v>922</v>
      </c>
      <c r="H27" s="12"/>
      <c r="I27" s="12"/>
    </row>
    <row r="28" spans="1:9">
      <c r="A28" s="7" t="s">
        <v>923</v>
      </c>
      <c r="B28" s="213"/>
      <c r="C28" s="22"/>
      <c r="D28" s="213"/>
      <c r="E28" s="22"/>
      <c r="F28" s="213"/>
      <c r="G28" s="22"/>
      <c r="H28" s="213"/>
      <c r="I28" s="213"/>
    </row>
    <row r="29" spans="1:9">
      <c r="A29" s="7" t="s">
        <v>924</v>
      </c>
      <c r="B29" s="213"/>
      <c r="C29" s="22"/>
      <c r="D29" s="213"/>
      <c r="E29" s="22"/>
      <c r="F29" s="213"/>
      <c r="G29" s="22"/>
      <c r="H29" s="213"/>
      <c r="I29" s="213"/>
    </row>
    <row r="30" spans="1:9">
      <c r="A30" s="7" t="s">
        <v>925</v>
      </c>
      <c r="B30" s="213"/>
      <c r="C30" s="22"/>
      <c r="D30" s="213"/>
      <c r="E30" s="22"/>
      <c r="F30" s="213"/>
      <c r="G30" s="22"/>
      <c r="H30" s="213"/>
      <c r="I30" s="213"/>
    </row>
    <row r="31" spans="1:9">
      <c r="A31" s="7" t="s">
        <v>926</v>
      </c>
      <c r="B31" s="213"/>
      <c r="C31" s="22"/>
      <c r="D31" s="213"/>
      <c r="E31" s="22"/>
      <c r="F31" s="213"/>
      <c r="G31" s="22"/>
      <c r="H31" s="213"/>
      <c r="I31" s="213"/>
    </row>
    <row r="32" spans="1:9">
      <c r="A32" s="7" t="s">
        <v>927</v>
      </c>
      <c r="B32" s="213"/>
      <c r="C32" s="22"/>
      <c r="D32" s="213"/>
      <c r="E32" s="22"/>
      <c r="F32" s="213"/>
      <c r="G32" s="22"/>
      <c r="H32" s="213"/>
      <c r="I32" s="213"/>
    </row>
    <row r="33" spans="1:7">
      <c r="A33" s="7" t="s">
        <v>928</v>
      </c>
      <c r="B33" s="213"/>
      <c r="C33" s="22"/>
      <c r="D33" s="213"/>
      <c r="E33" s="22"/>
      <c r="F33" s="213"/>
      <c r="G33" s="22"/>
    </row>
    <row r="34" spans="1:7">
      <c r="A34" s="7" t="s">
        <v>929</v>
      </c>
      <c r="B34" s="213"/>
      <c r="C34" s="22"/>
      <c r="D34" s="213"/>
      <c r="E34" s="22"/>
      <c r="F34" s="213"/>
      <c r="G34" s="22"/>
    </row>
    <row r="35" spans="1:7">
      <c r="A35" s="7" t="s">
        <v>930</v>
      </c>
      <c r="B35" s="213"/>
      <c r="C35" s="22"/>
      <c r="D35" s="213"/>
      <c r="E35" s="22"/>
      <c r="F35" s="213"/>
      <c r="G35" s="2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K37"/>
  <sheetViews>
    <sheetView showGridLines="0" workbookViewId="0">
      <selection activeCell="E35" sqref="E35"/>
    </sheetView>
  </sheetViews>
  <sheetFormatPr defaultColWidth="8.85546875" defaultRowHeight="15"/>
  <cols>
    <col min="1" max="1" width="30" customWidth="1"/>
    <col min="2" max="6" width="14" customWidth="1"/>
  </cols>
  <sheetData>
    <row r="1" spans="1:11" ht="18.95">
      <c r="A1" s="300" t="s">
        <v>931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</row>
    <row r="2" spans="1:11">
      <c r="A2" s="245" t="s">
        <v>932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</row>
    <row r="3" spans="1:1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</row>
    <row r="4" spans="1:11">
      <c r="A4" s="301" t="s">
        <v>933</v>
      </c>
      <c r="B4" s="301" t="s">
        <v>934</v>
      </c>
      <c r="C4" s="302" t="s">
        <v>935</v>
      </c>
      <c r="D4" s="303" t="s">
        <v>936</v>
      </c>
      <c r="E4" s="302" t="s">
        <v>937</v>
      </c>
      <c r="F4" s="302" t="s">
        <v>938</v>
      </c>
      <c r="G4" s="303" t="s">
        <v>939</v>
      </c>
      <c r="H4" s="302" t="s">
        <v>940</v>
      </c>
      <c r="I4" s="302" t="s">
        <v>941</v>
      </c>
      <c r="J4" s="302" t="s">
        <v>942</v>
      </c>
      <c r="K4" s="301" t="s">
        <v>943</v>
      </c>
    </row>
    <row r="5" spans="1:11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</row>
    <row r="6" spans="1:11" ht="66">
      <c r="A6" s="273" t="s">
        <v>944</v>
      </c>
      <c r="B6" s="245" t="s">
        <v>945</v>
      </c>
      <c r="C6" s="99">
        <f>Sensitivity!B44</f>
        <v>6.389503176701484</v>
      </c>
      <c r="D6" s="106">
        <f>Sensitivity!C44</f>
        <v>9.4650065371509964</v>
      </c>
      <c r="E6" s="99">
        <f>Sensitivity!D44</f>
        <v>13.142741330830344</v>
      </c>
      <c r="F6" s="202">
        <f>(C6*1000 - Assumptions!$F$62 + Assumptions!$F$63)/Assumptions!$F$55</f>
        <v>17.267080918784107</v>
      </c>
      <c r="G6" s="203">
        <f>(D6*1000 - Assumptions!$F$62 + Assumptions!$F$63)/Assumptions!$F$55</f>
        <v>24.768308627197555</v>
      </c>
      <c r="H6" s="202">
        <f>(E6*1000 - Assumptions!$F$62 + Assumptions!$F$63)/Assumptions!$F$55</f>
        <v>33.738393489830109</v>
      </c>
      <c r="I6" s="304">
        <v>0.4</v>
      </c>
      <c r="J6" s="204">
        <f>D6*I6</f>
        <v>3.7860026148603989</v>
      </c>
      <c r="K6" s="298" t="s">
        <v>946</v>
      </c>
    </row>
    <row r="7" spans="1:11" ht="92.1">
      <c r="A7" s="255" t="s">
        <v>947</v>
      </c>
      <c r="B7" s="245" t="s">
        <v>948</v>
      </c>
      <c r="C7" s="305">
        <f>C6 + RealOptions!E7</f>
        <v>6.6670031767014839</v>
      </c>
      <c r="D7" s="305">
        <f>DCF!C54/1000</f>
        <v>11.860468621548909</v>
      </c>
      <c r="E7" s="305">
        <f>E6 + RealOptions!E5</f>
        <v>14.132741330830344</v>
      </c>
      <c r="F7" s="205">
        <f>(C7*1000 - Assumptions!$F$62 + Assumptions!$F$63)/Assumptions!$F$55</f>
        <v>17.943910187076792</v>
      </c>
      <c r="G7" s="205">
        <f>(D7*1000 - Assumptions!$F$62 + Assumptions!$F$63)/Assumptions!$F$55</f>
        <v>30.610899076948559</v>
      </c>
      <c r="H7" s="205">
        <f>(E7*1000 - Assumptions!$F$62 + Assumptions!$F$63)/Assumptions!$F$55</f>
        <v>36.153027636171572</v>
      </c>
      <c r="I7" s="219"/>
      <c r="J7" s="219"/>
      <c r="K7" s="298" t="s">
        <v>949</v>
      </c>
    </row>
    <row r="8" spans="1:11" ht="78.95">
      <c r="A8" s="273" t="s">
        <v>950</v>
      </c>
      <c r="B8" s="245" t="s">
        <v>951</v>
      </c>
      <c r="C8" s="99">
        <f>Comps!I32</f>
        <v>4.7243704319192474</v>
      </c>
      <c r="D8" s="106">
        <f>Comps!I33</f>
        <v>5.3997220696449935</v>
      </c>
      <c r="E8" s="99">
        <f>Comps!I34</f>
        <v>6.2537401464284352</v>
      </c>
      <c r="F8" s="202">
        <f>(C8*1000 - Assumptions!$F$62 + Assumptions!$F$63)/Assumptions!$F$55</f>
        <v>13.205781541266457</v>
      </c>
      <c r="G8" s="203">
        <f>(D8*1000 - Assumptions!$F$62 + Assumptions!$F$63)/Assumptions!$F$55</f>
        <v>14.852980657670715</v>
      </c>
      <c r="H8" s="202">
        <f>(E8*1000 - Assumptions!$F$62 + Assumptions!$F$63)/Assumptions!$F$55</f>
        <v>16.93595157665472</v>
      </c>
      <c r="I8" s="304">
        <v>0.2</v>
      </c>
      <c r="J8" s="204">
        <f>D8*I8</f>
        <v>1.0799444139289986</v>
      </c>
      <c r="K8" s="298" t="s">
        <v>952</v>
      </c>
    </row>
    <row r="9" spans="1:11" ht="183">
      <c r="A9" s="273" t="s">
        <v>953</v>
      </c>
      <c r="B9" s="245" t="s">
        <v>954</v>
      </c>
      <c r="C9" s="168">
        <f>Comps!H32 * 'Revenue Build'!$E$20 / 1000</f>
        <v>3.8224940132363581</v>
      </c>
      <c r="D9" s="306">
        <f>Comps!H33 * 'Revenue Build'!$E$20 / 1000</f>
        <v>4.3689218662672014</v>
      </c>
      <c r="E9" s="168">
        <f>Comps!H34 * 'Revenue Build'!$E$20 / 1000</f>
        <v>5.0599089581439403</v>
      </c>
      <c r="F9" s="202">
        <f>(C9*1000 - Assumptions!$F$62 + Assumptions!$F$63)/Assumptions!$F$55</f>
        <v>11.006082959113069</v>
      </c>
      <c r="G9" s="203">
        <f>(D9*1000 - Assumptions!$F$62 + Assumptions!$F$63)/Assumptions!$F$55</f>
        <v>12.338833820163906</v>
      </c>
      <c r="H9" s="202">
        <f>(E9*1000 - Assumptions!$F$62 + Assumptions!$F$63)/Assumptions!$F$55</f>
        <v>14.024168190594976</v>
      </c>
      <c r="I9" s="304">
        <v>0.15</v>
      </c>
      <c r="J9" s="204">
        <f>D9*I9</f>
        <v>0.6553382799400802</v>
      </c>
      <c r="K9" s="298" t="s">
        <v>955</v>
      </c>
    </row>
    <row r="10" spans="1:11" ht="105">
      <c r="A10" s="307" t="s">
        <v>19</v>
      </c>
      <c r="B10" s="287" t="s">
        <v>956</v>
      </c>
      <c r="C10" s="308" t="s">
        <v>469</v>
      </c>
      <c r="D10" s="308" t="s">
        <v>469</v>
      </c>
      <c r="E10" s="308" t="s">
        <v>469</v>
      </c>
      <c r="F10" s="219"/>
      <c r="G10" s="219"/>
      <c r="H10" s="219"/>
      <c r="I10" s="219"/>
      <c r="J10" s="219"/>
      <c r="K10" s="309" t="s">
        <v>957</v>
      </c>
    </row>
    <row r="11" spans="1:11" ht="92.1">
      <c r="A11" s="273" t="s">
        <v>958</v>
      </c>
      <c r="B11" s="245" t="s">
        <v>959</v>
      </c>
      <c r="C11" s="99">
        <f>DCF!C59/1000</f>
        <v>10.1</v>
      </c>
      <c r="D11" s="106">
        <f>DCF!C59/1000</f>
        <v>10.1</v>
      </c>
      <c r="E11" s="99">
        <f>DCF!C59/1000</f>
        <v>10.1</v>
      </c>
      <c r="F11" s="202">
        <f>(C11*1000 - Assumptions!$F$62 + Assumptions!$F$63)/Assumptions!$F$55</f>
        <v>26.317073170731707</v>
      </c>
      <c r="G11" s="203">
        <f>(D11*1000 - Assumptions!$F$62 + Assumptions!$F$63)/Assumptions!$F$55</f>
        <v>26.317073170731707</v>
      </c>
      <c r="H11" s="202">
        <f>(E11*1000 - Assumptions!$F$62 + Assumptions!$F$63)/Assumptions!$F$55</f>
        <v>26.317073170731707</v>
      </c>
      <c r="I11" s="304">
        <v>0.1</v>
      </c>
      <c r="J11" s="204">
        <f>D11*I11</f>
        <v>1.01</v>
      </c>
      <c r="K11" s="298" t="s">
        <v>960</v>
      </c>
    </row>
    <row r="12" spans="1:11" ht="183">
      <c r="A12" s="273" t="s">
        <v>961</v>
      </c>
      <c r="B12" s="245" t="s">
        <v>962</v>
      </c>
      <c r="C12" s="99">
        <f>Assumptions!E94/1000</f>
        <v>12.507739938080496</v>
      </c>
      <c r="D12" s="106">
        <f>Assumptions!D94/1000</f>
        <v>14.027777777777777</v>
      </c>
      <c r="E12" s="99">
        <f>Assumptions!C94/1000</f>
        <v>15.84313725490196</v>
      </c>
      <c r="F12" s="202">
        <f>(C12*1000 - Assumptions!$F$62 + Assumptions!$F$63)/Assumptions!$F$55</f>
        <v>32.189609605074381</v>
      </c>
      <c r="G12" s="203">
        <f>(D12*1000 - Assumptions!$F$62 + Assumptions!$F$63)/Assumptions!$F$55</f>
        <v>35.897018970189698</v>
      </c>
      <c r="H12" s="202">
        <f>(E12*1000 - Assumptions!$F$62 + Assumptions!$F$63)/Assumptions!$F$55</f>
        <v>40.324725011955998</v>
      </c>
      <c r="I12" s="304">
        <v>0.15</v>
      </c>
      <c r="J12" s="204">
        <f>D12*I12</f>
        <v>2.1041666666666665</v>
      </c>
      <c r="K12" s="298" t="s">
        <v>963</v>
      </c>
    </row>
    <row r="13" spans="1:11">
      <c r="A13" s="219"/>
      <c r="B13" s="219"/>
      <c r="C13" s="219"/>
      <c r="D13" s="219"/>
      <c r="E13" s="219"/>
      <c r="F13" s="219"/>
      <c r="G13" s="219"/>
      <c r="H13" s="219"/>
      <c r="I13" s="219"/>
      <c r="J13" s="219"/>
      <c r="K13" s="310"/>
    </row>
    <row r="14" spans="1:11">
      <c r="A14" s="255" t="s">
        <v>964</v>
      </c>
      <c r="B14" s="219"/>
      <c r="C14" s="219"/>
      <c r="D14" s="219"/>
      <c r="E14" s="219"/>
      <c r="F14" s="219"/>
      <c r="G14" s="219"/>
      <c r="H14" s="219"/>
      <c r="I14" s="311">
        <f>I6+I8+I9+I11+I12</f>
        <v>1</v>
      </c>
      <c r="J14" s="219"/>
      <c r="K14" s="310"/>
    </row>
    <row r="15" spans="1:11">
      <c r="A15" s="219"/>
      <c r="B15" s="219"/>
      <c r="C15" s="219"/>
      <c r="D15" s="219"/>
      <c r="E15" s="219"/>
      <c r="F15" s="219"/>
      <c r="G15" s="219"/>
      <c r="H15" s="219"/>
      <c r="I15" s="219"/>
      <c r="J15" s="219"/>
      <c r="K15" s="310"/>
    </row>
    <row r="16" spans="1:11" ht="80.099999999999994">
      <c r="A16" s="312" t="s">
        <v>41</v>
      </c>
      <c r="B16" s="312"/>
      <c r="C16" s="312"/>
      <c r="D16" s="313">
        <f>J6+J8+J9+J11+J12</f>
        <v>8.6354519753961441</v>
      </c>
      <c r="E16" s="312"/>
      <c r="F16" s="312"/>
      <c r="G16" s="217">
        <f>(D16*1000 - Assumptions!$F$62 + Assumptions!$F$63)/Assumptions!$F$55</f>
        <v>22.745004818039376</v>
      </c>
      <c r="H16" s="312"/>
      <c r="I16" s="312"/>
      <c r="J16" s="312"/>
      <c r="K16" s="314" t="s">
        <v>965</v>
      </c>
    </row>
    <row r="17" spans="1:11">
      <c r="A17" s="255" t="s">
        <v>37</v>
      </c>
      <c r="B17" s="219"/>
      <c r="C17" s="219"/>
      <c r="D17" s="305">
        <f>DCF!C59/1000</f>
        <v>10.1</v>
      </c>
      <c r="E17" s="219"/>
      <c r="F17" s="219"/>
      <c r="G17" s="205">
        <f>(D17*1000 - Assumptions!$F$62 + Assumptions!$F$63)/Assumptions!$F$55</f>
        <v>26.317073170731707</v>
      </c>
      <c r="H17" s="219"/>
      <c r="I17" s="219"/>
      <c r="J17" s="219"/>
      <c r="K17" s="310"/>
    </row>
    <row r="18" spans="1:11" ht="105">
      <c r="A18" s="273" t="s">
        <v>966</v>
      </c>
      <c r="B18" s="219"/>
      <c r="C18" s="219"/>
      <c r="D18" s="121">
        <f>D16/D17 - 1</f>
        <v>-0.14500475491127285</v>
      </c>
      <c r="E18" s="219"/>
      <c r="F18" s="219"/>
      <c r="G18" s="121">
        <f>G16/G17 - 1</f>
        <v>-0.13573197633029244</v>
      </c>
      <c r="H18" s="219"/>
      <c r="I18" s="219"/>
      <c r="J18" s="219"/>
      <c r="K18" s="298" t="s">
        <v>967</v>
      </c>
    </row>
    <row r="19" spans="1:11">
      <c r="A19" s="219"/>
      <c r="B19" s="219"/>
      <c r="C19" s="219"/>
      <c r="D19" s="219"/>
      <c r="E19" s="219"/>
      <c r="F19" s="219"/>
      <c r="G19" s="219"/>
      <c r="H19" s="219"/>
      <c r="I19" s="219"/>
      <c r="J19" s="219"/>
      <c r="K19" s="310"/>
    </row>
    <row r="20" spans="1:11">
      <c r="A20" s="269" t="s">
        <v>968</v>
      </c>
      <c r="B20" s="219"/>
      <c r="C20" s="219"/>
      <c r="D20" s="219"/>
      <c r="E20" s="219"/>
      <c r="F20" s="219"/>
      <c r="G20" s="219"/>
      <c r="H20" s="219"/>
      <c r="I20" s="219"/>
      <c r="J20" s="219"/>
      <c r="K20" s="310"/>
    </row>
    <row r="21" spans="1:11">
      <c r="A21" s="255" t="s">
        <v>969</v>
      </c>
      <c r="B21" s="255" t="str">
        <f>INDEX($A$6:$A$12, MATCH(MIN(D6,D8,D9,D11,D12), D6:D12, 0))</f>
        <v>2b. Comps applied to FORWARD revenue (NTM 2026)</v>
      </c>
      <c r="C21" s="219"/>
      <c r="D21" s="99">
        <f>MIN(D6,D8,D9,D11,D12)</f>
        <v>4.3689218662672014</v>
      </c>
      <c r="E21" s="219"/>
      <c r="F21" s="219"/>
      <c r="G21" s="202">
        <f>(D21*1000 - Assumptions!$F$62 + Assumptions!$F$63)/Assumptions!$F$55</f>
        <v>12.338833820163906</v>
      </c>
      <c r="H21" s="219"/>
      <c r="I21" s="219"/>
      <c r="J21" s="219"/>
      <c r="K21" s="310"/>
    </row>
    <row r="22" spans="1:11">
      <c r="A22" s="255" t="s">
        <v>970</v>
      </c>
      <c r="B22" s="255" t="str">
        <f>INDEX($A$6:$A$12, MATCH(MAX(D6,D8,D9,D11,D12), D6:D12, 0))</f>
        <v>5. Implied IPO Trading Range</v>
      </c>
      <c r="C22" s="219"/>
      <c r="D22" s="99">
        <f>MAX(D6,D8,D9,D11,D12)</f>
        <v>14.027777777777777</v>
      </c>
      <c r="E22" s="219"/>
      <c r="F22" s="219"/>
      <c r="G22" s="202">
        <f>(D22*1000 - Assumptions!$F$62 + Assumptions!$F$63)/Assumptions!$F$55</f>
        <v>35.897018970189698</v>
      </c>
      <c r="H22" s="219"/>
      <c r="I22" s="219"/>
      <c r="J22" s="219"/>
      <c r="K22" s="310"/>
    </row>
    <row r="23" spans="1:11">
      <c r="A23" s="273" t="s">
        <v>971</v>
      </c>
      <c r="B23" s="219"/>
      <c r="C23" s="219"/>
      <c r="D23" s="106">
        <f>D22-D21</f>
        <v>9.6588559115105745</v>
      </c>
      <c r="E23" s="219"/>
      <c r="F23" s="219"/>
      <c r="G23" s="203">
        <f>G22-G21</f>
        <v>23.558185150025793</v>
      </c>
      <c r="H23" s="219"/>
      <c r="I23" s="219"/>
      <c r="J23" s="219"/>
      <c r="K23" s="310"/>
    </row>
    <row r="24" spans="1:11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</row>
    <row r="25" spans="1:11">
      <c r="A25" s="262" t="s">
        <v>972</v>
      </c>
      <c r="B25" s="262"/>
      <c r="C25" s="262"/>
      <c r="D25" s="262"/>
      <c r="E25" s="262"/>
      <c r="F25" s="262"/>
      <c r="G25" s="262"/>
      <c r="H25" s="262"/>
      <c r="I25" s="262"/>
      <c r="J25" s="262"/>
      <c r="K25" s="262"/>
    </row>
    <row r="26" spans="1:11" ht="183">
      <c r="A26" s="298" t="s">
        <v>973</v>
      </c>
      <c r="B26" s="219"/>
      <c r="C26" s="219"/>
      <c r="D26" s="219"/>
      <c r="E26" s="219"/>
      <c r="F26" s="219"/>
      <c r="G26" s="219"/>
      <c r="H26" s="219"/>
      <c r="I26" s="219"/>
      <c r="J26" s="219"/>
      <c r="K26" s="219"/>
    </row>
    <row r="27" spans="1:11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</row>
    <row r="28" spans="1:11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</row>
    <row r="29" spans="1:11">
      <c r="A29" s="269" t="s">
        <v>974</v>
      </c>
      <c r="B29" s="219"/>
      <c r="C29" s="219"/>
      <c r="D29" s="219"/>
      <c r="E29" s="219"/>
      <c r="F29" s="219"/>
      <c r="G29" s="219"/>
      <c r="H29" s="219"/>
      <c r="I29" s="219"/>
      <c r="J29" s="219"/>
      <c r="K29" s="219"/>
    </row>
    <row r="30" spans="1:11">
      <c r="A30" s="315" t="s">
        <v>933</v>
      </c>
      <c r="B30" s="316" t="s">
        <v>975</v>
      </c>
      <c r="C30" s="316" t="s">
        <v>976</v>
      </c>
      <c r="D30" s="316" t="s">
        <v>977</v>
      </c>
      <c r="E30" s="316" t="s">
        <v>978</v>
      </c>
      <c r="F30" s="219"/>
      <c r="G30" s="219"/>
      <c r="H30" s="219"/>
      <c r="I30" s="219"/>
      <c r="J30" s="219"/>
      <c r="K30" s="219"/>
    </row>
    <row r="31" spans="1:11">
      <c r="A31" s="219" t="s">
        <v>979</v>
      </c>
      <c r="B31" s="99">
        <f>C6</f>
        <v>6.389503176701484</v>
      </c>
      <c r="C31" s="99">
        <f>E6-C6</f>
        <v>6.7532381541288595</v>
      </c>
      <c r="D31" s="99">
        <f>D6</f>
        <v>9.4650065371509964</v>
      </c>
      <c r="E31" s="99">
        <v>10.1</v>
      </c>
      <c r="F31" s="219"/>
      <c r="G31" s="219"/>
      <c r="H31" s="219"/>
      <c r="I31" s="219"/>
      <c r="J31" s="219"/>
      <c r="K31" s="219"/>
    </row>
    <row r="32" spans="1:11">
      <c r="A32" s="219" t="s">
        <v>980</v>
      </c>
      <c r="B32" s="99">
        <f>C7</f>
        <v>6.6670031767014839</v>
      </c>
      <c r="C32" s="99">
        <f>E7-C7</f>
        <v>7.4657381541288599</v>
      </c>
      <c r="D32" s="99">
        <f>D7</f>
        <v>11.860468621548909</v>
      </c>
      <c r="E32" s="99">
        <v>10.1</v>
      </c>
      <c r="F32" s="219"/>
      <c r="G32" s="219"/>
      <c r="H32" s="219"/>
      <c r="I32" s="219"/>
      <c r="J32" s="219"/>
      <c r="K32" s="219"/>
    </row>
    <row r="33" spans="1:11">
      <c r="A33" s="219" t="s">
        <v>981</v>
      </c>
      <c r="B33" s="99">
        <f>C8</f>
        <v>4.7243704319192474</v>
      </c>
      <c r="C33" s="99">
        <f>E8-C8</f>
        <v>1.5293697145091878</v>
      </c>
      <c r="D33" s="99">
        <f>D8</f>
        <v>5.3997220696449935</v>
      </c>
      <c r="E33" s="99">
        <v>10.1</v>
      </c>
      <c r="F33" s="219"/>
      <c r="G33" s="219"/>
      <c r="H33" s="219"/>
      <c r="I33" s="219"/>
      <c r="J33" s="219"/>
      <c r="K33" s="219"/>
    </row>
    <row r="34" spans="1:11">
      <c r="A34" s="219" t="s">
        <v>982</v>
      </c>
      <c r="B34" s="99">
        <f>C9</f>
        <v>3.8224940132363581</v>
      </c>
      <c r="C34" s="99">
        <f>E9-C9</f>
        <v>1.2374149449075822</v>
      </c>
      <c r="D34" s="99">
        <f>D9</f>
        <v>4.3689218662672014</v>
      </c>
      <c r="E34" s="99">
        <v>10.1</v>
      </c>
      <c r="F34" s="219"/>
      <c r="G34" s="219"/>
      <c r="H34" s="219"/>
      <c r="I34" s="219"/>
      <c r="J34" s="219"/>
      <c r="K34" s="219"/>
    </row>
    <row r="35" spans="1:11">
      <c r="A35" s="219" t="s">
        <v>983</v>
      </c>
      <c r="B35" s="99">
        <f>C11</f>
        <v>10.1</v>
      </c>
      <c r="C35" s="305">
        <v>1E-3</v>
      </c>
      <c r="D35" s="99">
        <f>D11</f>
        <v>10.1</v>
      </c>
      <c r="E35" s="99">
        <v>10.1</v>
      </c>
      <c r="F35" s="219"/>
      <c r="G35" s="219"/>
      <c r="H35" s="219"/>
      <c r="I35" s="219"/>
      <c r="J35" s="219"/>
      <c r="K35" s="219"/>
    </row>
    <row r="36" spans="1:11">
      <c r="A36" s="219" t="s">
        <v>984</v>
      </c>
      <c r="B36" s="99">
        <f>C12</f>
        <v>12.507739938080496</v>
      </c>
      <c r="C36" s="99">
        <f>E12-C12</f>
        <v>3.3353973168214637</v>
      </c>
      <c r="D36" s="99">
        <f>D12</f>
        <v>14.027777777777777</v>
      </c>
      <c r="E36" s="99">
        <v>10.1</v>
      </c>
      <c r="F36" s="219"/>
      <c r="G36" s="219"/>
      <c r="H36" s="219"/>
      <c r="I36" s="219"/>
      <c r="J36" s="219"/>
      <c r="K36" s="219"/>
    </row>
    <row r="37" spans="1:11">
      <c r="A37" s="219" t="s">
        <v>985</v>
      </c>
      <c r="B37" s="99">
        <f>D16</f>
        <v>8.6354519753961441</v>
      </c>
      <c r="C37" s="305">
        <v>1E-3</v>
      </c>
      <c r="D37" s="99">
        <f>D16</f>
        <v>8.6354519753961441</v>
      </c>
      <c r="E37" s="99">
        <v>10.1</v>
      </c>
      <c r="F37" s="219"/>
      <c r="G37" s="219"/>
      <c r="H37" s="219"/>
      <c r="I37" s="219"/>
      <c r="J37" s="219"/>
      <c r="K37" s="219"/>
    </row>
  </sheetData>
  <pageMargins left="0.75" right="0.75" top="1" bottom="1" header="0.5" footer="0.5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L16"/>
  <sheetViews>
    <sheetView showGridLines="0" workbookViewId="0">
      <selection sqref="A1:L1"/>
    </sheetView>
  </sheetViews>
  <sheetFormatPr defaultColWidth="8.85546875" defaultRowHeight="15"/>
  <cols>
    <col min="1" max="1" width="36" customWidth="1"/>
    <col min="2" max="4" width="14" customWidth="1"/>
    <col min="5" max="5" width="50" customWidth="1"/>
  </cols>
  <sheetData>
    <row r="1" spans="1:12" ht="21.95" customHeight="1">
      <c r="A1" s="347" t="s">
        <v>986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</row>
    <row r="2" spans="1:12">
      <c r="A2" s="345" t="s">
        <v>987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</row>
    <row r="4" spans="1:12">
      <c r="A4" s="216" t="s">
        <v>933</v>
      </c>
      <c r="B4" s="216" t="s">
        <v>988</v>
      </c>
      <c r="C4" s="216" t="s">
        <v>989</v>
      </c>
      <c r="D4" s="216" t="s">
        <v>990</v>
      </c>
      <c r="E4" s="216" t="s">
        <v>62</v>
      </c>
      <c r="F4" s="218"/>
      <c r="G4" s="218"/>
      <c r="H4" s="218"/>
      <c r="I4" s="218"/>
      <c r="J4" s="218"/>
      <c r="K4" s="218"/>
      <c r="L4" s="218"/>
    </row>
    <row r="5" spans="1:12">
      <c r="A5" s="37" t="s">
        <v>991</v>
      </c>
      <c r="B5" s="63"/>
      <c r="C5" s="63"/>
      <c r="D5" s="63"/>
      <c r="E5" s="214" t="s">
        <v>992</v>
      </c>
      <c r="F5" s="213"/>
      <c r="G5" s="213"/>
      <c r="H5" s="213"/>
      <c r="I5" s="213"/>
      <c r="J5" s="213"/>
      <c r="K5" s="213"/>
      <c r="L5" s="213"/>
    </row>
    <row r="6" spans="1:12">
      <c r="A6" s="37" t="s">
        <v>993</v>
      </c>
      <c r="B6" s="63"/>
      <c r="C6" s="63"/>
      <c r="D6" s="63"/>
      <c r="E6" s="214" t="s">
        <v>994</v>
      </c>
      <c r="F6" s="213"/>
      <c r="G6" s="213"/>
      <c r="H6" s="213"/>
      <c r="I6" s="213"/>
      <c r="J6" s="213"/>
      <c r="K6" s="213"/>
      <c r="L6" s="213"/>
    </row>
    <row r="7" spans="1:12">
      <c r="A7" s="37" t="s">
        <v>995</v>
      </c>
      <c r="B7" s="63"/>
      <c r="C7" s="63"/>
      <c r="D7" s="63"/>
      <c r="E7" s="214" t="s">
        <v>996</v>
      </c>
      <c r="F7" s="213"/>
      <c r="G7" s="213"/>
      <c r="H7" s="213"/>
      <c r="I7" s="213"/>
      <c r="J7" s="213"/>
      <c r="K7" s="213"/>
      <c r="L7" s="213"/>
    </row>
    <row r="8" spans="1:12">
      <c r="A8" s="37" t="s">
        <v>19</v>
      </c>
      <c r="B8" s="63"/>
      <c r="C8" s="63"/>
      <c r="D8" s="63"/>
      <c r="E8" s="214" t="s">
        <v>997</v>
      </c>
      <c r="F8" s="213"/>
      <c r="G8" s="213"/>
      <c r="H8" s="213"/>
      <c r="I8" s="213"/>
      <c r="J8" s="213"/>
      <c r="K8" s="213"/>
      <c r="L8" s="213"/>
    </row>
    <row r="9" spans="1:12">
      <c r="A9" s="37" t="s">
        <v>983</v>
      </c>
      <c r="B9" s="63"/>
      <c r="C9" s="63"/>
      <c r="D9" s="63"/>
      <c r="E9" s="214" t="s">
        <v>998</v>
      </c>
      <c r="F9" s="213"/>
      <c r="G9" s="213"/>
      <c r="H9" s="213"/>
      <c r="I9" s="213"/>
      <c r="J9" s="213"/>
      <c r="K9" s="213"/>
      <c r="L9" s="213"/>
    </row>
    <row r="10" spans="1:12">
      <c r="A10" s="37" t="s">
        <v>961</v>
      </c>
      <c r="B10" s="63"/>
      <c r="C10" s="63"/>
      <c r="D10" s="63"/>
      <c r="E10" s="214" t="s">
        <v>999</v>
      </c>
      <c r="F10" s="213"/>
      <c r="G10" s="213"/>
      <c r="H10" s="213"/>
      <c r="I10" s="213"/>
      <c r="J10" s="213"/>
      <c r="K10" s="213"/>
      <c r="L10" s="213"/>
    </row>
    <row r="12" spans="1:12" ht="20.100000000000001" customHeight="1">
      <c r="A12" s="346" t="s">
        <v>1000</v>
      </c>
      <c r="B12" s="352"/>
      <c r="C12" s="352"/>
      <c r="D12" s="352"/>
      <c r="E12" s="352"/>
      <c r="F12" s="215"/>
      <c r="G12" s="215"/>
      <c r="H12" s="215"/>
      <c r="I12" s="215"/>
      <c r="J12" s="215"/>
      <c r="K12" s="215"/>
      <c r="L12" s="215"/>
    </row>
    <row r="13" spans="1:12">
      <c r="A13" s="216" t="s">
        <v>1001</v>
      </c>
      <c r="B13" s="216" t="s">
        <v>1002</v>
      </c>
      <c r="C13" s="216" t="s">
        <v>1003</v>
      </c>
      <c r="D13" s="216" t="s">
        <v>1004</v>
      </c>
      <c r="E13" s="216" t="s">
        <v>1005</v>
      </c>
      <c r="F13" s="218"/>
      <c r="G13" s="218"/>
      <c r="H13" s="218"/>
      <c r="I13" s="218"/>
      <c r="J13" s="218"/>
      <c r="K13" s="218"/>
      <c r="L13" s="218"/>
    </row>
    <row r="14" spans="1:12">
      <c r="A14" s="37" t="s">
        <v>1006</v>
      </c>
      <c r="B14" s="31">
        <v>0.35</v>
      </c>
      <c r="C14" s="31">
        <v>0.5</v>
      </c>
      <c r="D14" s="31">
        <v>0.15</v>
      </c>
      <c r="E14" s="62"/>
      <c r="F14" s="213"/>
      <c r="G14" s="213"/>
      <c r="H14" s="213"/>
      <c r="I14" s="213"/>
      <c r="J14" s="213"/>
      <c r="K14" s="213"/>
      <c r="L14" s="213"/>
    </row>
    <row r="15" spans="1:12">
      <c r="A15" s="37" t="s">
        <v>1007</v>
      </c>
      <c r="B15" s="31">
        <v>0.25</v>
      </c>
      <c r="C15" s="31">
        <v>0.5</v>
      </c>
      <c r="D15" s="31">
        <v>0.25</v>
      </c>
      <c r="E15" s="62"/>
      <c r="F15" s="213"/>
      <c r="G15" s="213"/>
      <c r="H15" s="213"/>
      <c r="I15" s="213"/>
      <c r="J15" s="213"/>
      <c r="K15" s="213"/>
      <c r="L15" s="213"/>
    </row>
    <row r="16" spans="1:12">
      <c r="A16" s="37" t="s">
        <v>1008</v>
      </c>
      <c r="B16" s="31">
        <v>0.15</v>
      </c>
      <c r="C16" s="31">
        <v>0.55000000000000004</v>
      </c>
      <c r="D16" s="31">
        <v>0.3</v>
      </c>
      <c r="E16" s="62"/>
      <c r="F16" s="213"/>
      <c r="G16" s="213"/>
      <c r="H16" s="213"/>
      <c r="I16" s="213"/>
      <c r="J16" s="213"/>
      <c r="K16" s="213"/>
      <c r="L16" s="213"/>
    </row>
  </sheetData>
  <mergeCells count="3">
    <mergeCell ref="A2:L2"/>
    <mergeCell ref="A12:E1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H48"/>
  <sheetViews>
    <sheetView showGridLines="0" workbookViewId="0">
      <selection activeCell="C39" sqref="C39"/>
    </sheetView>
  </sheetViews>
  <sheetFormatPr defaultColWidth="8.85546875" defaultRowHeight="15"/>
  <cols>
    <col min="1" max="1" width="25" customWidth="1"/>
    <col min="2" max="8" width="14" customWidth="1"/>
  </cols>
  <sheetData>
    <row r="1" spans="1:8" ht="18.95">
      <c r="A1" s="300" t="s">
        <v>1009</v>
      </c>
      <c r="B1" s="219"/>
      <c r="C1" s="219"/>
      <c r="D1" s="219"/>
      <c r="E1" s="219"/>
      <c r="F1" s="219"/>
      <c r="G1" s="219"/>
      <c r="H1" s="219"/>
    </row>
    <row r="2" spans="1:8">
      <c r="A2" s="255" t="s">
        <v>1010</v>
      </c>
      <c r="B2" s="219"/>
      <c r="C2" s="219"/>
      <c r="D2" s="219"/>
      <c r="E2" s="219"/>
      <c r="F2" s="219"/>
      <c r="G2" s="219"/>
      <c r="H2" s="219"/>
    </row>
    <row r="3" spans="1:8">
      <c r="A3" s="219"/>
      <c r="B3" s="219"/>
      <c r="C3" s="219"/>
      <c r="D3" s="219"/>
      <c r="E3" s="219"/>
      <c r="F3" s="219"/>
      <c r="G3" s="219"/>
      <c r="H3" s="219"/>
    </row>
    <row r="4" spans="1:8">
      <c r="A4" s="269" t="s">
        <v>1011</v>
      </c>
      <c r="B4" s="219"/>
      <c r="C4" s="219"/>
      <c r="D4" s="219"/>
      <c r="E4" s="219"/>
      <c r="F4" s="219"/>
      <c r="G4" s="219"/>
      <c r="H4" s="219"/>
    </row>
    <row r="5" spans="1:8">
      <c r="A5" s="317" t="s">
        <v>1012</v>
      </c>
      <c r="B5" s="176">
        <v>3</v>
      </c>
      <c r="C5" s="176">
        <v>3.5</v>
      </c>
      <c r="D5" s="176">
        <v>4</v>
      </c>
      <c r="E5" s="177">
        <v>4.5</v>
      </c>
      <c r="F5" s="176">
        <v>5</v>
      </c>
      <c r="G5" s="176">
        <v>5.5</v>
      </c>
      <c r="H5" s="178">
        <v>6</v>
      </c>
    </row>
    <row r="6" spans="1:8">
      <c r="A6" s="173">
        <v>9.35E-2</v>
      </c>
      <c r="B6" s="318" cm="1">
        <f t="array" ref="B6">(SUMPRODUCT(DCF!$D$9:$K$9, 1/(1+$A6)^DCF!$D$13:$K$13) + DCF!$K$8*B$5/(1+$A6)^DCF!$K$13)/1000</f>
        <v>7.6676858441882381</v>
      </c>
      <c r="C6" s="318" cm="1">
        <f t="array" ref="C6">(SUMPRODUCT(DCF!$D$9:$K$9, 1/(1+$A6)^DCF!$D$13:$K$13) + DCF!$K$8*C$5/(1+$A6)^DCF!$K$13)/1000</f>
        <v>8.5801950919619223</v>
      </c>
      <c r="D6" s="318" cm="1">
        <f t="array" ref="D6">(SUMPRODUCT(DCF!$D$9:$K$9, 1/(1+$A6)^DCF!$D$13:$K$13) + DCF!$K$8*D$5/(1+$A6)^DCF!$K$13)/1000</f>
        <v>9.4927043397356066</v>
      </c>
      <c r="E6" s="318" cm="1">
        <f t="array" ref="E6">(SUMPRODUCT(DCF!$D$9:$K$9, 1/(1+$A6)^DCF!$D$13:$K$13) + DCF!$K$8*E$5/(1+$A6)^DCF!$K$13)/1000</f>
        <v>10.405213587509293</v>
      </c>
      <c r="F6" s="318" cm="1">
        <f t="array" ref="F6">(SUMPRODUCT(DCF!$D$9:$K$9, 1/(1+$A6)^DCF!$D$13:$K$13) + DCF!$K$8*F$5/(1+$A6)^DCF!$K$13)/1000</f>
        <v>11.317722835282975</v>
      </c>
      <c r="G6" s="318" cm="1">
        <f t="array" ref="G6">(SUMPRODUCT(DCF!$D$9:$K$9, 1/(1+$A6)^DCF!$D$13:$K$13) + DCF!$K$8*G$5/(1+$A6)^DCF!$K$13)/1000</f>
        <v>12.230232083056659</v>
      </c>
      <c r="H6" s="319" cm="1">
        <f t="array" ref="H6">(SUMPRODUCT(DCF!$D$9:$K$9, 1/(1+$A6)^DCF!$D$13:$K$13) + DCF!$K$8*H$5/(1+$A6)^DCF!$K$13)/1000</f>
        <v>13.142741330830344</v>
      </c>
    </row>
    <row r="7" spans="1:8">
      <c r="A7" s="173">
        <v>9.8500000000000004E-2</v>
      </c>
      <c r="B7" s="318" cm="1">
        <f t="array" ref="B7">(SUMPRODUCT(DCF!$D$9:$K$9, 1/(1+$A7)^DCF!$D$13:$K$13) + DCF!$K$8*B$5/(1+$A7)^DCF!$K$13)/1000</f>
        <v>7.4345371285152781</v>
      </c>
      <c r="C7" s="318" cm="1">
        <f t="array" ref="C7">(SUMPRODUCT(DCF!$D$9:$K$9, 1/(1+$A7)^DCF!$D$13:$K$13) + DCF!$K$8*C$5/(1+$A7)^DCF!$K$13)/1000</f>
        <v>8.3163526123706557</v>
      </c>
      <c r="D7" s="318" cm="1">
        <f t="array" ref="D7">(SUMPRODUCT(DCF!$D$9:$K$9, 1/(1+$A7)^DCF!$D$13:$K$13) + DCF!$K$8*D$5/(1+$A7)^DCF!$K$13)/1000</f>
        <v>9.1981680962260359</v>
      </c>
      <c r="E7" s="318" cm="1">
        <f t="array" ref="E7">(SUMPRODUCT(DCF!$D$9:$K$9, 1/(1+$A7)^DCF!$D$13:$K$13) + DCF!$K$8*E$5/(1+$A7)^DCF!$K$13)/1000</f>
        <v>10.079983580081416</v>
      </c>
      <c r="F7" s="318" cm="1">
        <f t="array" ref="F7">(SUMPRODUCT(DCF!$D$9:$K$9, 1/(1+$A7)^DCF!$D$13:$K$13) + DCF!$K$8*F$5/(1+$A7)^DCF!$K$13)/1000</f>
        <v>10.961799063936795</v>
      </c>
      <c r="G7" s="318" cm="1">
        <f t="array" ref="G7">(SUMPRODUCT(DCF!$D$9:$K$9, 1/(1+$A7)^DCF!$D$13:$K$13) + DCF!$K$8*G$5/(1+$A7)^DCF!$K$13)/1000</f>
        <v>11.843614547792175</v>
      </c>
      <c r="H7" s="319" cm="1">
        <f t="array" ref="H7">(SUMPRODUCT(DCF!$D$9:$K$9, 1/(1+$A7)^DCF!$D$13:$K$13) + DCF!$K$8*H$5/(1+$A7)^DCF!$K$13)/1000</f>
        <v>12.725430031647555</v>
      </c>
    </row>
    <row r="8" spans="1:8">
      <c r="A8" s="173">
        <v>0.10349999999999999</v>
      </c>
      <c r="B8" s="318" cm="1">
        <f t="array" ref="B8">(SUMPRODUCT(DCF!$D$9:$K$9, 1/(1+$A8)^DCF!$D$13:$K$13) + DCF!$K$8*B$5/(1+$A8)^DCF!$K$13)/1000</f>
        <v>7.2098875865456975</v>
      </c>
      <c r="C8" s="318" cm="1">
        <f t="array" ref="C8">(SUMPRODUCT(DCF!$D$9:$K$9, 1/(1+$A8)^DCF!$D$13:$K$13) + DCF!$K$8*C$5/(1+$A8)^DCF!$K$13)/1000</f>
        <v>8.0621741634154347</v>
      </c>
      <c r="D8" s="318" cm="1">
        <f t="array" ref="D8">(SUMPRODUCT(DCF!$D$9:$K$9, 1/(1+$A8)^DCF!$D$13:$K$13) + DCF!$K$8*D$5/(1+$A8)^DCF!$K$13)/1000</f>
        <v>8.9144607402851701</v>
      </c>
      <c r="E8" s="318" cm="1">
        <f t="array" ref="E8">(SUMPRODUCT(DCF!$D$9:$K$9, 1/(1+$A8)^DCF!$D$13:$K$13) + DCF!$K$8*E$5/(1+$A8)^DCF!$K$13)/1000</f>
        <v>9.7667473171549055</v>
      </c>
      <c r="F8" s="318" cm="1">
        <f t="array" ref="F8">(SUMPRODUCT(DCF!$D$9:$K$9, 1/(1+$A8)^DCF!$D$13:$K$13) + DCF!$K$8*F$5/(1+$A8)^DCF!$K$13)/1000</f>
        <v>10.619033894024644</v>
      </c>
      <c r="G8" s="318" cm="1">
        <f t="array" ref="G8">(SUMPRODUCT(DCF!$D$9:$K$9, 1/(1+$A8)^DCF!$D$13:$K$13) + DCF!$K$8*G$5/(1+$A8)^DCF!$K$13)/1000</f>
        <v>11.471320470894378</v>
      </c>
      <c r="H8" s="319" cm="1">
        <f t="array" ref="H8">(SUMPRODUCT(DCF!$D$9:$K$9, 1/(1+$A8)^DCF!$D$13:$K$13) + DCF!$K$8*H$5/(1+$A8)^DCF!$K$13)/1000</f>
        <v>12.323607047764115</v>
      </c>
    </row>
    <row r="9" spans="1:8">
      <c r="A9" s="174">
        <v>0.1085</v>
      </c>
      <c r="B9" s="318" cm="1">
        <f t="array" ref="B9">(SUMPRODUCT(DCF!$D$9:$K$9, 1/(1+$A9)^DCF!$D$13:$K$13) + DCF!$K$8*B$5/(1+$A9)^DCF!$K$13)/1000</f>
        <v>6.9933865210978654</v>
      </c>
      <c r="C9" s="318" cm="1">
        <f t="array" ref="C9">(SUMPRODUCT(DCF!$D$9:$K$9, 1/(1+$A9)^DCF!$D$13:$K$13) + DCF!$K$8*C$5/(1+$A9)^DCF!$K$13)/1000</f>
        <v>7.8172598597822436</v>
      </c>
      <c r="D9" s="318" cm="1">
        <f t="array" ref="D9">(SUMPRODUCT(DCF!$D$9:$K$9, 1/(1+$A9)^DCF!$D$13:$K$13) + DCF!$K$8*D$5/(1+$A9)^DCF!$K$13)/1000</f>
        <v>8.6411331984666191</v>
      </c>
      <c r="E9" s="320" cm="1">
        <f t="array" ref="E9">(SUMPRODUCT(DCF!$D$9:$K$9, 1/(1+$A9)^DCF!$D$13:$K$13) + DCF!$K$8*E$5/(1+$A9)^DCF!$K$13)/1000</f>
        <v>9.4650065371509964</v>
      </c>
      <c r="F9" s="318" cm="1">
        <f t="array" ref="F9">(SUMPRODUCT(DCF!$D$9:$K$9, 1/(1+$A9)^DCF!$D$13:$K$13) + DCF!$K$8*F$5/(1+$A9)^DCF!$K$13)/1000</f>
        <v>10.288879875835372</v>
      </c>
      <c r="G9" s="318" cm="1">
        <f t="array" ref="G9">(SUMPRODUCT(DCF!$D$9:$K$9, 1/(1+$A9)^DCF!$D$13:$K$13) + DCF!$K$8*G$5/(1+$A9)^DCF!$K$13)/1000</f>
        <v>11.112753214519749</v>
      </c>
      <c r="H9" s="319" cm="1">
        <f t="array" ref="H9">(SUMPRODUCT(DCF!$D$9:$K$9, 1/(1+$A9)^DCF!$D$13:$K$13) + DCF!$K$8*H$5/(1+$A9)^DCF!$K$13)/1000</f>
        <v>11.936626553204125</v>
      </c>
    </row>
    <row r="10" spans="1:8">
      <c r="A10" s="173">
        <v>0.1135</v>
      </c>
      <c r="B10" s="318" cm="1">
        <f t="array" ref="B10">(SUMPRODUCT(DCF!$D$9:$K$9, 1/(1+$A10)^DCF!$D$13:$K$13) + DCF!$K$8*B$5/(1+$A10)^DCF!$K$13)/1000</f>
        <v>6.7846992848360816</v>
      </c>
      <c r="C10" s="318" cm="1">
        <f t="array" ref="C10">(SUMPRODUCT(DCF!$D$9:$K$9, 1/(1+$A10)^DCF!$D$13:$K$13) + DCF!$K$8*C$5/(1+$A10)^DCF!$K$13)/1000</f>
        <v>7.5812281515125512</v>
      </c>
      <c r="D10" s="318" cm="1">
        <f t="array" ref="D10">(SUMPRODUCT(DCF!$D$9:$K$9, 1/(1+$A10)^DCF!$D$13:$K$13) + DCF!$K$8*D$5/(1+$A10)^DCF!$K$13)/1000</f>
        <v>8.3777570181890209</v>
      </c>
      <c r="E10" s="318" cm="1">
        <f t="array" ref="E10">(SUMPRODUCT(DCF!$D$9:$K$9, 1/(1+$A10)^DCF!$D$13:$K$13) + DCF!$K$8*E$5/(1+$A10)^DCF!$K$13)/1000</f>
        <v>9.1742858848654905</v>
      </c>
      <c r="F10" s="318" cm="1">
        <f t="array" ref="F10">(SUMPRODUCT(DCF!$D$9:$K$9, 1/(1+$A10)^DCF!$D$13:$K$13) + DCF!$K$8*F$5/(1+$A10)^DCF!$K$13)/1000</f>
        <v>9.9708147515419583</v>
      </c>
      <c r="G10" s="318" cm="1">
        <f t="array" ref="G10">(SUMPRODUCT(DCF!$D$9:$K$9, 1/(1+$A10)^DCF!$D$13:$K$13) + DCF!$K$8*G$5/(1+$A10)^DCF!$K$13)/1000</f>
        <v>10.767343618218428</v>
      </c>
      <c r="H10" s="319" cm="1">
        <f t="array" ref="H10">(SUMPRODUCT(DCF!$D$9:$K$9, 1/(1+$A10)^DCF!$D$13:$K$13) + DCF!$K$8*H$5/(1+$A10)^DCF!$K$13)/1000</f>
        <v>11.563872484894897</v>
      </c>
    </row>
    <row r="11" spans="1:8">
      <c r="A11" s="173">
        <v>0.11849999999999999</v>
      </c>
      <c r="B11" s="318" cm="1">
        <f t="array" ref="B11">(SUMPRODUCT(DCF!$D$9:$K$9, 1/(1+$A11)^DCF!$D$13:$K$13) + DCF!$K$8*B$5/(1+$A11)^DCF!$K$13)/1000</f>
        <v>6.5835064758020927</v>
      </c>
      <c r="C11" s="318" cm="1">
        <f t="array" ref="C11">(SUMPRODUCT(DCF!$D$9:$K$9, 1/(1+$A11)^DCF!$D$13:$K$13) + DCF!$K$8*C$5/(1+$A11)^DCF!$K$13)/1000</f>
        <v>7.353714903739192</v>
      </c>
      <c r="D11" s="318" cm="1">
        <f t="array" ref="D11">(SUMPRODUCT(DCF!$D$9:$K$9, 1/(1+$A11)^DCF!$D$13:$K$13) + DCF!$K$8*D$5/(1+$A11)^DCF!$K$13)/1000</f>
        <v>8.1239233316762931</v>
      </c>
      <c r="E11" s="318" cm="1">
        <f t="array" ref="E11">(SUMPRODUCT(DCF!$D$9:$K$9, 1/(1+$A11)^DCF!$D$13:$K$13) + DCF!$K$8*E$5/(1+$A11)^DCF!$K$13)/1000</f>
        <v>8.8941317596133942</v>
      </c>
      <c r="F11" s="318" cm="1">
        <f t="array" ref="F11">(SUMPRODUCT(DCF!$D$9:$K$9, 1/(1+$A11)^DCF!$D$13:$K$13) + DCF!$K$8*F$5/(1+$A11)^DCF!$K$13)/1000</f>
        <v>9.6643401875504953</v>
      </c>
      <c r="G11" s="318" cm="1">
        <f t="array" ref="G11">(SUMPRODUCT(DCF!$D$9:$K$9, 1/(1+$A11)^DCF!$D$13:$K$13) + DCF!$K$8*G$5/(1+$A11)^DCF!$K$13)/1000</f>
        <v>10.434548615487596</v>
      </c>
      <c r="H11" s="319" cm="1">
        <f t="array" ref="H11">(SUMPRODUCT(DCF!$D$9:$K$9, 1/(1+$A11)^DCF!$D$13:$K$13) + DCF!$K$8*H$5/(1+$A11)^DCF!$K$13)/1000</f>
        <v>11.204757043424697</v>
      </c>
    </row>
    <row r="12" spans="1:8">
      <c r="A12" s="175">
        <v>0.1235</v>
      </c>
      <c r="B12" s="321" cm="1">
        <f t="array" ref="B12">(SUMPRODUCT(DCF!$D$9:$K$9, 1/(1+$A12)^DCF!$D$13:$K$13) + DCF!$K$8*B$5/(1+$A12)^DCF!$K$13)/1000</f>
        <v>6.389503176701484</v>
      </c>
      <c r="C12" s="321" cm="1">
        <f t="array" ref="C12">(SUMPRODUCT(DCF!$D$9:$K$9, 1/(1+$A12)^DCF!$D$13:$K$13) + DCF!$K$8*C$5/(1+$A12)^DCF!$K$13)/1000</f>
        <v>7.1343725265260725</v>
      </c>
      <c r="D12" s="321" cm="1">
        <f t="array" ref="D12">(SUMPRODUCT(DCF!$D$9:$K$9, 1/(1+$A12)^DCF!$D$13:$K$13) + DCF!$K$8*D$5/(1+$A12)^DCF!$K$13)/1000</f>
        <v>7.8792418763506609</v>
      </c>
      <c r="E12" s="321" cm="1">
        <f t="array" ref="E12">(SUMPRODUCT(DCF!$D$9:$K$9, 1/(1+$A12)^DCF!$D$13:$K$13) + DCF!$K$8*E$5/(1+$A12)^DCF!$K$13)/1000</f>
        <v>8.6241112261752502</v>
      </c>
      <c r="F12" s="321" cm="1">
        <f t="array" ref="F12">(SUMPRODUCT(DCF!$D$9:$K$9, 1/(1+$A12)^DCF!$D$13:$K$13) + DCF!$K$8*F$5/(1+$A12)^DCF!$K$13)/1000</f>
        <v>9.3689805759998386</v>
      </c>
      <c r="G12" s="321" cm="1">
        <f t="array" ref="G12">(SUMPRODUCT(DCF!$D$9:$K$9, 1/(1+$A12)^DCF!$D$13:$K$13) + DCF!$K$8*G$5/(1+$A12)^DCF!$K$13)/1000</f>
        <v>10.113849925824427</v>
      </c>
      <c r="H12" s="322" cm="1">
        <f t="array" ref="H12">(SUMPRODUCT(DCF!$D$9:$K$9, 1/(1+$A12)^DCF!$D$13:$K$13) + DCF!$K$8*H$5/(1+$A12)^DCF!$K$13)/1000</f>
        <v>10.858719275649015</v>
      </c>
    </row>
    <row r="13" spans="1:8">
      <c r="A13" s="219"/>
      <c r="B13" s="219"/>
      <c r="C13" s="219"/>
      <c r="D13" s="219"/>
      <c r="E13" s="219"/>
      <c r="F13" s="219"/>
      <c r="G13" s="219"/>
      <c r="H13" s="219"/>
    </row>
    <row r="14" spans="1:8">
      <c r="A14" s="219"/>
      <c r="B14" s="219"/>
      <c r="C14" s="219"/>
      <c r="D14" s="219"/>
      <c r="E14" s="219"/>
      <c r="F14" s="219"/>
      <c r="G14" s="219"/>
      <c r="H14" s="219"/>
    </row>
    <row r="15" spans="1:8">
      <c r="A15" s="269" t="s">
        <v>1013</v>
      </c>
      <c r="B15" s="219"/>
      <c r="C15" s="219"/>
      <c r="D15" s="219"/>
      <c r="E15" s="219"/>
      <c r="F15" s="219"/>
      <c r="G15" s="219"/>
      <c r="H15" s="219"/>
    </row>
    <row r="16" spans="1:8">
      <c r="A16" s="317" t="s">
        <v>1014</v>
      </c>
      <c r="B16" s="179">
        <v>1.4999999999999999E-2</v>
      </c>
      <c r="C16" s="179">
        <v>0.02</v>
      </c>
      <c r="D16" s="179">
        <v>2.5000000000000001E-2</v>
      </c>
      <c r="E16" s="180">
        <v>0.03</v>
      </c>
      <c r="F16" s="179">
        <v>3.5000000000000003E-2</v>
      </c>
      <c r="G16" s="179">
        <v>0.04</v>
      </c>
      <c r="H16" s="181">
        <v>4.4999999999999998E-2</v>
      </c>
    </row>
    <row r="17" spans="1:8">
      <c r="A17" s="173">
        <v>9.35E-2</v>
      </c>
      <c r="B17" s="318" cm="1">
        <f t="array" ref="B17">(SUMPRODUCT(DCF!$D$9:$K$9, 1/(1+$A17)^DCF!$D$13:$K$13) + DCF!$K$9*(1+B$16)/($A17-B$16)/(1+$A17)^DCF!$K$13)/1000</f>
        <v>8.196535311905194</v>
      </c>
      <c r="C17" s="318" cm="1">
        <f t="array" ref="C17">(SUMPRODUCT(DCF!$D$9:$K$9, 1/(1+$A17)^DCF!$D$13:$K$13) + DCF!$K$9*(1+C$16)/($A17-C$16)/(1+$A17)^DCF!$K$13)/1000</f>
        <v>8.6365520719059745</v>
      </c>
      <c r="D17" s="318" cm="1">
        <f t="array" ref="D17">(SUMPRODUCT(DCF!$D$9:$K$9, 1/(1+$A17)^DCF!$D$13:$K$13) + DCF!$K$9*(1+D$16)/($A17-D$16)/(1+$A17)^DCF!$K$13)/1000</f>
        <v>9.1408048552645322</v>
      </c>
      <c r="E17" s="318" cm="1">
        <f t="array" ref="E17">(SUMPRODUCT(DCF!$D$9:$K$9, 1/(1+$A17)^DCF!$D$13:$K$13) + DCF!$K$9*(1+E$16)/($A17-E$16)/(1+$A17)^DCF!$K$13)/1000</f>
        <v>9.7244675257661708</v>
      </c>
      <c r="F17" s="318" cm="1">
        <f t="array" ref="F17">(SUMPRODUCT(DCF!$D$9:$K$9, 1/(1+$A17)^DCF!$D$13:$K$13) + DCF!$K$9*(1+F$16)/($A17-F$16)/(1+$A17)^DCF!$K$13)/1000</f>
        <v>10.407901592934754</v>
      </c>
      <c r="G17" s="318" cm="1">
        <f t="array" ref="G17">(SUMPRODUCT(DCF!$D$9:$K$9, 1/(1+$A17)^DCF!$D$13:$K$13) + DCF!$K$9*(1+G$16)/($A17-G$16)/(1+$A17)^DCF!$K$13)/1000</f>
        <v>11.219080345555414</v>
      </c>
      <c r="H17" s="319" cm="1">
        <f t="array" ref="H17">(SUMPRODUCT(DCF!$D$9:$K$9, 1/(1+$A17)^DCF!$D$13:$K$13) + DCF!$K$9*(1+H$16)/($A17-H$16)/(1+$A17)^DCF!$K$13)/1000</f>
        <v>12.197512449231874</v>
      </c>
    </row>
    <row r="18" spans="1:8">
      <c r="A18" s="173">
        <v>9.8500000000000004E-2</v>
      </c>
      <c r="B18" s="318" cm="1">
        <f t="array" ref="B18">(SUMPRODUCT(DCF!$D$9:$K$9, 1/(1+$A18)^DCF!$D$13:$K$13) + DCF!$K$9*(1+B$16)/($A18-B$16)/(1+$A18)^DCF!$K$13)/1000</f>
        <v>7.5981754924470133</v>
      </c>
      <c r="C18" s="318" cm="1">
        <f t="array" ref="C18">(SUMPRODUCT(DCF!$D$9:$K$9, 1/(1+$A18)^DCF!$D$13:$K$13) + DCF!$K$9*(1+C$16)/($A18-C$16)/(1+$A18)^DCF!$K$13)/1000</f>
        <v>7.9741789185629059</v>
      </c>
      <c r="D18" s="318" cm="1">
        <f t="array" ref="D18">(SUMPRODUCT(DCF!$D$9:$K$9, 1/(1+$A18)^DCF!$D$13:$K$13) + DCF!$K$9*(1+D$16)/($A18-D$16)/(1+$A18)^DCF!$K$13)/1000</f>
        <v>8.4013392734020496</v>
      </c>
      <c r="E18" s="318" cm="1">
        <f t="array" ref="E18">(SUMPRODUCT(DCF!$D$9:$K$9, 1/(1+$A18)^DCF!$D$13:$K$13) + DCF!$K$9*(1+E$16)/($A18-E$16)/(1+$A18)^DCF!$K$13)/1000</f>
        <v>8.8908588041301204</v>
      </c>
      <c r="F18" s="318" cm="1">
        <f t="array" ref="F18">(SUMPRODUCT(DCF!$D$9:$K$9, 1/(1+$A18)^DCF!$D$13:$K$13) + DCF!$K$9*(1+F$16)/($A18-F$16)/(1+$A18)^DCF!$K$13)/1000</f>
        <v>9.4574680247366274</v>
      </c>
      <c r="G18" s="318" cm="1">
        <f t="array" ref="G18">(SUMPRODUCT(DCF!$D$9:$K$9, 1/(1+$A18)^DCF!$D$13:$K$13) + DCF!$K$9*(1+G$16)/($A18-G$16)/(1+$A18)^DCF!$K$13)/1000</f>
        <v>10.120933522369887</v>
      </c>
      <c r="H18" s="319" cm="1">
        <f t="array" ref="H18">(SUMPRODUCT(DCF!$D$9:$K$9, 1/(1+$A18)^DCF!$D$13:$K$13) + DCF!$K$9*(1+H$16)/($A18-H$16)/(1+$A18)^DCF!$K$13)/1000</f>
        <v>10.908411262551418</v>
      </c>
    </row>
    <row r="19" spans="1:8">
      <c r="A19" s="173">
        <v>0.10349999999999999</v>
      </c>
      <c r="B19" s="318" cm="1">
        <f t="array" ref="B19">(SUMPRODUCT(DCF!$D$9:$K$9, 1/(1+$A19)^DCF!$D$13:$K$13) + DCF!$K$9*(1+B$16)/($A19-B$16)/(1+$A19)^DCF!$K$13)/1000</f>
        <v>7.0702000525551263</v>
      </c>
      <c r="C19" s="318" cm="1">
        <f t="array" ref="C19">(SUMPRODUCT(DCF!$D$9:$K$9, 1/(1+$A19)^DCF!$D$13:$K$13) + DCF!$K$9*(1+C$16)/($A19-C$16)/(1+$A19)^DCF!$K$13)/1000</f>
        <v>7.3940161188479179</v>
      </c>
      <c r="D19" s="318" cm="1">
        <f t="array" ref="D19">(SUMPRODUCT(DCF!$D$9:$K$9, 1/(1+$A19)^DCF!$D$13:$K$13) + DCF!$K$9*(1+D$16)/($A19-D$16)/(1+$A19)^DCF!$K$13)/1000</f>
        <v>7.7590826394455208</v>
      </c>
      <c r="E19" s="318" cm="1">
        <f t="array" ref="E19">(SUMPRODUCT(DCF!$D$9:$K$9, 1/(1+$A19)^DCF!$D$13:$K$13) + DCF!$K$9*(1+E$16)/($A19-E$16)/(1+$A19)^DCF!$K$13)/1000</f>
        <v>8.1738180744101463</v>
      </c>
      <c r="F19" s="318" cm="1">
        <f t="array" ref="F19">(SUMPRODUCT(DCF!$D$9:$K$9, 1/(1+$A19)^DCF!$D$13:$K$13) + DCF!$K$9*(1+F$16)/($A19-F$16)/(1+$A19)^DCF!$K$13)/1000</f>
        <v>8.6490988283477055</v>
      </c>
      <c r="G19" s="318" cm="1">
        <f t="array" ref="G19">(SUMPRODUCT(DCF!$D$9:$K$9, 1/(1+$A19)^DCF!$D$13:$K$13) + DCF!$K$9*(1+G$16)/($A19-G$16)/(1+$A19)^DCF!$K$13)/1000</f>
        <v>9.1992269451100821</v>
      </c>
      <c r="H19" s="319" cm="1">
        <f t="array" ref="H19">(SUMPRODUCT(DCF!$D$9:$K$9, 1/(1+$A19)^DCF!$D$13:$K$13) + DCF!$K$9*(1+H$16)/($A19-H$16)/(1+$A19)^DCF!$K$13)/1000</f>
        <v>9.843394056190812</v>
      </c>
    </row>
    <row r="20" spans="1:8">
      <c r="A20" s="174">
        <v>0.1085</v>
      </c>
      <c r="B20" s="318" cm="1">
        <f t="array" ref="B20">(SUMPRODUCT(DCF!$D$9:$K$9, 1/(1+$A20)^DCF!$D$13:$K$13) + DCF!$K$9*(1+B$16)/($A20-B$16)/(1+$A20)^DCF!$K$13)/1000</f>
        <v>6.6012323474747081</v>
      </c>
      <c r="C20" s="318" cm="1">
        <f t="array" ref="C20">(SUMPRODUCT(DCF!$D$9:$K$9, 1/(1+$A20)^DCF!$D$13:$K$13) + DCF!$K$9*(1+C$16)/($A20-C$16)/(1+$A20)^DCF!$K$13)/1000</f>
        <v>6.8820416026654074</v>
      </c>
      <c r="D20" s="318" cm="1">
        <f t="array" ref="D20">(SUMPRODUCT(DCF!$D$9:$K$9, 1/(1+$A20)^DCF!$D$13:$K$13) + DCF!$K$9*(1+D$16)/($A20-D$16)/(1+$A20)^DCF!$K$13)/1000</f>
        <v>7.1964807087771474</v>
      </c>
      <c r="E20" s="320" cm="1">
        <f t="array" ref="E20">(SUMPRODUCT(DCF!$D$9:$K$9, 1/(1+$A20)^DCF!$D$13:$K$13) + DCF!$K$9*(1+E$16)/($A20-E$16)/(1+$A20)^DCF!$K$13)/1000</f>
        <v>7.5509757519731906</v>
      </c>
      <c r="F20" s="318" cm="1">
        <f t="array" ref="F20">(SUMPRODUCT(DCF!$D$9:$K$9, 1/(1+$A20)^DCF!$D$13:$K$13) + DCF!$K$9*(1+F$16)/($A20-F$16)/(1+$A20)^DCF!$K$13)/1000</f>
        <v>7.9537014132911388</v>
      </c>
      <c r="G20" s="318" cm="1">
        <f t="array" ref="G20">(SUMPRODUCT(DCF!$D$9:$K$9, 1/(1+$A20)^DCF!$D$13:$K$13) + DCF!$K$9*(1+G$16)/($A20-G$16)/(1+$A20)^DCF!$K$13)/1000</f>
        <v>8.4152191419547755</v>
      </c>
      <c r="H20" s="319" cm="1">
        <f t="array" ref="H20">(SUMPRODUCT(DCF!$D$9:$K$9, 1/(1+$A20)^DCF!$D$13:$K$13) + DCF!$K$9*(1+H$16)/($A20-H$16)/(1+$A20)^DCF!$K$13)/1000</f>
        <v>8.9494168278882746</v>
      </c>
    </row>
    <row r="21" spans="1:8">
      <c r="A21" s="173">
        <v>0.1135</v>
      </c>
      <c r="B21" s="318" cm="1">
        <f t="array" ref="B21">(SUMPRODUCT(DCF!$D$9:$K$9, 1/(1+$A21)^DCF!$D$13:$K$13) + DCF!$K$9*(1+B$16)/($A21-B$16)/(1+$A21)^DCF!$K$13)/1000</f>
        <v>6.1822087492577502</v>
      </c>
      <c r="C21" s="318" cm="1">
        <f t="array" ref="C21">(SUMPRODUCT(DCF!$D$9:$K$9, 1/(1+$A21)^DCF!$D$13:$K$13) + DCF!$K$9*(1+C$16)/($A21-C$16)/(1+$A21)^DCF!$K$13)/1000</f>
        <v>6.4272358110790426</v>
      </c>
      <c r="D21" s="318" cm="1">
        <f t="array" ref="D21">(SUMPRODUCT(DCF!$D$9:$K$9, 1/(1+$A21)^DCF!$D$13:$K$13) + DCF!$K$9*(1+D$16)/($A21-D$16)/(1+$A21)^DCF!$K$13)/1000</f>
        <v>6.6999495465524568</v>
      </c>
      <c r="E21" s="318" cm="1">
        <f t="array" ref="E21">(SUMPRODUCT(DCF!$D$9:$K$9, 1/(1+$A21)^DCF!$D$13:$K$13) + DCF!$K$9*(1+E$16)/($A21-E$16)/(1+$A21)^DCF!$K$13)/1000</f>
        <v>7.0053236096274789</v>
      </c>
      <c r="F21" s="318" cm="1">
        <f t="array" ref="F21">(SUMPRODUCT(DCF!$D$9:$K$9, 1/(1+$A21)^DCF!$D$13:$K$13) + DCF!$K$9*(1+F$16)/($A21-F$16)/(1+$A21)^DCF!$K$13)/1000</f>
        <v>7.3495988272343489</v>
      </c>
      <c r="G21" s="318" cm="1">
        <f t="array" ref="G21">(SUMPRODUCT(DCF!$D$9:$K$9, 1/(1+$A21)^DCF!$D$13:$K$13) + DCF!$K$9*(1+G$16)/($A21-G$16)/(1+$A21)^DCF!$K$13)/1000</f>
        <v>7.740714210502019</v>
      </c>
      <c r="H21" s="319" cm="1">
        <f t="array" ref="H21">(SUMPRODUCT(DCF!$D$9:$K$9, 1/(1+$A21)^DCF!$D$13:$K$13) + DCF!$K$9*(1+H$16)/($A21-H$16)/(1+$A21)^DCF!$K$13)/1000</f>
        <v>8.1889267300131436</v>
      </c>
    </row>
    <row r="22" spans="1:8">
      <c r="A22" s="173">
        <v>0.11849999999999999</v>
      </c>
      <c r="B22" s="318" cm="1">
        <f t="array" ref="B22">(SUMPRODUCT(DCF!$D$9:$K$9, 1/(1+$A22)^DCF!$D$13:$K$13) + DCF!$K$9*(1+B$16)/($A22-B$16)/(1+$A22)^DCF!$K$13)/1000</f>
        <v>5.805819823944443</v>
      </c>
      <c r="C22" s="318" cm="1">
        <f t="array" ref="C22">(SUMPRODUCT(DCF!$D$9:$K$9, 1/(1+$A22)^DCF!$D$13:$K$13) + DCF!$K$9*(1+C$16)/($A22-C$16)/(1+$A22)^DCF!$K$13)/1000</f>
        <v>6.0208195108631548</v>
      </c>
      <c r="D22" s="318" cm="1">
        <f t="array" ref="D22">(SUMPRODUCT(DCF!$D$9:$K$9, 1/(1+$A22)^DCF!$D$13:$K$13) + DCF!$K$9*(1+D$16)/($A22-D$16)/(1+$A22)^DCF!$K$13)/1000</f>
        <v>6.2588138167036522</v>
      </c>
      <c r="E22" s="318" cm="1">
        <f t="array" ref="E22">(SUMPRODUCT(DCF!$D$9:$K$9, 1/(1+$A22)^DCF!$D$13:$K$13) + DCF!$K$9*(1+E$16)/($A22-E$16)/(1+$A22)^DCF!$K$13)/1000</f>
        <v>6.5237001345035317</v>
      </c>
      <c r="F22" s="318" cm="1">
        <f t="array" ref="F22">(SUMPRODUCT(DCF!$D$9:$K$9, 1/(1+$A22)^DCF!$D$13:$K$13) + DCF!$K$9*(1+F$16)/($A22-F$16)/(1+$A22)^DCF!$K$13)/1000</f>
        <v>6.8203093646147721</v>
      </c>
      <c r="G22" s="318" cm="1">
        <f t="array" ref="G22">(SUMPRODUCT(DCF!$D$9:$K$9, 1/(1+$A22)^DCF!$D$13:$K$13) + DCF!$K$9*(1+G$16)/($A22-G$16)/(1+$A22)^DCF!$K$13)/1000</f>
        <v>7.154703210026808</v>
      </c>
      <c r="H22" s="319" cm="1">
        <f t="array" ref="H22">(SUMPRODUCT(DCF!$D$9:$K$9, 1/(1+$A22)^DCF!$D$13:$K$13) + DCF!$K$9*(1+H$16)/($A22-H$16)/(1+$A22)^DCF!$K$13)/1000</f>
        <v>7.5345928167193907</v>
      </c>
    </row>
    <row r="23" spans="1:8">
      <c r="A23" s="175">
        <v>0.1235</v>
      </c>
      <c r="B23" s="321" cm="1">
        <f t="array" ref="B23">(SUMPRODUCT(DCF!$D$9:$K$9, 1/(1+$A23)^DCF!$D$13:$K$13) + DCF!$K$9*(1+B$16)/($A23-B$16)/(1+$A23)^DCF!$K$13)/1000</f>
        <v>5.4661060275201496</v>
      </c>
      <c r="C23" s="321" cm="1">
        <f t="array" ref="C23">(SUMPRODUCT(DCF!$D$9:$K$9, 1/(1+$A23)^DCF!$D$13:$K$13) + DCF!$K$9*(1+C$16)/($A23-C$16)/(1+$A23)^DCF!$K$13)/1000</f>
        <v>5.6557125380773643</v>
      </c>
      <c r="D23" s="321" cm="1">
        <f t="array" ref="D23">(SUMPRODUCT(DCF!$D$9:$K$9, 1/(1+$A23)^DCF!$D$13:$K$13) + DCF!$K$9*(1+D$16)/($A23-D$16)/(1+$A23)^DCF!$K$13)/1000</f>
        <v>5.8645684405693181</v>
      </c>
      <c r="E23" s="321" cm="1">
        <f t="array" ref="E23">(SUMPRODUCT(DCF!$D$9:$K$9, 1/(1+$A23)^DCF!$D$13:$K$13) + DCF!$K$9*(1+E$16)/($A23-E$16)/(1+$A23)^DCF!$K$13)/1000</f>
        <v>6.0957618727395584</v>
      </c>
      <c r="F23" s="321" cm="1">
        <f t="array" ref="F23">(SUMPRODUCT(DCF!$D$9:$K$9, 1/(1+$A23)^DCF!$D$13:$K$13) + DCF!$K$9*(1+F$16)/($A23-F$16)/(1+$A23)^DCF!$K$13)/1000</f>
        <v>6.3530788565674507</v>
      </c>
      <c r="G23" s="321" cm="1">
        <f t="array" ref="G23">(SUMPRODUCT(DCF!$D$9:$K$9, 1/(1+$A23)^DCF!$D$13:$K$13) + DCF!$K$9*(1+G$16)/($A23-G$16)/(1+$A23)^DCF!$K$13)/1000</f>
        <v>6.6412122456441951</v>
      </c>
      <c r="H23" s="322" cm="1">
        <f t="array" ref="H23">(SUMPRODUCT(DCF!$D$9:$K$9, 1/(1+$A23)^DCF!$D$13:$K$13) + DCF!$K$9*(1+H$16)/($A23-H$16)/(1+$A23)^DCF!$K$13)/1000</f>
        <v>6.9660505250491846</v>
      </c>
    </row>
    <row r="24" spans="1:8">
      <c r="A24" s="219"/>
      <c r="B24" s="219"/>
      <c r="C24" s="219"/>
      <c r="D24" s="219"/>
      <c r="E24" s="219"/>
      <c r="F24" s="219"/>
      <c r="G24" s="219"/>
      <c r="H24" s="219"/>
    </row>
    <row r="25" spans="1:8">
      <c r="A25" s="219"/>
      <c r="B25" s="219"/>
      <c r="C25" s="219"/>
      <c r="D25" s="219"/>
      <c r="E25" s="219"/>
      <c r="F25" s="219"/>
      <c r="G25" s="219"/>
      <c r="H25" s="219"/>
    </row>
    <row r="26" spans="1:8">
      <c r="A26" s="269" t="s">
        <v>1015</v>
      </c>
      <c r="B26" s="219"/>
      <c r="C26" s="219"/>
      <c r="D26" s="219"/>
      <c r="E26" s="219"/>
      <c r="F26" s="219"/>
      <c r="G26" s="219"/>
      <c r="H26" s="219"/>
    </row>
    <row r="27" spans="1:8">
      <c r="A27" s="317" t="s">
        <v>1016</v>
      </c>
      <c r="B27" s="179">
        <v>0.01</v>
      </c>
      <c r="C27" s="179">
        <v>1.4999999999999999E-2</v>
      </c>
      <c r="D27" s="180">
        <v>0.02</v>
      </c>
      <c r="E27" s="179">
        <v>2.5000000000000001E-2</v>
      </c>
      <c r="F27" s="181">
        <v>0.03</v>
      </c>
      <c r="G27" s="219"/>
      <c r="H27" s="219"/>
    </row>
    <row r="28" spans="1:8">
      <c r="A28" s="187">
        <v>0.7</v>
      </c>
      <c r="B28" s="182">
        <f>Assumptions!$F$69 + Assumptions!$F$70*$A28 + Assumptions!$F$72 + B$27</f>
        <v>9.2599999999999988E-2</v>
      </c>
      <c r="C28" s="182">
        <f>Assumptions!$F$69 + Assumptions!$F$70*$A28 + Assumptions!$F$72 + C$27</f>
        <v>9.7599999999999992E-2</v>
      </c>
      <c r="D28" s="182">
        <f>Assumptions!$F$69 + Assumptions!$F$70*$A28 + Assumptions!$F$72 + D$27</f>
        <v>0.1026</v>
      </c>
      <c r="E28" s="182">
        <f>Assumptions!$F$69 + Assumptions!$F$70*$A28 + Assumptions!$F$72 + E$27</f>
        <v>0.1076</v>
      </c>
      <c r="F28" s="185">
        <f>Assumptions!$F$69 + Assumptions!$F$70*$A28 + Assumptions!$F$72 + F$27</f>
        <v>0.11259999999999999</v>
      </c>
      <c r="G28" s="219"/>
      <c r="H28" s="219"/>
    </row>
    <row r="29" spans="1:8">
      <c r="A29" s="188">
        <v>0.83</v>
      </c>
      <c r="B29" s="182">
        <f>Assumptions!$F$69 + Assumptions!$F$70*$A29 + Assumptions!$F$72 + B$27</f>
        <v>9.8449999999999982E-2</v>
      </c>
      <c r="C29" s="182">
        <f>Assumptions!$F$69 + Assumptions!$F$70*$A29 + Assumptions!$F$72 + C$27</f>
        <v>0.10344999999999999</v>
      </c>
      <c r="D29" s="183">
        <f>Assumptions!$F$69 + Assumptions!$F$70*$A29 + Assumptions!$F$72 + D$27</f>
        <v>0.10844999999999999</v>
      </c>
      <c r="E29" s="182">
        <f>Assumptions!$F$69 + Assumptions!$F$70*$A29 + Assumptions!$F$72 + E$27</f>
        <v>0.11345</v>
      </c>
      <c r="F29" s="185">
        <f>Assumptions!$F$69 + Assumptions!$F$70*$A29 + Assumptions!$F$72 + F$27</f>
        <v>0.11844999999999999</v>
      </c>
      <c r="G29" s="219"/>
      <c r="H29" s="219"/>
    </row>
    <row r="30" spans="1:8">
      <c r="A30" s="187">
        <v>1</v>
      </c>
      <c r="B30" s="182">
        <f>Assumptions!$F$69 + Assumptions!$F$70*$A30 + Assumptions!$F$72 + B$27</f>
        <v>0.10609999999999999</v>
      </c>
      <c r="C30" s="182">
        <f>Assumptions!$F$69 + Assumptions!$F$70*$A30 + Assumptions!$F$72 + C$27</f>
        <v>0.11109999999999999</v>
      </c>
      <c r="D30" s="182">
        <f>Assumptions!$F$69 + Assumptions!$F$70*$A30 + Assumptions!$F$72 + D$27</f>
        <v>0.11609999999999999</v>
      </c>
      <c r="E30" s="182">
        <f>Assumptions!$F$69 + Assumptions!$F$70*$A30 + Assumptions!$F$72 + E$27</f>
        <v>0.12109999999999999</v>
      </c>
      <c r="F30" s="185">
        <f>Assumptions!$F$69 + Assumptions!$F$70*$A30 + Assumptions!$F$72 + F$27</f>
        <v>0.12609999999999999</v>
      </c>
      <c r="G30" s="219"/>
      <c r="H30" s="219"/>
    </row>
    <row r="31" spans="1:8">
      <c r="A31" s="187">
        <v>1.2</v>
      </c>
      <c r="B31" s="182">
        <f>Assumptions!$F$69 + Assumptions!$F$70*$A31 + Assumptions!$F$72 + B$27</f>
        <v>0.11509999999999999</v>
      </c>
      <c r="C31" s="182">
        <f>Assumptions!$F$69 + Assumptions!$F$70*$A31 + Assumptions!$F$72 + C$27</f>
        <v>0.1201</v>
      </c>
      <c r="D31" s="182">
        <f>Assumptions!$F$69 + Assumptions!$F$70*$A31 + Assumptions!$F$72 + D$27</f>
        <v>0.12509999999999999</v>
      </c>
      <c r="E31" s="182">
        <f>Assumptions!$F$69 + Assumptions!$F$70*$A31 + Assumptions!$F$72 + E$27</f>
        <v>0.13009999999999999</v>
      </c>
      <c r="F31" s="185">
        <f>Assumptions!$F$69 + Assumptions!$F$70*$A31 + Assumptions!$F$72 + F$27</f>
        <v>0.1351</v>
      </c>
      <c r="G31" s="219"/>
      <c r="H31" s="219"/>
    </row>
    <row r="32" spans="1:8">
      <c r="A32" s="189">
        <v>1.4</v>
      </c>
      <c r="B32" s="184">
        <f>Assumptions!$F$69 + Assumptions!$F$70*$A32 + Assumptions!$F$72 + B$27</f>
        <v>0.12409999999999999</v>
      </c>
      <c r="C32" s="184">
        <f>Assumptions!$F$69 + Assumptions!$F$70*$A32 + Assumptions!$F$72 + C$27</f>
        <v>0.12909999999999999</v>
      </c>
      <c r="D32" s="184">
        <f>Assumptions!$F$69 + Assumptions!$F$70*$A32 + Assumptions!$F$72 + D$27</f>
        <v>0.1341</v>
      </c>
      <c r="E32" s="184">
        <f>Assumptions!$F$69 + Assumptions!$F$70*$A32 + Assumptions!$F$72 + E$27</f>
        <v>0.1391</v>
      </c>
      <c r="F32" s="186">
        <f>Assumptions!$F$69 + Assumptions!$F$70*$A32 + Assumptions!$F$72 + F$27</f>
        <v>0.14410000000000001</v>
      </c>
      <c r="G32" s="219"/>
      <c r="H32" s="219"/>
    </row>
    <row r="33" spans="1:8">
      <c r="A33" s="219"/>
      <c r="B33" s="219"/>
      <c r="C33" s="219"/>
      <c r="D33" s="219"/>
      <c r="E33" s="219"/>
      <c r="F33" s="219"/>
      <c r="G33" s="219"/>
      <c r="H33" s="219"/>
    </row>
    <row r="34" spans="1:8">
      <c r="A34" s="269" t="s">
        <v>1017</v>
      </c>
      <c r="B34" s="219"/>
      <c r="C34" s="219"/>
      <c r="D34" s="219"/>
      <c r="E34" s="219"/>
      <c r="F34" s="219"/>
      <c r="G34" s="219"/>
      <c r="H34" s="219"/>
    </row>
    <row r="35" spans="1:8">
      <c r="A35" s="317" t="s">
        <v>1016</v>
      </c>
      <c r="B35" s="179">
        <v>0.01</v>
      </c>
      <c r="C35" s="179">
        <v>1.4999999999999999E-2</v>
      </c>
      <c r="D35" s="180">
        <v>0.02</v>
      </c>
      <c r="E35" s="179">
        <v>2.5000000000000001E-2</v>
      </c>
      <c r="F35" s="181">
        <v>0.03</v>
      </c>
      <c r="G35" s="219"/>
      <c r="H35" s="219"/>
    </row>
    <row r="36" spans="1:8">
      <c r="A36" s="187">
        <v>0.7</v>
      </c>
      <c r="B36" s="318" cm="1">
        <f t="array" ref="B36">(SUMPRODUCT(DCF!$D$9:$K$9, 1/(1+(Assumptions!$F$69+Assumptions!$F$70*$A36+Assumptions!$F$72+B$35))^DCF!$D$13:$K$13) + DCF!$K$8*Assumptions!$F$78/(1+(Assumptions!$F$69+Assumptions!$F$70*$A36+Assumptions!$F$72+B$35))^DCF!$K$13)/1000</f>
        <v>10.465068643713195</v>
      </c>
      <c r="C36" s="318" cm="1">
        <f t="array" ref="C36">(SUMPRODUCT(DCF!$D$9:$K$9, 1/(1+(Assumptions!$F$69+Assumptions!$F$70*$A36+Assumptions!$F$72+C$35))^DCF!$D$13:$K$13) + DCF!$K$8*Assumptions!$F$78/(1+(Assumptions!$F$69+Assumptions!$F$70*$A36+Assumptions!$F$72+C$35))^DCF!$K$13)/1000</f>
        <v>10.137625005102411</v>
      </c>
      <c r="D36" s="318" cm="1">
        <f t="array" ref="D36">(SUMPRODUCT(DCF!$D$9:$K$9, 1/(1+(Assumptions!$F$69+Assumptions!$F$70*$A36+Assumptions!$F$72+D$35))^DCF!$D$13:$K$13) + DCF!$K$8*Assumptions!$F$78/(1+(Assumptions!$F$69+Assumptions!$F$70*$A36+Assumptions!$F$72+D$35))^DCF!$K$13)/1000</f>
        <v>9.8222673236780391</v>
      </c>
      <c r="E36" s="318" cm="1">
        <f t="array" ref="E36">(SUMPRODUCT(DCF!$D$9:$K$9, 1/(1+(Assumptions!$F$69+Assumptions!$F$70*$A36+Assumptions!$F$72+E$35))^DCF!$D$13:$K$13) + DCF!$K$8*Assumptions!$F$78/(1+(Assumptions!$F$69+Assumptions!$F$70*$A36+Assumptions!$F$72+E$35))^DCF!$K$13)/1000</f>
        <v>9.5184930873016391</v>
      </c>
      <c r="F36" s="319" cm="1">
        <f t="array" ref="F36">(SUMPRODUCT(DCF!$D$9:$K$9, 1/(1+(Assumptions!$F$69+Assumptions!$F$70*$A36+Assumptions!$F$72+F$35))^DCF!$D$13:$K$13) + DCF!$K$8*Assumptions!$F$78/(1+(Assumptions!$F$69+Assumptions!$F$70*$A36+Assumptions!$F$72+F$35))^DCF!$K$13)/1000</f>
        <v>9.2258229045122313</v>
      </c>
      <c r="G36" s="219"/>
      <c r="H36" s="219"/>
    </row>
    <row r="37" spans="1:8">
      <c r="A37" s="188">
        <v>0.83</v>
      </c>
      <c r="B37" s="318" cm="1">
        <f t="array" ref="B37">(SUMPRODUCT(DCF!$D$9:$K$9, 1/(1+(Assumptions!$F$69+Assumptions!$F$70*$A37+Assumptions!$F$72+B$35))^DCF!$D$13:$K$13) + DCF!$K$8*Assumptions!$F$78/(1+(Assumptions!$F$69+Assumptions!$F$70*$A37+Assumptions!$F$72+B$35))^DCF!$K$13)/1000</f>
        <v>10.083175660982556</v>
      </c>
      <c r="C37" s="318" cm="1">
        <f t="array" ref="C37">(SUMPRODUCT(DCF!$D$9:$K$9, 1/(1+(Assumptions!$F$69+Assumptions!$F$70*$A37+Assumptions!$F$72+C$35))^DCF!$D$13:$K$13) + DCF!$K$8*Assumptions!$F$78/(1+(Assumptions!$F$69+Assumptions!$F$70*$A37+Assumptions!$F$72+C$35))^DCF!$K$13)/1000</f>
        <v>9.7698219661768526</v>
      </c>
      <c r="D37" s="320" cm="1">
        <f t="array" ref="D37">(SUMPRODUCT(DCF!$D$9:$K$9, 1/(1+(Assumptions!$F$69+Assumptions!$F$70*$A37+Assumptions!$F$72+D$35))^DCF!$D$13:$K$13) + DCF!$K$8*Assumptions!$F$78/(1+(Assumptions!$F$69+Assumptions!$F$70*$A37+Assumptions!$F$72+D$35))^DCF!$K$13)/1000</f>
        <v>9.4679686215489092</v>
      </c>
      <c r="E37" s="318" cm="1">
        <f t="array" ref="E37">(SUMPRODUCT(DCF!$D$9:$K$9, 1/(1+(Assumptions!$F$69+Assumptions!$F$70*$A37+Assumptions!$F$72+E$35))^DCF!$D$13:$K$13) + DCF!$K$8*Assumptions!$F$78/(1+(Assumptions!$F$69+Assumptions!$F$70*$A37+Assumptions!$F$72+E$35))^DCF!$K$13)/1000</f>
        <v>9.1771400486402825</v>
      </c>
      <c r="F37" s="319" cm="1">
        <f t="array" ref="F37">(SUMPRODUCT(DCF!$D$9:$K$9, 1/(1+(Assumptions!$F$69+Assumptions!$F$70*$A37+Assumptions!$F$72+F$35))^DCF!$D$13:$K$13) + DCF!$K$8*Assumptions!$F$78/(1+(Assumptions!$F$69+Assumptions!$F$70*$A37+Assumptions!$F$72+F$35))^DCF!$K$13)/1000</f>
        <v>8.8968824347131825</v>
      </c>
      <c r="G37" s="219"/>
      <c r="H37" s="219"/>
    </row>
    <row r="38" spans="1:8">
      <c r="A38" s="187">
        <v>1</v>
      </c>
      <c r="B38" s="318" cm="1">
        <f t="array" ref="B38">(SUMPRODUCT(DCF!$D$9:$K$9, 1/(1+(Assumptions!$F$69+Assumptions!$F$70*$A38+Assumptions!$F$72+B$35))^DCF!$D$13:$K$13) + DCF!$K$8*Assumptions!$F$78/(1+(Assumptions!$F$69+Assumptions!$F$70*$A38+Assumptions!$F$72+B$35))^DCF!$K$13)/1000</f>
        <v>9.6084380549608248</v>
      </c>
      <c r="C38" s="318" cm="1">
        <f t="array" ref="C38">(SUMPRODUCT(DCF!$D$9:$K$9, 1/(1+(Assumptions!$F$69+Assumptions!$F$70*$A38+Assumptions!$F$72+C$35))^DCF!$D$13:$K$13) + DCF!$K$8*Assumptions!$F$78/(1+(Assumptions!$F$69+Assumptions!$F$70*$A38+Assumptions!$F$72+C$35))^DCF!$K$13)/1000</f>
        <v>9.3124856639286708</v>
      </c>
      <c r="D38" s="318" cm="1">
        <f t="array" ref="D38">(SUMPRODUCT(DCF!$D$9:$K$9, 1/(1+(Assumptions!$F$69+Assumptions!$F$70*$A38+Assumptions!$F$72+D$35))^DCF!$D$13:$K$13) + DCF!$K$8*Assumptions!$F$78/(1+(Assumptions!$F$69+Assumptions!$F$70*$A38+Assumptions!$F$72+D$35))^DCF!$K$13)/1000</f>
        <v>9.0273148835824077</v>
      </c>
      <c r="E38" s="318" cm="1">
        <f t="array" ref="E38">(SUMPRODUCT(DCF!$D$9:$K$9, 1/(1+(Assumptions!$F$69+Assumptions!$F$70*$A38+Assumptions!$F$72+E$35))^DCF!$D$13:$K$13) + DCF!$K$8*Assumptions!$F$78/(1+(Assumptions!$F$69+Assumptions!$F$70*$A38+Assumptions!$F$72+E$35))^DCF!$K$13)/1000</f>
        <v>8.752482991371668</v>
      </c>
      <c r="F38" s="319" cm="1">
        <f t="array" ref="F38">(SUMPRODUCT(DCF!$D$9:$K$9, 1/(1+(Assumptions!$F$69+Assumptions!$F$70*$A38+Assumptions!$F$72+F$35))^DCF!$D$13:$K$13) + DCF!$K$8*Assumptions!$F$78/(1+(Assumptions!$F$69+Assumptions!$F$70*$A38+Assumptions!$F$72+F$35))^DCF!$K$13)/1000</f>
        <v>8.4875673874894666</v>
      </c>
      <c r="G38" s="219"/>
      <c r="H38" s="219"/>
    </row>
    <row r="39" spans="1:8">
      <c r="A39" s="187">
        <v>1.2</v>
      </c>
      <c r="B39" s="318" cm="1">
        <f t="array" ref="B39">(SUMPRODUCT(DCF!$D$9:$K$9, 1/(1+(Assumptions!$F$69+Assumptions!$F$70*$A39+Assumptions!$F$72+B$35))^DCF!$D$13:$K$13) + DCF!$K$8*Assumptions!$F$78/(1+(Assumptions!$F$69+Assumptions!$F$70*$A39+Assumptions!$F$72+B$35))^DCF!$K$13)/1000</f>
        <v>9.0835080577753082</v>
      </c>
      <c r="C39" s="318" cm="1">
        <f t="array" ref="C39">(SUMPRODUCT(DCF!$D$9:$K$9, 1/(1+(Assumptions!$F$69+Assumptions!$F$70*$A39+Assumptions!$F$72+C$35))^DCF!$D$13:$K$13) + DCF!$K$8*Assumptions!$F$78/(1+(Assumptions!$F$69+Assumptions!$F$70*$A39+Assumptions!$F$72+C$35))^DCF!$K$13)/1000</f>
        <v>8.8066428250886499</v>
      </c>
      <c r="D39" s="318" cm="1">
        <f t="array" ref="D39">(SUMPRODUCT(DCF!$D$9:$K$9, 1/(1+(Assumptions!$F$69+Assumptions!$F$70*$A39+Assumptions!$F$72+D$35))^DCF!$D$13:$K$13) + DCF!$K$8*Assumptions!$F$78/(1+(Assumptions!$F$69+Assumptions!$F$70*$A39+Assumptions!$F$72+D$35))^DCF!$K$13)/1000</f>
        <v>8.5397768396976392</v>
      </c>
      <c r="E39" s="318" cm="1">
        <f t="array" ref="E39">(SUMPRODUCT(DCF!$D$9:$K$9, 1/(1+(Assumptions!$F$69+Assumptions!$F$70*$A39+Assumptions!$F$72+E$35))^DCF!$D$13:$K$13) + DCF!$K$8*Assumptions!$F$78/(1+(Assumptions!$F$69+Assumptions!$F$70*$A39+Assumptions!$F$72+E$35))^DCF!$K$13)/1000</f>
        <v>8.2825028769376878</v>
      </c>
      <c r="F39" s="319" cm="1">
        <f t="array" ref="F39">(SUMPRODUCT(DCF!$D$9:$K$9, 1/(1+(Assumptions!$F$69+Assumptions!$F$70*$A39+Assumptions!$F$72+F$35))^DCF!$D$13:$K$13) + DCF!$K$8*Assumptions!$F$78/(1+(Assumptions!$F$69+Assumptions!$F$70*$A39+Assumptions!$F$72+F$35))^DCF!$K$13)/1000</f>
        <v>8.0344320728439467</v>
      </c>
      <c r="G39" s="219"/>
      <c r="H39" s="219"/>
    </row>
    <row r="40" spans="1:8">
      <c r="A40" s="189">
        <v>1.4</v>
      </c>
      <c r="B40" s="321" cm="1">
        <f t="array" ref="B40">(SUMPRODUCT(DCF!$D$9:$K$9, 1/(1+(Assumptions!$F$69+Assumptions!$F$70*$A40+Assumptions!$F$72+B$35))^DCF!$D$13:$K$13) + DCF!$K$8*Assumptions!$F$78/(1+(Assumptions!$F$69+Assumptions!$F$70*$A40+Assumptions!$F$72+B$35))^DCF!$K$13)/1000</f>
        <v>8.5923699140785263</v>
      </c>
      <c r="C40" s="321" cm="1">
        <f t="array" ref="C40">(SUMPRODUCT(DCF!$D$9:$K$9, 1/(1+(Assumptions!$F$69+Assumptions!$F$70*$A40+Assumptions!$F$72+C$35))^DCF!$D$13:$K$13) + DCF!$K$8*Assumptions!$F$78/(1+(Assumptions!$F$69+Assumptions!$F$70*$A40+Assumptions!$F$72+C$35))^DCF!$K$13)/1000</f>
        <v>8.3332092300925904</v>
      </c>
      <c r="D40" s="321" cm="1">
        <f t="array" ref="D40">(SUMPRODUCT(DCF!$D$9:$K$9, 1/(1+(Assumptions!$F$69+Assumptions!$F$70*$A40+Assumptions!$F$72+D$35))^DCF!$D$13:$K$13) + DCF!$K$8*Assumptions!$F$78/(1+(Assumptions!$F$69+Assumptions!$F$70*$A40+Assumptions!$F$72+D$35))^DCF!$K$13)/1000</f>
        <v>8.0833280529010487</v>
      </c>
      <c r="E40" s="321" cm="1">
        <f t="array" ref="E40">(SUMPRODUCT(DCF!$D$9:$K$9, 1/(1+(Assumptions!$F$69+Assumptions!$F$70*$A40+Assumptions!$F$72+E$35))^DCF!$D$13:$K$13) + DCF!$K$8*Assumptions!$F$78/(1+(Assumptions!$F$69+Assumptions!$F$70*$A40+Assumptions!$F$72+E$35))^DCF!$K$13)/1000</f>
        <v>7.8423515526039944</v>
      </c>
      <c r="F40" s="322" cm="1">
        <f t="array" ref="F40">(SUMPRODUCT(DCF!$D$9:$K$9, 1/(1+(Assumptions!$F$69+Assumptions!$F$70*$A40+Assumptions!$F$72+F$35))^DCF!$D$13:$K$13) + DCF!$K$8*Assumptions!$F$78/(1+(Assumptions!$F$69+Assumptions!$F$70*$A40+Assumptions!$F$72+F$35))^DCF!$K$13)/1000</f>
        <v>7.6099216647045562</v>
      </c>
      <c r="G40" s="219"/>
      <c r="H40" s="219"/>
    </row>
    <row r="41" spans="1:8">
      <c r="A41" s="219"/>
      <c r="B41" s="219"/>
      <c r="C41" s="219"/>
      <c r="D41" s="219"/>
      <c r="E41" s="219"/>
      <c r="F41" s="219"/>
      <c r="G41" s="219"/>
      <c r="H41" s="219"/>
    </row>
    <row r="42" spans="1:8">
      <c r="A42" s="262" t="s">
        <v>1018</v>
      </c>
      <c r="B42" s="262"/>
      <c r="C42" s="262"/>
      <c r="D42" s="262"/>
      <c r="E42" s="262"/>
      <c r="F42" s="262"/>
      <c r="G42" s="262"/>
      <c r="H42" s="262"/>
    </row>
    <row r="43" spans="1:8">
      <c r="A43" s="323" t="s">
        <v>933</v>
      </c>
      <c r="B43" s="324" t="s">
        <v>935</v>
      </c>
      <c r="C43" s="325" t="s">
        <v>936</v>
      </c>
      <c r="D43" s="324" t="s">
        <v>937</v>
      </c>
      <c r="E43" s="326" t="s">
        <v>1019</v>
      </c>
      <c r="F43" s="219"/>
      <c r="G43" s="219"/>
      <c r="H43" s="219"/>
    </row>
    <row r="44" spans="1:8">
      <c r="A44" s="327" t="s">
        <v>1020</v>
      </c>
      <c r="B44" s="318">
        <f>MIN(B6:H12)</f>
        <v>6.389503176701484</v>
      </c>
      <c r="C44" s="328">
        <f>E9</f>
        <v>9.4650065371509964</v>
      </c>
      <c r="D44" s="318">
        <f>MAX(B6:H12)</f>
        <v>13.142741330830344</v>
      </c>
      <c r="E44" s="329" t="str">
        <f>ROUND((B44*1000-Assumptions!$F$62+Assumptions!$F$63)/Assumptions!$F$55,1) &amp; "  —  " &amp; ROUND((D44*1000-Assumptions!$F$62+Assumptions!$F$63)/Assumptions!$F$55,1)</f>
        <v>17.3  —  33.7</v>
      </c>
      <c r="F44" s="219"/>
      <c r="G44" s="219"/>
      <c r="H44" s="219"/>
    </row>
    <row r="45" spans="1:8">
      <c r="A45" s="327" t="s">
        <v>1021</v>
      </c>
      <c r="B45" s="318">
        <f>MIN(B17:H23)</f>
        <v>5.4661060275201496</v>
      </c>
      <c r="C45" s="328">
        <f>E20</f>
        <v>7.5509757519731906</v>
      </c>
      <c r="D45" s="318">
        <f>MAX(B17:H23)</f>
        <v>12.197512449231874</v>
      </c>
      <c r="E45" s="329" t="str">
        <f>ROUND((B45*1000-Assumptions!$F$62+Assumptions!$F$63)/Assumptions!$F$55,1) &amp; "  —  " &amp; ROUND((D45*1000-Assumptions!$F$62+Assumptions!$F$63)/Assumptions!$F$55,1)</f>
        <v>15  —  31.4</v>
      </c>
      <c r="F45" s="219"/>
      <c r="G45" s="219"/>
      <c r="H45" s="219"/>
    </row>
    <row r="46" spans="1:8">
      <c r="A46" s="330" t="s">
        <v>1022</v>
      </c>
      <c r="B46" s="321">
        <f>MIN(B36:F40)</f>
        <v>7.6099216647045562</v>
      </c>
      <c r="C46" s="331">
        <f>D37</f>
        <v>9.4679686215489092</v>
      </c>
      <c r="D46" s="321">
        <f>MAX(B36:F40)</f>
        <v>10.465068643713195</v>
      </c>
      <c r="E46" s="332" t="str">
        <f>ROUND((B46*1000-Assumptions!$F$62+Assumptions!$F$63)/Assumptions!$F$55,1) &amp; "  —  " &amp; ROUND((D46*1000-Assumptions!$F$62+Assumptions!$F$63)/Assumptions!$F$55,1)</f>
        <v>20.2  —  27.2</v>
      </c>
      <c r="F46" s="219"/>
      <c r="G46" s="219"/>
      <c r="H46" s="219"/>
    </row>
    <row r="47" spans="1:8">
      <c r="A47" s="219"/>
      <c r="B47" s="219"/>
      <c r="C47" s="219"/>
      <c r="D47" s="219"/>
      <c r="E47" s="219"/>
      <c r="F47" s="219"/>
      <c r="G47" s="219"/>
      <c r="H47" s="219"/>
    </row>
    <row r="48" spans="1:8">
      <c r="A48" s="245" t="s">
        <v>1023</v>
      </c>
      <c r="B48" s="219"/>
      <c r="C48" s="219"/>
      <c r="D48" s="219"/>
      <c r="E48" s="219"/>
      <c r="F48" s="219"/>
      <c r="G48" s="219"/>
      <c r="H48" s="219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L20"/>
  <sheetViews>
    <sheetView showGridLines="0" zoomScaleNormal="100" workbookViewId="0">
      <selection activeCell="E30" sqref="E30"/>
    </sheetView>
  </sheetViews>
  <sheetFormatPr defaultColWidth="8.85546875" defaultRowHeight="15"/>
  <cols>
    <col min="1" max="1" width="42" customWidth="1"/>
    <col min="2" max="3" width="18" customWidth="1"/>
    <col min="4" max="4" width="12" customWidth="1"/>
    <col min="5" max="5" width="50" customWidth="1"/>
  </cols>
  <sheetData>
    <row r="1" spans="1:12" ht="21.95" customHeight="1">
      <c r="A1" s="347" t="s">
        <v>1024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</row>
    <row r="2" spans="1:12">
      <c r="A2" s="345" t="s">
        <v>1025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</row>
    <row r="4" spans="1:12">
      <c r="A4" s="108" t="s">
        <v>302</v>
      </c>
      <c r="B4" s="108" t="s">
        <v>1026</v>
      </c>
      <c r="C4" s="108" t="s">
        <v>1027</v>
      </c>
      <c r="D4" s="108" t="s">
        <v>61</v>
      </c>
      <c r="E4" s="108" t="s">
        <v>62</v>
      </c>
      <c r="F4" s="213"/>
      <c r="G4" s="213"/>
      <c r="H4" s="213"/>
      <c r="I4" s="213"/>
      <c r="J4" s="213"/>
      <c r="K4" s="213"/>
      <c r="L4" s="213"/>
    </row>
    <row r="5" spans="1:12">
      <c r="A5" s="37" t="s">
        <v>1028</v>
      </c>
      <c r="B5" s="131">
        <f>ABS(Members!D35*ARPU!D35/'Revenue Build'!D20-1)</f>
        <v>0</v>
      </c>
      <c r="C5" s="58" t="s">
        <v>1029</v>
      </c>
      <c r="D5" s="64" t="str">
        <f>IF(B5&lt;0.05,"PASS","FAIL")</f>
        <v>PASS</v>
      </c>
      <c r="E5" s="214" t="s">
        <v>1030</v>
      </c>
      <c r="F5" s="213"/>
      <c r="G5" s="213"/>
      <c r="H5" s="213"/>
      <c r="I5" s="213"/>
      <c r="J5" s="213"/>
      <c r="K5" s="213"/>
      <c r="L5" s="213"/>
    </row>
    <row r="6" spans="1:12">
      <c r="A6" s="37" t="s">
        <v>1031</v>
      </c>
      <c r="B6" s="132">
        <f>ABS('P&amp;L'!E23-Members!E47)</f>
        <v>0</v>
      </c>
      <c r="C6" s="58" t="s">
        <v>1032</v>
      </c>
      <c r="D6" s="64" t="str">
        <f>IF(B6&lt;1,"PASS","FAIL")</f>
        <v>PASS</v>
      </c>
      <c r="E6" s="214" t="s">
        <v>1033</v>
      </c>
      <c r="F6" s="213"/>
      <c r="G6" s="213"/>
      <c r="H6" s="213"/>
      <c r="I6" s="213"/>
      <c r="J6" s="213"/>
      <c r="K6" s="213"/>
      <c r="L6" s="213"/>
    </row>
    <row r="7" spans="1:12">
      <c r="A7" s="37" t="s">
        <v>1034</v>
      </c>
      <c r="B7" s="133">
        <f>Assumptions!$F$87</f>
        <v>1</v>
      </c>
      <c r="C7" s="134" t="s">
        <v>1035</v>
      </c>
      <c r="D7" s="64" t="str">
        <f>IF(ABS(B7-1)&lt;0.001,"PASS","FAIL")</f>
        <v>PASS</v>
      </c>
      <c r="E7" s="214" t="s">
        <v>1036</v>
      </c>
      <c r="F7" s="213"/>
      <c r="G7" s="213"/>
      <c r="H7" s="213"/>
      <c r="I7" s="213"/>
      <c r="J7" s="213"/>
      <c r="K7" s="213"/>
      <c r="L7" s="213"/>
    </row>
    <row r="8" spans="1:12">
      <c r="A8" s="37" t="s">
        <v>1037</v>
      </c>
      <c r="B8" s="94">
        <f>DCF!C34</f>
        <v>0.7834171442266481</v>
      </c>
      <c r="C8" s="58" t="s">
        <v>1038</v>
      </c>
      <c r="D8" s="64" t="str">
        <f>IF(B8&lt;0.75,"PASS",IF(B8&lt;0.8,"WARN","FAIL"))</f>
        <v>WARN</v>
      </c>
      <c r="E8" s="214" t="s">
        <v>1039</v>
      </c>
      <c r="F8" s="213"/>
      <c r="G8" s="213"/>
      <c r="H8" s="213"/>
      <c r="I8" s="213"/>
      <c r="J8" s="213"/>
      <c r="K8" s="213"/>
      <c r="L8" s="213"/>
    </row>
    <row r="9" spans="1:12">
      <c r="A9" s="37" t="s">
        <v>1040</v>
      </c>
      <c r="B9" s="94">
        <f>DCF!C31</f>
        <v>0.29576530134566104</v>
      </c>
      <c r="C9" s="58" t="s">
        <v>1041</v>
      </c>
      <c r="D9" s="64" t="str">
        <f>IF(B9&lt;0.25,"PASS",IF(B9&lt;0.35,"WARN","FAIL"))</f>
        <v>WARN</v>
      </c>
      <c r="E9" s="214" t="s">
        <v>1042</v>
      </c>
      <c r="F9" s="213"/>
      <c r="G9" s="213"/>
      <c r="H9" s="213"/>
      <c r="I9" s="213"/>
      <c r="J9" s="213"/>
      <c r="K9" s="213"/>
      <c r="L9" s="213"/>
    </row>
    <row r="10" spans="1:12">
      <c r="A10" s="37" t="s">
        <v>1043</v>
      </c>
      <c r="B10" s="94">
        <f>RealOptions!D8</f>
        <v>1</v>
      </c>
      <c r="C10" s="134" t="s">
        <v>1035</v>
      </c>
      <c r="D10" s="64" t="str">
        <f>IF(ABS(B10-1)&lt;0.001,"PASS","FAIL")</f>
        <v>PASS</v>
      </c>
      <c r="E10" s="214" t="s">
        <v>1044</v>
      </c>
      <c r="F10" s="213"/>
      <c r="G10" s="213"/>
      <c r="H10" s="213"/>
      <c r="I10" s="213"/>
      <c r="J10" s="213"/>
      <c r="K10" s="213"/>
      <c r="L10" s="213"/>
    </row>
    <row r="11" spans="1:12">
      <c r="A11" s="37" t="s">
        <v>1045</v>
      </c>
      <c r="B11" s="133">
        <f>Assumptions!$F$74-Assumptions!$F$80</f>
        <v>7.8449999999999992E-2</v>
      </c>
      <c r="C11" s="58" t="s">
        <v>1046</v>
      </c>
      <c r="D11" s="64" t="str">
        <f>IF(B11&gt;0,"PASS","FAIL")</f>
        <v>PASS</v>
      </c>
      <c r="E11" s="214" t="s">
        <v>1047</v>
      </c>
      <c r="F11" s="213"/>
      <c r="G11" s="213"/>
      <c r="H11" s="213"/>
      <c r="I11" s="213"/>
      <c r="J11" s="213"/>
      <c r="K11" s="213"/>
      <c r="L11" s="213"/>
    </row>
    <row r="12" spans="1:12">
      <c r="A12" s="37" t="s">
        <v>1048</v>
      </c>
      <c r="B12" s="135">
        <f>MAX(Members!E31:L31)/Members!D31</f>
        <v>1.3062211838403992</v>
      </c>
      <c r="C12" s="58" t="s">
        <v>1049</v>
      </c>
      <c r="D12" s="64" t="str">
        <f>IF(B12&lt;2,"PASS",IF(B12&lt;3,"WARN","FAIL"))</f>
        <v>PASS</v>
      </c>
      <c r="E12" s="214" t="s">
        <v>1050</v>
      </c>
      <c r="F12" s="213"/>
      <c r="G12" s="213"/>
      <c r="H12" s="213"/>
      <c r="I12" s="213"/>
      <c r="J12" s="213"/>
      <c r="K12" s="213"/>
      <c r="L12" s="213"/>
    </row>
    <row r="13" spans="1:12">
      <c r="A13" s="37" t="s">
        <v>1051</v>
      </c>
      <c r="B13" s="136">
        <f>MIN(FCF!J22:L22)</f>
        <v>39.831632551495822</v>
      </c>
      <c r="C13" s="58" t="s">
        <v>1052</v>
      </c>
      <c r="D13" s="64" t="str">
        <f>IF(B13&gt;=20,"PASS","FAIL")</f>
        <v>PASS</v>
      </c>
      <c r="E13" s="214" t="s">
        <v>1053</v>
      </c>
      <c r="F13" s="213"/>
      <c r="G13" s="213"/>
      <c r="H13" s="213"/>
      <c r="I13" s="213"/>
      <c r="J13" s="213"/>
      <c r="K13" s="213"/>
      <c r="L13" s="213"/>
    </row>
    <row r="15" spans="1:12">
      <c r="A15" s="89" t="s">
        <v>1054</v>
      </c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</row>
    <row r="16" spans="1:12">
      <c r="A16" s="213" t="s">
        <v>1055</v>
      </c>
      <c r="B16" s="137">
        <f>COUNTA(D5:D13)</f>
        <v>9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</row>
    <row r="17" spans="1:2">
      <c r="A17" s="213" t="s">
        <v>44</v>
      </c>
      <c r="B17" s="137">
        <f>COUNTIF(D5:D13,"PASS")</f>
        <v>7</v>
      </c>
    </row>
    <row r="18" spans="1:2">
      <c r="A18" s="213" t="s">
        <v>45</v>
      </c>
      <c r="B18" s="138">
        <f>COUNTIF(D5:D13,"WARN")</f>
        <v>2</v>
      </c>
    </row>
    <row r="19" spans="1:2">
      <c r="A19" s="213" t="s">
        <v>46</v>
      </c>
      <c r="B19" s="139">
        <f>COUNTIF(D5:D13,"FAIL")</f>
        <v>0</v>
      </c>
    </row>
    <row r="20" spans="1:2">
      <c r="A20" s="88" t="s">
        <v>47</v>
      </c>
      <c r="B20" s="88" t="str">
        <f>IF(B19&gt;0,"FAIL",IF(B18&gt;0,"WARN","PASS"))</f>
        <v>WARN</v>
      </c>
    </row>
  </sheetData>
  <mergeCells count="2">
    <mergeCell ref="A2:L2"/>
    <mergeCell ref="A1:L1"/>
  </mergeCells>
  <conditionalFormatting sqref="B20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"WARN"</formula>
    </cfRule>
  </conditionalFormatting>
  <conditionalFormatting sqref="D5:D1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"WARN"</formula>
    </cfRule>
  </conditionalFormatting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D35"/>
  <sheetViews>
    <sheetView showGridLines="0" topLeftCell="A24" workbookViewId="0"/>
  </sheetViews>
  <sheetFormatPr defaultColWidth="8.85546875" defaultRowHeight="15"/>
  <cols>
    <col min="1" max="1" width="45" customWidth="1"/>
    <col min="2" max="2" width="60" customWidth="1"/>
    <col min="3" max="3" width="15" customWidth="1"/>
  </cols>
  <sheetData>
    <row r="1" spans="1:3" ht="18.95">
      <c r="A1" s="11" t="s">
        <v>1056</v>
      </c>
      <c r="B1" s="213"/>
      <c r="C1" s="213"/>
    </row>
    <row r="3" spans="1:3">
      <c r="A3" s="12" t="s">
        <v>1057</v>
      </c>
      <c r="B3" s="12" t="s">
        <v>1058</v>
      </c>
      <c r="C3" s="12" t="s">
        <v>1059</v>
      </c>
    </row>
    <row r="4" spans="1:3">
      <c r="A4" s="7" t="s">
        <v>1060</v>
      </c>
      <c r="B4" s="10" t="s">
        <v>1061</v>
      </c>
      <c r="C4" s="10" t="s">
        <v>1062</v>
      </c>
    </row>
    <row r="5" spans="1:3">
      <c r="A5" s="7" t="s">
        <v>1063</v>
      </c>
      <c r="B5" s="10" t="s">
        <v>1064</v>
      </c>
      <c r="C5" s="10" t="s">
        <v>205</v>
      </c>
    </row>
    <row r="6" spans="1:3">
      <c r="A6" s="7" t="s">
        <v>1065</v>
      </c>
      <c r="B6" s="10" t="s">
        <v>1066</v>
      </c>
      <c r="C6" s="10" t="s">
        <v>205</v>
      </c>
    </row>
    <row r="7" spans="1:3">
      <c r="A7" s="7" t="s">
        <v>1067</v>
      </c>
      <c r="B7" s="10" t="s">
        <v>1068</v>
      </c>
      <c r="C7" s="10" t="s">
        <v>205</v>
      </c>
    </row>
    <row r="8" spans="1:3">
      <c r="A8" s="7" t="s">
        <v>1069</v>
      </c>
      <c r="B8" s="10" t="s">
        <v>1070</v>
      </c>
      <c r="C8" s="10" t="s">
        <v>205</v>
      </c>
    </row>
    <row r="9" spans="1:3">
      <c r="A9" s="7" t="s">
        <v>1071</v>
      </c>
      <c r="B9" s="10" t="s">
        <v>1072</v>
      </c>
      <c r="C9" s="10" t="s">
        <v>205</v>
      </c>
    </row>
    <row r="10" spans="1:3">
      <c r="A10" s="7" t="s">
        <v>1073</v>
      </c>
      <c r="B10" s="10" t="s">
        <v>1074</v>
      </c>
      <c r="C10" s="10" t="s">
        <v>205</v>
      </c>
    </row>
    <row r="11" spans="1:3">
      <c r="A11" s="7" t="s">
        <v>1075</v>
      </c>
      <c r="B11" s="10" t="s">
        <v>1076</v>
      </c>
      <c r="C11" s="10" t="s">
        <v>205</v>
      </c>
    </row>
    <row r="12" spans="1:3">
      <c r="A12" s="7" t="s">
        <v>1077</v>
      </c>
      <c r="B12" s="10" t="s">
        <v>1078</v>
      </c>
      <c r="C12" s="10" t="s">
        <v>205</v>
      </c>
    </row>
    <row r="13" spans="1:3">
      <c r="A13" s="7" t="s">
        <v>1079</v>
      </c>
      <c r="B13" s="10" t="s">
        <v>1080</v>
      </c>
      <c r="C13" s="10" t="s">
        <v>205</v>
      </c>
    </row>
    <row r="14" spans="1:3">
      <c r="A14" s="7" t="s">
        <v>1081</v>
      </c>
      <c r="B14" s="10" t="s">
        <v>1082</v>
      </c>
      <c r="C14" s="10" t="s">
        <v>208</v>
      </c>
    </row>
    <row r="15" spans="1:3">
      <c r="A15" s="7" t="s">
        <v>1083</v>
      </c>
      <c r="B15" s="10" t="s">
        <v>1084</v>
      </c>
      <c r="C15" s="10" t="s">
        <v>208</v>
      </c>
    </row>
    <row r="16" spans="1:3">
      <c r="A16" s="7" t="s">
        <v>1085</v>
      </c>
      <c r="B16" s="10" t="s">
        <v>1086</v>
      </c>
      <c r="C16" s="10" t="s">
        <v>208</v>
      </c>
    </row>
    <row r="17" spans="1:4">
      <c r="A17" s="7" t="s">
        <v>1087</v>
      </c>
      <c r="B17" s="10" t="s">
        <v>1088</v>
      </c>
      <c r="C17" s="10" t="s">
        <v>208</v>
      </c>
      <c r="D17" s="213"/>
    </row>
    <row r="18" spans="1:4">
      <c r="A18" s="7" t="s">
        <v>1089</v>
      </c>
      <c r="B18" s="10" t="s">
        <v>1090</v>
      </c>
      <c r="C18" s="10" t="s">
        <v>208</v>
      </c>
      <c r="D18" s="213"/>
    </row>
    <row r="19" spans="1:4">
      <c r="A19" s="7" t="s">
        <v>1091</v>
      </c>
      <c r="B19" s="10" t="s">
        <v>1092</v>
      </c>
      <c r="C19" s="10" t="s">
        <v>208</v>
      </c>
      <c r="D19" s="213"/>
    </row>
    <row r="20" spans="1:4">
      <c r="A20" s="7" t="s">
        <v>1093</v>
      </c>
      <c r="B20" s="10" t="s">
        <v>1094</v>
      </c>
      <c r="C20" s="10" t="s">
        <v>208</v>
      </c>
      <c r="D20" s="213"/>
    </row>
    <row r="21" spans="1:4">
      <c r="A21" s="7" t="s">
        <v>1095</v>
      </c>
      <c r="B21" s="10" t="s">
        <v>1096</v>
      </c>
      <c r="C21" s="10" t="s">
        <v>208</v>
      </c>
      <c r="D21" s="213"/>
    </row>
    <row r="22" spans="1:4">
      <c r="A22" s="7" t="s">
        <v>1097</v>
      </c>
      <c r="B22" s="10" t="s">
        <v>1098</v>
      </c>
      <c r="C22" s="10" t="s">
        <v>208</v>
      </c>
      <c r="D22" s="213"/>
    </row>
    <row r="23" spans="1:4">
      <c r="A23" s="7" t="s">
        <v>1099</v>
      </c>
      <c r="B23" s="10" t="s">
        <v>1100</v>
      </c>
      <c r="C23" s="10" t="s">
        <v>208</v>
      </c>
      <c r="D23" s="213"/>
    </row>
    <row r="24" spans="1:4">
      <c r="A24" s="7" t="s">
        <v>1101</v>
      </c>
      <c r="B24" s="10" t="s">
        <v>1102</v>
      </c>
      <c r="C24" s="10" t="s">
        <v>208</v>
      </c>
      <c r="D24" s="213"/>
    </row>
    <row r="25" spans="1:4">
      <c r="A25" s="7" t="s">
        <v>1103</v>
      </c>
      <c r="B25" s="10" t="s">
        <v>1104</v>
      </c>
      <c r="C25" s="10" t="s">
        <v>208</v>
      </c>
      <c r="D25" s="213"/>
    </row>
    <row r="26" spans="1:4">
      <c r="A26" s="7" t="s">
        <v>1105</v>
      </c>
      <c r="B26" s="10" t="s">
        <v>1106</v>
      </c>
      <c r="C26" s="10" t="s">
        <v>208</v>
      </c>
      <c r="D26" s="213"/>
    </row>
    <row r="28" spans="1:4" ht="15.95">
      <c r="A28" s="151" t="s">
        <v>1107</v>
      </c>
      <c r="B28" s="213"/>
      <c r="C28" s="213"/>
      <c r="D28" s="213"/>
    </row>
    <row r="29" spans="1:4">
      <c r="A29" s="109" t="s">
        <v>934</v>
      </c>
      <c r="B29" s="109" t="s">
        <v>1108</v>
      </c>
      <c r="C29" s="109" t="s">
        <v>1109</v>
      </c>
      <c r="D29" s="109" t="s">
        <v>1110</v>
      </c>
    </row>
    <row r="30" spans="1:4" ht="48">
      <c r="A30" s="213" t="s">
        <v>1111</v>
      </c>
      <c r="B30" s="129" t="s">
        <v>1112</v>
      </c>
      <c r="C30" s="154" t="s">
        <v>1113</v>
      </c>
      <c r="D30" s="213" t="s">
        <v>1114</v>
      </c>
    </row>
    <row r="31" spans="1:4" ht="80.099999999999994">
      <c r="A31" s="213" t="s">
        <v>1115</v>
      </c>
      <c r="B31" s="129" t="s">
        <v>1116</v>
      </c>
      <c r="C31" s="154" t="s">
        <v>1117</v>
      </c>
      <c r="D31" s="152">
        <v>46092</v>
      </c>
    </row>
    <row r="32" spans="1:4" ht="32.1">
      <c r="A32" s="213" t="s">
        <v>1118</v>
      </c>
      <c r="B32" s="129" t="s">
        <v>1119</v>
      </c>
      <c r="C32" s="154" t="s">
        <v>1120</v>
      </c>
      <c r="D32" s="153">
        <v>46113</v>
      </c>
    </row>
    <row r="33" spans="1:4" ht="63.95">
      <c r="A33" s="213" t="s">
        <v>1121</v>
      </c>
      <c r="B33" s="129" t="s">
        <v>1122</v>
      </c>
      <c r="C33" s="154" t="s">
        <v>1123</v>
      </c>
      <c r="D33" s="153">
        <v>46113</v>
      </c>
    </row>
    <row r="34" spans="1:4" ht="80.099999999999994">
      <c r="A34" s="213" t="s">
        <v>1124</v>
      </c>
      <c r="B34" s="129" t="s">
        <v>1125</v>
      </c>
      <c r="C34" s="154" t="s">
        <v>1126</v>
      </c>
      <c r="D34" s="152">
        <v>45785</v>
      </c>
    </row>
    <row r="35" spans="1:4" ht="80.099999999999994">
      <c r="A35" s="213" t="s">
        <v>1127</v>
      </c>
      <c r="B35" s="129" t="s">
        <v>1128</v>
      </c>
      <c r="C35" s="154" t="s">
        <v>1129</v>
      </c>
      <c r="D35" s="152">
        <v>45930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205-03DC-47B3-A0A3-C1A9156EDCD2}">
  <sheetPr>
    <tabColor rgb="FFC00000"/>
  </sheetPr>
  <dimension ref="A1:F24"/>
  <sheetViews>
    <sheetView showGridLines="0" topLeftCell="A5" workbookViewId="0">
      <selection activeCell="C6" sqref="C6"/>
    </sheetView>
  </sheetViews>
  <sheetFormatPr defaultColWidth="8.85546875" defaultRowHeight="15"/>
  <cols>
    <col min="1" max="1" width="8.85546875" style="88"/>
    <col min="3" max="3" width="48.85546875" customWidth="1"/>
    <col min="4" max="4" width="57.28515625" customWidth="1"/>
  </cols>
  <sheetData>
    <row r="1" spans="1:6" ht="18.95">
      <c r="A1" s="127" t="s">
        <v>1130</v>
      </c>
      <c r="B1" s="213"/>
      <c r="C1" s="213"/>
      <c r="D1" s="213"/>
      <c r="E1" s="213"/>
      <c r="F1" s="213"/>
    </row>
    <row r="2" spans="1:6">
      <c r="A2" s="93" t="s">
        <v>1131</v>
      </c>
      <c r="B2" s="213"/>
      <c r="C2" s="213"/>
      <c r="D2" s="213"/>
      <c r="E2" s="213"/>
      <c r="F2" s="213"/>
    </row>
    <row r="4" spans="1:6" ht="15.95" thickBot="1">
      <c r="A4" s="130" t="s">
        <v>1132</v>
      </c>
      <c r="B4" s="130" t="s">
        <v>1133</v>
      </c>
      <c r="C4" s="130" t="s">
        <v>1134</v>
      </c>
      <c r="D4" s="130" t="s">
        <v>1135</v>
      </c>
      <c r="E4" s="130" t="s">
        <v>1136</v>
      </c>
      <c r="F4" s="130" t="s">
        <v>61</v>
      </c>
    </row>
    <row r="5" spans="1:6" ht="240" customHeight="1">
      <c r="A5" s="88" t="s">
        <v>1137</v>
      </c>
      <c r="B5" s="213" t="s">
        <v>1138</v>
      </c>
      <c r="C5" s="129" t="s">
        <v>1139</v>
      </c>
      <c r="D5" s="129" t="s">
        <v>1140</v>
      </c>
      <c r="E5" s="128" t="s">
        <v>67</v>
      </c>
      <c r="F5" s="213" t="s">
        <v>1141</v>
      </c>
    </row>
    <row r="6" spans="1:6" ht="192" customHeight="1">
      <c r="A6" s="88" t="s">
        <v>1137</v>
      </c>
      <c r="B6" s="213" t="s">
        <v>1142</v>
      </c>
      <c r="C6" s="129" t="s">
        <v>1143</v>
      </c>
      <c r="D6" s="129" t="s">
        <v>1144</v>
      </c>
      <c r="E6" s="128" t="s">
        <v>67</v>
      </c>
      <c r="F6" s="213" t="s">
        <v>1141</v>
      </c>
    </row>
    <row r="7" spans="1:6" ht="409.6" customHeight="1">
      <c r="A7" s="88" t="s">
        <v>1145</v>
      </c>
      <c r="B7" s="213" t="s">
        <v>1146</v>
      </c>
      <c r="C7" s="129" t="s">
        <v>1147</v>
      </c>
      <c r="D7" s="129" t="s">
        <v>1148</v>
      </c>
      <c r="E7" s="167" t="s">
        <v>1149</v>
      </c>
      <c r="F7" s="167" t="s">
        <v>1150</v>
      </c>
    </row>
    <row r="8" spans="1:6" ht="320.10000000000002" customHeight="1">
      <c r="A8" s="88" t="s">
        <v>1145</v>
      </c>
      <c r="B8" s="213" t="s">
        <v>1151</v>
      </c>
      <c r="C8" s="129" t="s">
        <v>1152</v>
      </c>
      <c r="D8" s="129" t="s">
        <v>1153</v>
      </c>
      <c r="E8" s="167" t="s">
        <v>1149</v>
      </c>
      <c r="F8" s="167" t="s">
        <v>1150</v>
      </c>
    </row>
    <row r="9" spans="1:6" ht="207.95" customHeight="1">
      <c r="A9" s="88" t="s">
        <v>1145</v>
      </c>
      <c r="B9" s="213" t="s">
        <v>1154</v>
      </c>
      <c r="C9" s="129" t="s">
        <v>1155</v>
      </c>
      <c r="D9" s="129" t="s">
        <v>1156</v>
      </c>
      <c r="E9" s="126" t="s">
        <v>118</v>
      </c>
      <c r="F9" s="213" t="s">
        <v>1141</v>
      </c>
    </row>
    <row r="10" spans="1:6" ht="240" customHeight="1">
      <c r="A10" s="88" t="s">
        <v>1145</v>
      </c>
      <c r="B10" s="213" t="s">
        <v>1157</v>
      </c>
      <c r="C10" s="129" t="s">
        <v>1158</v>
      </c>
      <c r="D10" s="129" t="s">
        <v>1159</v>
      </c>
      <c r="E10" s="126" t="s">
        <v>118</v>
      </c>
      <c r="F10" s="213" t="s">
        <v>1141</v>
      </c>
    </row>
    <row r="11" spans="1:6" ht="335.1" customHeight="1">
      <c r="A11" s="88" t="s">
        <v>1145</v>
      </c>
      <c r="B11" s="213" t="s">
        <v>1160</v>
      </c>
      <c r="C11" s="129" t="s">
        <v>1161</v>
      </c>
      <c r="D11" s="129" t="s">
        <v>1162</v>
      </c>
      <c r="E11" s="166" t="s">
        <v>1149</v>
      </c>
      <c r="F11" s="167" t="s">
        <v>1150</v>
      </c>
    </row>
    <row r="12" spans="1:6" ht="176.1" customHeight="1">
      <c r="A12" s="88" t="s">
        <v>1163</v>
      </c>
      <c r="B12" s="213" t="s">
        <v>1164</v>
      </c>
      <c r="C12" s="129" t="s">
        <v>1165</v>
      </c>
      <c r="D12" s="129" t="s">
        <v>1166</v>
      </c>
      <c r="E12" s="126" t="s">
        <v>118</v>
      </c>
      <c r="F12" s="213" t="s">
        <v>1141</v>
      </c>
    </row>
    <row r="13" spans="1:6" ht="176.1" customHeight="1">
      <c r="A13" s="88" t="s">
        <v>1167</v>
      </c>
      <c r="B13" s="213" t="s">
        <v>1168</v>
      </c>
      <c r="C13" s="129" t="s">
        <v>1169</v>
      </c>
      <c r="D13" s="129" t="s">
        <v>1170</v>
      </c>
      <c r="E13" s="111" t="s">
        <v>230</v>
      </c>
      <c r="F13" s="213" t="s">
        <v>1171</v>
      </c>
    </row>
    <row r="14" spans="1:6" ht="192" customHeight="1">
      <c r="A14" s="88" t="s">
        <v>1172</v>
      </c>
      <c r="B14" s="213" t="s">
        <v>1173</v>
      </c>
      <c r="C14" s="129" t="s">
        <v>1174</v>
      </c>
      <c r="D14" s="129" t="s">
        <v>1175</v>
      </c>
      <c r="E14" s="111" t="s">
        <v>230</v>
      </c>
      <c r="F14" s="213" t="s">
        <v>1171</v>
      </c>
    </row>
    <row r="15" spans="1:6">
      <c r="B15" s="213"/>
      <c r="C15" s="129"/>
      <c r="D15" s="129"/>
      <c r="E15" s="213"/>
      <c r="F15" s="213"/>
    </row>
    <row r="16" spans="1:6">
      <c r="A16" s="89" t="s">
        <v>1176</v>
      </c>
      <c r="B16" s="213"/>
      <c r="C16" s="129"/>
      <c r="D16" s="129"/>
      <c r="E16" s="213"/>
      <c r="F16" s="213"/>
    </row>
    <row r="17" spans="1:6" ht="192" customHeight="1">
      <c r="A17" s="88" t="s">
        <v>1177</v>
      </c>
      <c r="B17" s="213"/>
      <c r="C17" s="129" t="s">
        <v>1178</v>
      </c>
      <c r="D17" s="129"/>
      <c r="E17" s="128" t="s">
        <v>1179</v>
      </c>
      <c r="F17" s="213"/>
    </row>
    <row r="18" spans="1:6" ht="320.10000000000002" customHeight="1">
      <c r="A18" s="88" t="s">
        <v>262</v>
      </c>
      <c r="B18" s="213"/>
      <c r="C18" s="129" t="s">
        <v>1180</v>
      </c>
      <c r="D18" s="129"/>
      <c r="E18" s="166" t="s">
        <v>1149</v>
      </c>
      <c r="F18" s="167" t="s">
        <v>1150</v>
      </c>
    </row>
    <row r="19" spans="1:6" ht="409.6" customHeight="1">
      <c r="A19" s="88" t="s">
        <v>1181</v>
      </c>
      <c r="B19" s="213"/>
      <c r="C19" s="129" t="s">
        <v>1182</v>
      </c>
      <c r="D19" s="129" t="s">
        <v>1183</v>
      </c>
      <c r="E19" s="166" t="s">
        <v>1149</v>
      </c>
      <c r="F19" s="167" t="s">
        <v>1150</v>
      </c>
    </row>
    <row r="20" spans="1:6" ht="409.6" customHeight="1">
      <c r="A20" s="88" t="s">
        <v>1184</v>
      </c>
      <c r="B20" s="213"/>
      <c r="C20" s="129" t="s">
        <v>1185</v>
      </c>
      <c r="D20" s="129" t="s">
        <v>1186</v>
      </c>
      <c r="E20" s="166" t="s">
        <v>1149</v>
      </c>
      <c r="F20" s="200" t="s">
        <v>1187</v>
      </c>
    </row>
    <row r="21" spans="1:6" ht="111.95" customHeight="1">
      <c r="A21" s="88" t="s">
        <v>1188</v>
      </c>
      <c r="B21" s="213"/>
      <c r="C21" s="129" t="s">
        <v>1189</v>
      </c>
      <c r="D21" s="129"/>
      <c r="E21" s="213" t="s">
        <v>1190</v>
      </c>
      <c r="F21" s="213"/>
    </row>
    <row r="22" spans="1:6">
      <c r="A22" s="88" t="s">
        <v>1191</v>
      </c>
      <c r="B22" s="88" t="s">
        <v>1192</v>
      </c>
      <c r="C22" s="213" t="s">
        <v>1193</v>
      </c>
      <c r="D22" s="213" t="s">
        <v>1194</v>
      </c>
      <c r="E22" s="128" t="s">
        <v>67</v>
      </c>
      <c r="F22" s="167" t="s">
        <v>1150</v>
      </c>
    </row>
    <row r="23" spans="1:6">
      <c r="A23" s="88" t="s">
        <v>1195</v>
      </c>
      <c r="B23" s="88" t="s">
        <v>1196</v>
      </c>
      <c r="C23" s="213" t="s">
        <v>1197</v>
      </c>
      <c r="D23" s="213" t="s">
        <v>1198</v>
      </c>
      <c r="E23" s="166" t="s">
        <v>1149</v>
      </c>
      <c r="F23" s="167" t="s">
        <v>1150</v>
      </c>
    </row>
    <row r="24" spans="1:6">
      <c r="A24" s="88" t="s">
        <v>1199</v>
      </c>
      <c r="B24" s="88" t="s">
        <v>1200</v>
      </c>
      <c r="C24" s="213" t="s">
        <v>1201</v>
      </c>
      <c r="D24" s="213" t="s">
        <v>1202</v>
      </c>
      <c r="E24" s="126" t="s">
        <v>1203</v>
      </c>
      <c r="F24" s="200" t="s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2026-04-17T03:03:59Z</dcterms:created>
  <dcterms:modified xsi:type="dcterms:W3CDTF">2026-05-05T00:24:05Z</dcterms:modified>
  <cp:category/>
  <cp:contentStatus/>
</cp:coreProperties>
</file>