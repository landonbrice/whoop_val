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4.xml" ContentType="application/vnd.openxmlformats-officedocument.drawing+xml"/>
  <Override PartName="/xl/comments11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D:\working\waccache\DM3PEPF00015602\EXCELCNV\79cb619a-0484-492a-9429-3430e56318e4\"/>
    </mc:Choice>
  </mc:AlternateContent>
  <xr:revisionPtr revIDLastSave="0" documentId="8_{00F2B7C5-AD5A-43C5-BB45-C370E697EB14}" xr6:coauthVersionLast="47" xr6:coauthVersionMax="47" xr10:uidLastSave="{00000000-0000-0000-0000-000000000000}"/>
  <bookViews>
    <workbookView xWindow="-60" yWindow="-60" windowWidth="15480" windowHeight="11640" firstSheet="12" activeTab="12" xr2:uid="{00000000-000D-0000-FFFF-FFFF00000000}"/>
  </bookViews>
  <sheets>
    <sheet name="Claude Log" sheetId="22" r:id="rId1"/>
    <sheet name="Cover" sheetId="1" r:id="rId2"/>
    <sheet name="Memo" sheetId="23" r:id="rId3"/>
    <sheet name="Assumptions" sheetId="2" r:id="rId4"/>
    <sheet name="Member Thesis" sheetId="21" r:id="rId5"/>
    <sheet name="Members" sheetId="3" r:id="rId6"/>
    <sheet name="ARPU" sheetId="4" r:id="rId7"/>
    <sheet name="Revenue Build" sheetId="5" r:id="rId8"/>
    <sheet name="P&amp;L" sheetId="6" r:id="rId9"/>
    <sheet name="FCF" sheetId="7" r:id="rId10"/>
    <sheet name="WC &amp; Cash" sheetId="19" r:id="rId11"/>
    <sheet name="WACC Bottom-Up" sheetId="20" r:id="rId12"/>
    <sheet name="DCF" sheetId="8" r:id="rId13"/>
    <sheet name="RealOptions" sheetId="9" r:id="rId14"/>
    <sheet name="Comps" sheetId="10" r:id="rId15"/>
    <sheet name="Precedents" sheetId="11" r:id="rId16"/>
    <sheet name="Cap Table" sheetId="12" r:id="rId17"/>
    <sheet name="Football Field" sheetId="13" r:id="rId18"/>
    <sheet name="Scenarios" sheetId="14" r:id="rId19"/>
    <sheet name="Sensitivity" sheetId="15" r:id="rId20"/>
    <sheet name="Checks" sheetId="16" r:id="rId21"/>
    <sheet name="Sources" sheetId="17" r:id="rId22"/>
    <sheet name="CalibrationLog" sheetId="18" r:id="rId23"/>
  </sheets>
  <definedNames>
    <definedName name="Scenario">Assumptions!$B$3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3" l="1"/>
  <c r="D10" i="14"/>
  <c r="C10" i="14"/>
  <c r="B10" i="14"/>
  <c r="C7" i="14"/>
  <c r="D63" i="8"/>
  <c r="D62" i="8"/>
  <c r="D61" i="8"/>
  <c r="D60" i="8"/>
  <c r="B171" i="10"/>
  <c r="E148" i="10"/>
  <c r="G150" i="20"/>
  <c r="G149" i="20"/>
  <c r="G148" i="20"/>
  <c r="G147" i="20"/>
  <c r="F147" i="20"/>
  <c r="E147" i="20"/>
  <c r="D147" i="20"/>
  <c r="C147" i="20"/>
  <c r="G146" i="20"/>
  <c r="F146" i="20"/>
  <c r="E146" i="20"/>
  <c r="D146" i="20"/>
  <c r="C146" i="20"/>
  <c r="G145" i="20"/>
  <c r="F145" i="20"/>
  <c r="E145" i="20"/>
  <c r="D145" i="20"/>
  <c r="C145" i="20"/>
  <c r="G144" i="20"/>
  <c r="F144" i="20"/>
  <c r="E144" i="20"/>
  <c r="D144" i="20"/>
  <c r="C144" i="20"/>
  <c r="G143" i="20"/>
  <c r="F143" i="20"/>
  <c r="E143" i="20"/>
  <c r="D143" i="20"/>
  <c r="C143" i="20"/>
  <c r="G142" i="20"/>
  <c r="F142" i="20"/>
  <c r="E142" i="20"/>
  <c r="D142" i="20"/>
  <c r="C142" i="20"/>
  <c r="G141" i="20"/>
  <c r="F141" i="20"/>
  <c r="E141" i="20"/>
  <c r="D141" i="20"/>
  <c r="C141" i="20"/>
  <c r="E135" i="20"/>
  <c r="D135" i="20"/>
  <c r="C135" i="20"/>
  <c r="E134" i="20"/>
  <c r="D134" i="20"/>
  <c r="C134" i="20"/>
  <c r="B134" i="20"/>
  <c r="E133" i="20"/>
  <c r="D133" i="20"/>
  <c r="C133" i="20"/>
  <c r="B133" i="20"/>
  <c r="E132" i="20"/>
  <c r="D132" i="20"/>
  <c r="C132" i="20"/>
  <c r="B132" i="20"/>
  <c r="D125" i="20"/>
  <c r="B125" i="20"/>
  <c r="D124" i="20"/>
  <c r="B124" i="20"/>
  <c r="D123" i="20"/>
  <c r="B123" i="20"/>
  <c r="D122" i="20"/>
  <c r="B122" i="20"/>
  <c r="D121" i="20"/>
  <c r="B121" i="20"/>
  <c r="D120" i="20"/>
  <c r="C120" i="20"/>
  <c r="B120" i="20"/>
  <c r="D119" i="20"/>
  <c r="C119" i="20"/>
  <c r="B119" i="20"/>
  <c r="L81" i="3"/>
  <c r="K81" i="3"/>
  <c r="J81" i="3"/>
  <c r="I81" i="3"/>
  <c r="H81" i="3"/>
  <c r="G81" i="3"/>
  <c r="F81" i="3"/>
  <c r="E81" i="3"/>
  <c r="D81" i="3"/>
  <c r="L79" i="3"/>
  <c r="K79" i="3"/>
  <c r="J79" i="3"/>
  <c r="I79" i="3"/>
  <c r="H79" i="3"/>
  <c r="G79" i="3"/>
  <c r="F79" i="3"/>
  <c r="E79" i="3"/>
  <c r="D79" i="3"/>
  <c r="C74" i="4"/>
  <c r="B74" i="4"/>
  <c r="D73" i="4"/>
  <c r="C73" i="4"/>
  <c r="D72" i="4"/>
  <c r="C72" i="4"/>
  <c r="D71" i="4"/>
  <c r="C71" i="4"/>
  <c r="D70" i="4"/>
  <c r="C70" i="4"/>
  <c r="D69" i="4"/>
  <c r="C69" i="4"/>
  <c r="B63" i="4"/>
  <c r="B62" i="4"/>
  <c r="B61" i="4"/>
  <c r="B60" i="4"/>
  <c r="B59" i="4"/>
  <c r="B58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E135" i="21"/>
  <c r="B135" i="21"/>
  <c r="F134" i="21"/>
  <c r="E134" i="21"/>
  <c r="D134" i="21"/>
  <c r="C134" i="21"/>
  <c r="B134" i="21"/>
  <c r="F133" i="21"/>
  <c r="E133" i="21"/>
  <c r="D133" i="21"/>
  <c r="C133" i="21"/>
  <c r="B133" i="21"/>
  <c r="F132" i="21"/>
  <c r="E132" i="21"/>
  <c r="D132" i="21"/>
  <c r="C132" i="21"/>
  <c r="B132" i="21"/>
  <c r="F131" i="21"/>
  <c r="E131" i="21"/>
  <c r="D131" i="21"/>
  <c r="C131" i="21"/>
  <c r="B131" i="21"/>
  <c r="C63" i="13"/>
  <c r="C62" i="13"/>
  <c r="C61" i="13"/>
  <c r="H58" i="13"/>
  <c r="H57" i="13"/>
  <c r="G56" i="13"/>
  <c r="I56" i="13"/>
  <c r="H56" i="13"/>
  <c r="G55" i="13"/>
  <c r="I55" i="13"/>
  <c r="H55" i="13"/>
  <c r="G54" i="13"/>
  <c r="I54" i="13"/>
  <c r="H54" i="13"/>
  <c r="I51" i="13"/>
  <c r="H51" i="13"/>
  <c r="G51" i="13"/>
  <c r="I50" i="13"/>
  <c r="H50" i="13"/>
  <c r="G50" i="13"/>
  <c r="I49" i="13"/>
  <c r="H49" i="13"/>
  <c r="G49" i="13"/>
  <c r="I48" i="13"/>
  <c r="H48" i="13"/>
  <c r="G48" i="13"/>
  <c r="I47" i="13"/>
  <c r="H47" i="13"/>
  <c r="G47" i="13"/>
  <c r="I46" i="13"/>
  <c r="H46" i="13"/>
  <c r="G46" i="13"/>
  <c r="H283" i="2"/>
  <c r="E283" i="2"/>
  <c r="D283" i="2"/>
  <c r="C283" i="2"/>
  <c r="B283" i="2"/>
  <c r="A283" i="2"/>
  <c r="H282" i="2"/>
  <c r="E282" i="2"/>
  <c r="D282" i="2"/>
  <c r="C282" i="2"/>
  <c r="B282" i="2"/>
  <c r="A282" i="2"/>
  <c r="H281" i="2"/>
  <c r="E281" i="2"/>
  <c r="D281" i="2"/>
  <c r="C281" i="2"/>
  <c r="B281" i="2"/>
  <c r="A281" i="2"/>
  <c r="H280" i="2"/>
  <c r="E280" i="2"/>
  <c r="D280" i="2"/>
  <c r="C280" i="2"/>
  <c r="B280" i="2"/>
  <c r="A280" i="2"/>
  <c r="H279" i="2"/>
  <c r="E279" i="2"/>
  <c r="D279" i="2"/>
  <c r="C279" i="2"/>
  <c r="B279" i="2"/>
  <c r="A279" i="2"/>
  <c r="H278" i="2"/>
  <c r="E278" i="2"/>
  <c r="D278" i="2"/>
  <c r="C278" i="2"/>
  <c r="B278" i="2"/>
  <c r="A278" i="2"/>
  <c r="H277" i="2"/>
  <c r="E277" i="2"/>
  <c r="D277" i="2"/>
  <c r="C277" i="2"/>
  <c r="B277" i="2"/>
  <c r="A277" i="2"/>
  <c r="H276" i="2"/>
  <c r="E276" i="2"/>
  <c r="D276" i="2"/>
  <c r="C276" i="2"/>
  <c r="B276" i="2"/>
  <c r="A276" i="2"/>
  <c r="H275" i="2"/>
  <c r="E275" i="2"/>
  <c r="D275" i="2"/>
  <c r="C275" i="2"/>
  <c r="B275" i="2"/>
  <c r="A275" i="2"/>
  <c r="H274" i="2"/>
  <c r="E274" i="2"/>
  <c r="D274" i="2"/>
  <c r="C274" i="2"/>
  <c r="B274" i="2"/>
  <c r="A274" i="2"/>
  <c r="H273" i="2"/>
  <c r="E273" i="2"/>
  <c r="D273" i="2"/>
  <c r="C273" i="2"/>
  <c r="B273" i="2"/>
  <c r="A273" i="2"/>
  <c r="H272" i="2"/>
  <c r="E272" i="2"/>
  <c r="D272" i="2"/>
  <c r="C272" i="2"/>
  <c r="B272" i="2"/>
  <c r="A272" i="2"/>
  <c r="H271" i="2"/>
  <c r="E271" i="2"/>
  <c r="D271" i="2"/>
  <c r="C271" i="2"/>
  <c r="B271" i="2"/>
  <c r="A271" i="2"/>
  <c r="H270" i="2"/>
  <c r="E270" i="2"/>
  <c r="D270" i="2"/>
  <c r="C270" i="2"/>
  <c r="B270" i="2"/>
  <c r="A270" i="2"/>
  <c r="H269" i="2"/>
  <c r="E269" i="2"/>
  <c r="D269" i="2"/>
  <c r="C269" i="2"/>
  <c r="B269" i="2"/>
  <c r="A269" i="2"/>
  <c r="H268" i="2"/>
  <c r="E268" i="2"/>
  <c r="D268" i="2"/>
  <c r="C268" i="2"/>
  <c r="B268" i="2"/>
  <c r="A268" i="2"/>
  <c r="H267" i="2"/>
  <c r="E267" i="2"/>
  <c r="D267" i="2"/>
  <c r="C267" i="2"/>
  <c r="B267" i="2"/>
  <c r="A267" i="2"/>
  <c r="H266" i="2"/>
  <c r="E266" i="2"/>
  <c r="D266" i="2"/>
  <c r="C266" i="2"/>
  <c r="B266" i="2"/>
  <c r="A266" i="2"/>
  <c r="H265" i="2"/>
  <c r="E265" i="2"/>
  <c r="D265" i="2"/>
  <c r="C265" i="2"/>
  <c r="B265" i="2"/>
  <c r="A265" i="2"/>
  <c r="H264" i="2"/>
  <c r="E264" i="2"/>
  <c r="D264" i="2"/>
  <c r="C264" i="2"/>
  <c r="B264" i="2"/>
  <c r="A264" i="2"/>
  <c r="H259" i="2"/>
  <c r="G259" i="2"/>
  <c r="F259" i="2"/>
  <c r="E259" i="2"/>
  <c r="D259" i="2"/>
  <c r="C259" i="2"/>
  <c r="F253" i="2"/>
  <c r="F260" i="2" s="1"/>
  <c r="E253" i="2"/>
  <c r="E260" i="2" s="1"/>
  <c r="D253" i="2"/>
  <c r="D260" i="2" s="1"/>
  <c r="C253" i="2"/>
  <c r="C260" i="2" s="1"/>
  <c r="F70" i="15"/>
  <c r="E70" i="15"/>
  <c r="D70" i="15"/>
  <c r="C70" i="15"/>
  <c r="B70" i="15"/>
  <c r="F69" i="15"/>
  <c r="E69" i="15"/>
  <c r="D69" i="15"/>
  <c r="C69" i="15"/>
  <c r="B69" i="15"/>
  <c r="F68" i="15"/>
  <c r="E68" i="15"/>
  <c r="D68" i="15"/>
  <c r="C68" i="15"/>
  <c r="B68" i="15"/>
  <c r="F67" i="15"/>
  <c r="E67" i="15"/>
  <c r="D67" i="15"/>
  <c r="C67" i="15"/>
  <c r="B67" i="15"/>
  <c r="F66" i="15"/>
  <c r="E66" i="15"/>
  <c r="D66" i="15"/>
  <c r="C66" i="15"/>
  <c r="B66" i="15"/>
  <c r="F17" i="14"/>
  <c r="D17" i="14"/>
  <c r="C17" i="14"/>
  <c r="B17" i="14"/>
  <c r="E9" i="14"/>
  <c r="D9" i="14"/>
  <c r="C9" i="14"/>
  <c r="B9" i="14"/>
  <c r="E5" i="14"/>
  <c r="D5" i="14"/>
  <c r="C5" i="14"/>
  <c r="B5" i="14"/>
  <c r="D19" i="13"/>
  <c r="I16" i="13"/>
  <c r="E13" i="13"/>
  <c r="D13" i="13"/>
  <c r="C13" i="13"/>
  <c r="D8" i="13"/>
  <c r="E6" i="13"/>
  <c r="D6" i="13"/>
  <c r="C6" i="13"/>
  <c r="B82" i="10"/>
  <c r="B81" i="10"/>
  <c r="B74" i="10"/>
  <c r="D62" i="10"/>
  <c r="C62" i="10"/>
  <c r="B62" i="10"/>
  <c r="D61" i="10"/>
  <c r="C61" i="10"/>
  <c r="B61" i="10"/>
  <c r="D51" i="10"/>
  <c r="C51" i="10"/>
  <c r="B51" i="10"/>
  <c r="D50" i="10"/>
  <c r="C50" i="10"/>
  <c r="B50" i="10"/>
  <c r="D40" i="10"/>
  <c r="C40" i="10"/>
  <c r="B40" i="10"/>
  <c r="D39" i="10"/>
  <c r="C39" i="10"/>
  <c r="B39" i="10"/>
  <c r="I29" i="10"/>
  <c r="I28" i="10"/>
  <c r="I27" i="10"/>
  <c r="I26" i="10"/>
  <c r="I25" i="10"/>
  <c r="I24" i="10"/>
  <c r="I23" i="10"/>
  <c r="I22" i="10"/>
  <c r="I21" i="10"/>
  <c r="I20" i="10"/>
  <c r="I19" i="10"/>
  <c r="C87" i="9"/>
  <c r="C86" i="9"/>
  <c r="C85" i="9"/>
  <c r="C88" i="9" s="1"/>
  <c r="B35" i="9"/>
  <c r="D25" i="9"/>
  <c r="C25" i="9"/>
  <c r="B25" i="9"/>
  <c r="D20" i="9"/>
  <c r="C20" i="9"/>
  <c r="B20" i="9"/>
  <c r="D17" i="9"/>
  <c r="C17" i="9"/>
  <c r="B17" i="9"/>
  <c r="D14" i="9"/>
  <c r="C14" i="9"/>
  <c r="B14" i="9"/>
  <c r="D7" i="9"/>
  <c r="C7" i="9"/>
  <c r="B7" i="9"/>
  <c r="C65" i="8"/>
  <c r="B65" i="8"/>
  <c r="G104" i="20"/>
  <c r="F104" i="20"/>
  <c r="E104" i="20"/>
  <c r="D104" i="20"/>
  <c r="C104" i="20"/>
  <c r="B104" i="20"/>
  <c r="G103" i="20"/>
  <c r="F103" i="20"/>
  <c r="E103" i="20"/>
  <c r="D103" i="20"/>
  <c r="C103" i="20"/>
  <c r="B103" i="20"/>
  <c r="D102" i="20"/>
  <c r="C102" i="20"/>
  <c r="B102" i="20"/>
  <c r="D101" i="20"/>
  <c r="C101" i="20"/>
  <c r="B101" i="20"/>
  <c r="G100" i="20"/>
  <c r="F100" i="20"/>
  <c r="E100" i="20"/>
  <c r="D100" i="20"/>
  <c r="D106" i="20" s="1"/>
  <c r="C100" i="20"/>
  <c r="C106" i="20" s="1"/>
  <c r="B100" i="20"/>
  <c r="B106" i="20" s="1"/>
  <c r="D90" i="20"/>
  <c r="C90" i="20"/>
  <c r="B90" i="20"/>
  <c r="D86" i="20"/>
  <c r="C86" i="20"/>
  <c r="D85" i="20"/>
  <c r="C85" i="20"/>
  <c r="D84" i="20"/>
  <c r="C84" i="20"/>
  <c r="C80" i="20"/>
  <c r="C71" i="20"/>
  <c r="C70" i="20"/>
  <c r="C69" i="20"/>
  <c r="C66" i="20"/>
  <c r="I52" i="20"/>
  <c r="D52" i="20"/>
  <c r="C52" i="20"/>
  <c r="B52" i="20"/>
  <c r="I51" i="20"/>
  <c r="D51" i="20"/>
  <c r="C51" i="20"/>
  <c r="B51" i="20"/>
  <c r="I50" i="20"/>
  <c r="D50" i="20"/>
  <c r="C50" i="20"/>
  <c r="B50" i="20"/>
  <c r="L23" i="20"/>
  <c r="I23" i="20"/>
  <c r="L22" i="20"/>
  <c r="I22" i="20"/>
  <c r="L21" i="20"/>
  <c r="I21" i="20"/>
  <c r="L20" i="20"/>
  <c r="I20" i="20"/>
  <c r="L19" i="20"/>
  <c r="I19" i="20"/>
  <c r="L18" i="20"/>
  <c r="I18" i="20"/>
  <c r="L17" i="20"/>
  <c r="I17" i="20"/>
  <c r="E31" i="19"/>
  <c r="D31" i="19"/>
  <c r="D30" i="19"/>
  <c r="C17" i="19"/>
  <c r="C49" i="6"/>
  <c r="D46" i="6"/>
  <c r="C17" i="5"/>
  <c r="C10" i="5"/>
  <c r="C9" i="5"/>
  <c r="D28" i="4"/>
  <c r="D17" i="4"/>
  <c r="D20" i="4" s="1"/>
  <c r="D8" i="4"/>
  <c r="D48" i="3"/>
  <c r="D50" i="3" s="1"/>
  <c r="B109" i="21"/>
  <c r="C93" i="21"/>
  <c r="B78" i="21"/>
  <c r="J60" i="21"/>
  <c r="D65" i="21" s="1"/>
  <c r="B55" i="21"/>
  <c r="B57" i="21" s="1"/>
  <c r="B60" i="21" s="1"/>
  <c r="B65" i="21" s="1"/>
  <c r="F54" i="21"/>
  <c r="F60" i="21" s="1"/>
  <c r="C65" i="21" s="1"/>
  <c r="B43" i="21"/>
  <c r="B30" i="21"/>
  <c r="B19" i="21"/>
  <c r="B17" i="21"/>
  <c r="B16" i="21"/>
  <c r="D240" i="2"/>
  <c r="F238" i="2"/>
  <c r="E238" i="2"/>
  <c r="D238" i="2"/>
  <c r="C238" i="2"/>
  <c r="K235" i="2"/>
  <c r="I235" i="2"/>
  <c r="H235" i="2"/>
  <c r="G235" i="2"/>
  <c r="F235" i="2"/>
  <c r="F283" i="2" s="1"/>
  <c r="E235" i="2"/>
  <c r="D235" i="2"/>
  <c r="C235" i="2"/>
  <c r="K234" i="2"/>
  <c r="I234" i="2"/>
  <c r="H234" i="2"/>
  <c r="G234" i="2"/>
  <c r="F234" i="2"/>
  <c r="F282" i="2" s="1"/>
  <c r="E234" i="2"/>
  <c r="D234" i="2"/>
  <c r="C234" i="2"/>
  <c r="K233" i="2"/>
  <c r="I233" i="2"/>
  <c r="H233" i="2"/>
  <c r="G233" i="2"/>
  <c r="F233" i="2"/>
  <c r="F281" i="2" s="1"/>
  <c r="E233" i="2"/>
  <c r="D233" i="2"/>
  <c r="C233" i="2"/>
  <c r="K232" i="2"/>
  <c r="I232" i="2"/>
  <c r="H232" i="2"/>
  <c r="G232" i="2"/>
  <c r="F232" i="2"/>
  <c r="F280" i="2" s="1"/>
  <c r="E232" i="2"/>
  <c r="D232" i="2"/>
  <c r="C232" i="2"/>
  <c r="K231" i="2"/>
  <c r="I231" i="2"/>
  <c r="H231" i="2"/>
  <c r="G231" i="2"/>
  <c r="F231" i="2"/>
  <c r="F279" i="2" s="1"/>
  <c r="E231" i="2"/>
  <c r="D231" i="2"/>
  <c r="C231" i="2"/>
  <c r="K230" i="2"/>
  <c r="I230" i="2"/>
  <c r="H230" i="2"/>
  <c r="G230" i="2"/>
  <c r="F230" i="2"/>
  <c r="F278" i="2" s="1"/>
  <c r="E230" i="2"/>
  <c r="D230" i="2"/>
  <c r="C230" i="2"/>
  <c r="K229" i="2"/>
  <c r="I229" i="2"/>
  <c r="H229" i="2"/>
  <c r="G229" i="2"/>
  <c r="F229" i="2"/>
  <c r="F277" i="2" s="1"/>
  <c r="E229" i="2"/>
  <c r="D229" i="2"/>
  <c r="C229" i="2"/>
  <c r="K228" i="2"/>
  <c r="I228" i="2"/>
  <c r="H228" i="2"/>
  <c r="G228" i="2"/>
  <c r="F228" i="2"/>
  <c r="F276" i="2" s="1"/>
  <c r="E228" i="2"/>
  <c r="D228" i="2"/>
  <c r="C228" i="2"/>
  <c r="K227" i="2"/>
  <c r="I227" i="2"/>
  <c r="H227" i="2"/>
  <c r="G227" i="2"/>
  <c r="F227" i="2"/>
  <c r="F275" i="2" s="1"/>
  <c r="E227" i="2"/>
  <c r="D227" i="2"/>
  <c r="C227" i="2"/>
  <c r="K226" i="2"/>
  <c r="I226" i="2"/>
  <c r="H226" i="2"/>
  <c r="G226" i="2"/>
  <c r="F226" i="2"/>
  <c r="F274" i="2" s="1"/>
  <c r="E226" i="2"/>
  <c r="D226" i="2"/>
  <c r="C226" i="2"/>
  <c r="H225" i="2"/>
  <c r="D225" i="2"/>
  <c r="K224" i="2"/>
  <c r="I224" i="2"/>
  <c r="H224" i="2"/>
  <c r="G224" i="2"/>
  <c r="F224" i="2"/>
  <c r="F272" i="2" s="1"/>
  <c r="E224" i="2"/>
  <c r="D224" i="2"/>
  <c r="C224" i="2"/>
  <c r="K223" i="2"/>
  <c r="I223" i="2"/>
  <c r="H223" i="2"/>
  <c r="G223" i="2"/>
  <c r="F223" i="2"/>
  <c r="F271" i="2" s="1"/>
  <c r="E223" i="2"/>
  <c r="D223" i="2"/>
  <c r="C223" i="2"/>
  <c r="K222" i="2"/>
  <c r="I222" i="2"/>
  <c r="H222" i="2"/>
  <c r="G222" i="2"/>
  <c r="F222" i="2"/>
  <c r="F270" i="2" s="1"/>
  <c r="E222" i="2"/>
  <c r="D222" i="2"/>
  <c r="C222" i="2"/>
  <c r="K221" i="2"/>
  <c r="I221" i="2"/>
  <c r="H221" i="2"/>
  <c r="G221" i="2"/>
  <c r="F221" i="2"/>
  <c r="F269" i="2" s="1"/>
  <c r="E221" i="2"/>
  <c r="D221" i="2"/>
  <c r="C221" i="2"/>
  <c r="K220" i="2"/>
  <c r="I220" i="2"/>
  <c r="H220" i="2"/>
  <c r="G220" i="2"/>
  <c r="F220" i="2"/>
  <c r="F268" i="2" s="1"/>
  <c r="E220" i="2"/>
  <c r="D220" i="2"/>
  <c r="C220" i="2"/>
  <c r="K219" i="2"/>
  <c r="I219" i="2"/>
  <c r="H219" i="2"/>
  <c r="G219" i="2"/>
  <c r="F219" i="2"/>
  <c r="F267" i="2" s="1"/>
  <c r="E219" i="2"/>
  <c r="D219" i="2"/>
  <c r="C219" i="2"/>
  <c r="K218" i="2"/>
  <c r="I218" i="2"/>
  <c r="H218" i="2"/>
  <c r="G218" i="2"/>
  <c r="F218" i="2"/>
  <c r="F266" i="2" s="1"/>
  <c r="E218" i="2"/>
  <c r="D218" i="2"/>
  <c r="C218" i="2"/>
  <c r="K217" i="2"/>
  <c r="I217" i="2"/>
  <c r="H217" i="2"/>
  <c r="G217" i="2"/>
  <c r="F217" i="2"/>
  <c r="F265" i="2" s="1"/>
  <c r="E217" i="2"/>
  <c r="D217" i="2"/>
  <c r="C217" i="2"/>
  <c r="K216" i="2"/>
  <c r="I216" i="2"/>
  <c r="H216" i="2"/>
  <c r="G216" i="2"/>
  <c r="F216" i="2"/>
  <c r="F264" i="2" s="1"/>
  <c r="E216" i="2"/>
  <c r="D216" i="2"/>
  <c r="C216" i="2"/>
  <c r="I215" i="2"/>
  <c r="H215" i="2"/>
  <c r="G215" i="2"/>
  <c r="I213" i="2"/>
  <c r="B213" i="2"/>
  <c r="C184" i="2"/>
  <c r="B184" i="2"/>
  <c r="A184" i="2"/>
  <c r="E176" i="2"/>
  <c r="D13" i="9" s="1"/>
  <c r="D15" i="9" s="1"/>
  <c r="D18" i="9" s="1"/>
  <c r="D21" i="9" s="1"/>
  <c r="D176" i="2"/>
  <c r="C13" i="9" s="1"/>
  <c r="C15" i="9" s="1"/>
  <c r="C18" i="9" s="1"/>
  <c r="C21" i="9" s="1"/>
  <c r="C176" i="2"/>
  <c r="B13" i="9" s="1"/>
  <c r="B15" i="9" s="1"/>
  <c r="B18" i="9" s="1"/>
  <c r="B21" i="9" s="1"/>
  <c r="J174" i="2"/>
  <c r="F174" i="2"/>
  <c r="J235" i="2" s="1"/>
  <c r="G283" i="2" s="1"/>
  <c r="J173" i="2"/>
  <c r="F173" i="2"/>
  <c r="J234" i="2" s="1"/>
  <c r="G282" i="2" s="1"/>
  <c r="J172" i="2"/>
  <c r="F172" i="2"/>
  <c r="J233" i="2" s="1"/>
  <c r="G281" i="2" s="1"/>
  <c r="J171" i="2"/>
  <c r="F171" i="2"/>
  <c r="J232" i="2" s="1"/>
  <c r="G280" i="2" s="1"/>
  <c r="J170" i="2"/>
  <c r="F170" i="2"/>
  <c r="J231" i="2" s="1"/>
  <c r="G279" i="2" s="1"/>
  <c r="J169" i="2"/>
  <c r="F169" i="2"/>
  <c r="J230" i="2" s="1"/>
  <c r="G278" i="2" s="1"/>
  <c r="J168" i="2"/>
  <c r="F168" i="2"/>
  <c r="J229" i="2" s="1"/>
  <c r="G277" i="2" s="1"/>
  <c r="J167" i="2"/>
  <c r="F167" i="2"/>
  <c r="J163" i="2"/>
  <c r="F163" i="2"/>
  <c r="J222" i="2" s="1"/>
  <c r="G270" i="2" s="1"/>
  <c r="J162" i="2"/>
  <c r="F162" i="2"/>
  <c r="J221" i="2" s="1"/>
  <c r="G269" i="2" s="1"/>
  <c r="E160" i="2"/>
  <c r="D160" i="2"/>
  <c r="C160" i="2"/>
  <c r="F159" i="2"/>
  <c r="F158" i="2"/>
  <c r="F157" i="2"/>
  <c r="F156" i="2"/>
  <c r="F155" i="2"/>
  <c r="J151" i="2"/>
  <c r="F151" i="2"/>
  <c r="J227" i="2" s="1"/>
  <c r="G275" i="2" s="1"/>
  <c r="F150" i="2"/>
  <c r="F149" i="2"/>
  <c r="D9" i="4" s="1"/>
  <c r="F148" i="2"/>
  <c r="F147" i="2"/>
  <c r="F146" i="2"/>
  <c r="F143" i="2"/>
  <c r="F142" i="2"/>
  <c r="F139" i="2"/>
  <c r="F138" i="2"/>
  <c r="F137" i="2"/>
  <c r="F136" i="2"/>
  <c r="F133" i="2"/>
  <c r="F132" i="2"/>
  <c r="F131" i="2"/>
  <c r="F130" i="2"/>
  <c r="F129" i="2"/>
  <c r="F124" i="2"/>
  <c r="F123" i="2"/>
  <c r="F122" i="2"/>
  <c r="F121" i="2"/>
  <c r="F120" i="2"/>
  <c r="F117" i="2"/>
  <c r="F116" i="2"/>
  <c r="F101" i="2"/>
  <c r="F100" i="2"/>
  <c r="F99" i="2"/>
  <c r="F98" i="2"/>
  <c r="F97" i="2"/>
  <c r="F96" i="2"/>
  <c r="F92" i="2"/>
  <c r="F90" i="2"/>
  <c r="F89" i="2"/>
  <c r="E86" i="2"/>
  <c r="D86" i="2"/>
  <c r="C86" i="2"/>
  <c r="F85" i="2"/>
  <c r="F84" i="2"/>
  <c r="F83" i="2"/>
  <c r="F80" i="2"/>
  <c r="F79" i="2"/>
  <c r="F78" i="2"/>
  <c r="J77" i="2"/>
  <c r="F77" i="2"/>
  <c r="F76" i="2"/>
  <c r="E73" i="2"/>
  <c r="D73" i="2"/>
  <c r="C73" i="2"/>
  <c r="F72" i="2"/>
  <c r="F71" i="2"/>
  <c r="F70" i="2"/>
  <c r="F69" i="2"/>
  <c r="F68" i="2"/>
  <c r="F66" i="2"/>
  <c r="D39" i="6" s="1"/>
  <c r="F64" i="2"/>
  <c r="E63" i="2"/>
  <c r="D63" i="2"/>
  <c r="C63" i="2"/>
  <c r="F62" i="2"/>
  <c r="F61" i="2"/>
  <c r="C36" i="8" s="1"/>
  <c r="H251" i="2" s="1"/>
  <c r="F60" i="2"/>
  <c r="F59" i="2"/>
  <c r="F58" i="2"/>
  <c r="F57" i="2"/>
  <c r="F56" i="2"/>
  <c r="F55" i="2"/>
  <c r="F54" i="2"/>
  <c r="F52" i="2"/>
  <c r="J51" i="2"/>
  <c r="F51" i="2"/>
  <c r="J224" i="2" s="1"/>
  <c r="G272" i="2" s="1"/>
  <c r="F50" i="2"/>
  <c r="F49" i="2"/>
  <c r="J48" i="2"/>
  <c r="F48" i="2"/>
  <c r="J223" i="2" s="1"/>
  <c r="G271" i="2" s="1"/>
  <c r="J47" i="2"/>
  <c r="F47" i="2"/>
  <c r="J220" i="2" s="1"/>
  <c r="G268" i="2" s="1"/>
  <c r="J46" i="2"/>
  <c r="F46" i="2"/>
  <c r="J219" i="2" s="1"/>
  <c r="G267" i="2" s="1"/>
  <c r="J45" i="2"/>
  <c r="F45" i="2"/>
  <c r="J218" i="2" s="1"/>
  <c r="G266" i="2" s="1"/>
  <c r="F44" i="2"/>
  <c r="F43" i="2"/>
  <c r="F42" i="2"/>
  <c r="F41" i="2"/>
  <c r="F40" i="2"/>
  <c r="J39" i="2"/>
  <c r="F39" i="2"/>
  <c r="J217" i="2" s="1"/>
  <c r="G265" i="2" s="1"/>
  <c r="F38" i="2"/>
  <c r="F37" i="2"/>
  <c r="F36" i="2"/>
  <c r="F35" i="2"/>
  <c r="F34" i="2"/>
  <c r="F33" i="2"/>
  <c r="F32" i="2"/>
  <c r="F31" i="2"/>
  <c r="F30" i="2"/>
  <c r="F27" i="2"/>
  <c r="F26" i="2"/>
  <c r="F25" i="2"/>
  <c r="F24" i="2"/>
  <c r="F23" i="2"/>
  <c r="F22" i="2"/>
  <c r="J21" i="2"/>
  <c r="F21" i="2"/>
  <c r="F20" i="2"/>
  <c r="F19" i="2"/>
  <c r="F18" i="2"/>
  <c r="F17" i="2"/>
  <c r="F16" i="2"/>
  <c r="F15" i="2"/>
  <c r="F14" i="2"/>
  <c r="F13" i="2"/>
  <c r="E10" i="2"/>
  <c r="E12" i="2" s="1"/>
  <c r="D10" i="2"/>
  <c r="C10" i="2"/>
  <c r="C12" i="2" s="1"/>
  <c r="F9" i="2"/>
  <c r="F8" i="2"/>
  <c r="I2" i="2"/>
  <c r="B86" i="23"/>
  <c r="C86" i="23" s="1"/>
  <c r="B85" i="23"/>
  <c r="C85" i="23" s="1"/>
  <c r="B84" i="23"/>
  <c r="C84" i="23" s="1"/>
  <c r="B83" i="23"/>
  <c r="C83" i="23" s="1"/>
  <c r="B82" i="23"/>
  <c r="C82" i="23" s="1"/>
  <c r="B81" i="23"/>
  <c r="C81" i="23" s="1"/>
  <c r="B80" i="23"/>
  <c r="C80" i="23" s="1"/>
  <c r="A73" i="23"/>
  <c r="A72" i="23"/>
  <c r="A71" i="23"/>
  <c r="A70" i="23"/>
  <c r="A69" i="23"/>
  <c r="A68" i="23"/>
  <c r="A67" i="23"/>
  <c r="H66" i="23"/>
  <c r="G66" i="23"/>
  <c r="F66" i="23"/>
  <c r="E66" i="23"/>
  <c r="D66" i="23"/>
  <c r="C66" i="23"/>
  <c r="B66" i="23"/>
  <c r="G61" i="23"/>
  <c r="T60" i="23"/>
  <c r="G60" i="23"/>
  <c r="D60" i="23"/>
  <c r="C60" i="23"/>
  <c r="B60" i="23"/>
  <c r="H60" i="23" s="1"/>
  <c r="T59" i="23"/>
  <c r="G59" i="23"/>
  <c r="T58" i="23"/>
  <c r="G58" i="23"/>
  <c r="T57" i="23"/>
  <c r="G57" i="23"/>
  <c r="C57" i="23"/>
  <c r="T56" i="23"/>
  <c r="G56" i="23"/>
  <c r="T55" i="23"/>
  <c r="S55" i="23"/>
  <c r="R55" i="23"/>
  <c r="G55" i="23"/>
  <c r="D55" i="23"/>
  <c r="C55" i="23"/>
  <c r="B55" i="23"/>
  <c r="Y46" i="23"/>
  <c r="X46" i="23"/>
  <c r="W46" i="23"/>
  <c r="V46" i="23"/>
  <c r="T46" i="23"/>
  <c r="S46" i="23"/>
  <c r="R46" i="23"/>
  <c r="Q46" i="23"/>
  <c r="Y45" i="23"/>
  <c r="X45" i="23"/>
  <c r="W45" i="23"/>
  <c r="V45" i="23"/>
  <c r="T45" i="23"/>
  <c r="S45" i="23"/>
  <c r="R45" i="23"/>
  <c r="Q45" i="23"/>
  <c r="Y44" i="23"/>
  <c r="X44" i="23"/>
  <c r="W44" i="23"/>
  <c r="V44" i="23"/>
  <c r="T44" i="23"/>
  <c r="S44" i="23"/>
  <c r="R44" i="23"/>
  <c r="Q44" i="23"/>
  <c r="Y43" i="23"/>
  <c r="X43" i="23"/>
  <c r="W43" i="23"/>
  <c r="V43" i="23"/>
  <c r="T43" i="23"/>
  <c r="S43" i="23"/>
  <c r="R43" i="23"/>
  <c r="Q43" i="23"/>
  <c r="Y42" i="23"/>
  <c r="X42" i="23"/>
  <c r="W42" i="23"/>
  <c r="V42" i="23"/>
  <c r="T42" i="23"/>
  <c r="S42" i="23"/>
  <c r="R42" i="23"/>
  <c r="Q42" i="23"/>
  <c r="Y41" i="23"/>
  <c r="X41" i="23"/>
  <c r="W41" i="23"/>
  <c r="V41" i="23"/>
  <c r="T41" i="23"/>
  <c r="S41" i="23"/>
  <c r="R41" i="23"/>
  <c r="Q41" i="23"/>
  <c r="Y40" i="23"/>
  <c r="X40" i="23"/>
  <c r="W40" i="23"/>
  <c r="V40" i="23"/>
  <c r="T40" i="23"/>
  <c r="S40" i="23"/>
  <c r="R40" i="23"/>
  <c r="Q40" i="23"/>
  <c r="Y39" i="23"/>
  <c r="X39" i="23"/>
  <c r="W39" i="23"/>
  <c r="V39" i="23"/>
  <c r="T39" i="23"/>
  <c r="S39" i="23"/>
  <c r="R39" i="23"/>
  <c r="Q39" i="23"/>
  <c r="Y38" i="23"/>
  <c r="X38" i="23"/>
  <c r="W38" i="23"/>
  <c r="V38" i="23"/>
  <c r="T38" i="23"/>
  <c r="S38" i="23"/>
  <c r="R38" i="23"/>
  <c r="Q38" i="23"/>
  <c r="Y37" i="23"/>
  <c r="X37" i="23"/>
  <c r="W37" i="23"/>
  <c r="V37" i="23"/>
  <c r="T37" i="23"/>
  <c r="S37" i="23"/>
  <c r="R37" i="23"/>
  <c r="Q37" i="23"/>
  <c r="Y36" i="23"/>
  <c r="X36" i="23"/>
  <c r="W36" i="23"/>
  <c r="V36" i="23"/>
  <c r="T36" i="23"/>
  <c r="S36" i="23"/>
  <c r="R36" i="23"/>
  <c r="Q36" i="23"/>
  <c r="Y35" i="23"/>
  <c r="X35" i="23"/>
  <c r="W35" i="23"/>
  <c r="V35" i="23"/>
  <c r="T35" i="23"/>
  <c r="S35" i="23"/>
  <c r="R35" i="23"/>
  <c r="Q35" i="23"/>
  <c r="H29" i="23"/>
  <c r="G29" i="23"/>
  <c r="F29" i="23"/>
  <c r="E29" i="23"/>
  <c r="I28" i="23"/>
  <c r="H28" i="23"/>
  <c r="E28" i="23"/>
  <c r="H27" i="23"/>
  <c r="G27" i="23"/>
  <c r="F27" i="23"/>
  <c r="E27" i="23"/>
  <c r="I26" i="23"/>
  <c r="H26" i="23"/>
  <c r="E26" i="23"/>
  <c r="I25" i="23"/>
  <c r="G25" i="23"/>
  <c r="E25" i="23"/>
  <c r="B25" i="23"/>
  <c r="H25" i="23" s="1"/>
  <c r="H24" i="23"/>
  <c r="G24" i="23"/>
  <c r="F24" i="23"/>
  <c r="E24" i="23"/>
  <c r="I23" i="23"/>
  <c r="H23" i="23"/>
  <c r="E23" i="23"/>
  <c r="I22" i="23"/>
  <c r="H22" i="23"/>
  <c r="F22" i="23"/>
  <c r="E22" i="23"/>
  <c r="C15" i="23"/>
  <c r="E11" i="23"/>
  <c r="D11" i="23"/>
  <c r="C11" i="23"/>
  <c r="B11" i="23"/>
  <c r="D10" i="23"/>
  <c r="C10" i="23"/>
  <c r="B10" i="23"/>
  <c r="E10" i="23" s="1"/>
  <c r="A4" i="23"/>
  <c r="C72" i="1"/>
  <c r="C71" i="1"/>
  <c r="C70" i="1"/>
  <c r="C69" i="1"/>
  <c r="C68" i="1"/>
  <c r="C67" i="1"/>
  <c r="C45" i="1"/>
  <c r="C38" i="1"/>
  <c r="C34" i="1"/>
  <c r="E10" i="14" l="1"/>
  <c r="G253" i="2"/>
  <c r="G260" i="2" s="1"/>
  <c r="F239" i="2"/>
  <c r="J239" i="2" s="1"/>
  <c r="B63" i="13"/>
  <c r="D63" i="13" s="1"/>
  <c r="B62" i="13"/>
  <c r="D62" i="13" s="1"/>
  <c r="B61" i="13"/>
  <c r="D61" i="13" s="1"/>
  <c r="C39" i="8"/>
  <c r="H256" i="2"/>
  <c r="G256" i="2"/>
  <c r="F256" i="2"/>
  <c r="E256" i="2"/>
  <c r="D256" i="2"/>
  <c r="C256" i="2"/>
  <c r="F63" i="2"/>
  <c r="F86" i="2"/>
  <c r="B7" i="16" s="1"/>
  <c r="D7" i="16" s="1"/>
  <c r="F160" i="2"/>
  <c r="B10" i="16" s="1"/>
  <c r="D10" i="16" s="1"/>
  <c r="J238" i="2"/>
  <c r="C74" i="1"/>
  <c r="C73" i="1"/>
  <c r="B14" i="23"/>
  <c r="B13" i="23"/>
  <c r="C14" i="23"/>
  <c r="C13" i="23"/>
  <c r="D14" i="23"/>
  <c r="D13" i="23"/>
  <c r="E14" i="23"/>
  <c r="E13" i="23"/>
  <c r="R60" i="23"/>
  <c r="H55" i="23"/>
  <c r="S60" i="23"/>
  <c r="I55" i="23"/>
  <c r="E55" i="23"/>
  <c r="R59" i="23"/>
  <c r="H56" i="23"/>
  <c r="I60" i="23"/>
  <c r="E60" i="23"/>
  <c r="B16" i="16"/>
  <c r="D16" i="16" s="1"/>
  <c r="D184" i="2"/>
  <c r="D12" i="3"/>
  <c r="D9" i="3"/>
  <c r="D39" i="4"/>
  <c r="F10" i="2"/>
  <c r="L15" i="3"/>
  <c r="K15" i="3"/>
  <c r="J15" i="3"/>
  <c r="I15" i="3"/>
  <c r="H15" i="3"/>
  <c r="G15" i="3"/>
  <c r="F15" i="3"/>
  <c r="E15" i="3"/>
  <c r="D15" i="3"/>
  <c r="D20" i="3" s="1"/>
  <c r="C15" i="3"/>
  <c r="C20" i="3" s="1"/>
  <c r="L16" i="3"/>
  <c r="K16" i="3"/>
  <c r="J16" i="3"/>
  <c r="I16" i="3"/>
  <c r="H16" i="3"/>
  <c r="G16" i="3"/>
  <c r="F16" i="3"/>
  <c r="E16" i="3"/>
  <c r="D16" i="3"/>
  <c r="D21" i="3" s="1"/>
  <c r="D27" i="3" s="1"/>
  <c r="C16" i="3"/>
  <c r="C21" i="3" s="1"/>
  <c r="C27" i="3" s="1"/>
  <c r="L17" i="3"/>
  <c r="K17" i="3"/>
  <c r="J17" i="3"/>
  <c r="I17" i="3"/>
  <c r="H17" i="3"/>
  <c r="G17" i="3"/>
  <c r="F17" i="3"/>
  <c r="E17" i="3"/>
  <c r="D17" i="3"/>
  <c r="C17" i="3"/>
  <c r="C22" i="3" s="1"/>
  <c r="C28" i="3" s="1"/>
  <c r="J216" i="2"/>
  <c r="G264" i="2" s="1"/>
  <c r="F32" i="15"/>
  <c r="E32" i="15"/>
  <c r="D32" i="15"/>
  <c r="C32" i="15"/>
  <c r="B32" i="15"/>
  <c r="F31" i="15"/>
  <c r="E31" i="15"/>
  <c r="D31" i="15"/>
  <c r="C31" i="15"/>
  <c r="B31" i="15"/>
  <c r="F30" i="15"/>
  <c r="E30" i="15"/>
  <c r="D30" i="15"/>
  <c r="C30" i="15"/>
  <c r="B30" i="15"/>
  <c r="F29" i="15"/>
  <c r="E29" i="15"/>
  <c r="D29" i="15"/>
  <c r="C29" i="15"/>
  <c r="B29" i="15"/>
  <c r="F28" i="15"/>
  <c r="E28" i="15"/>
  <c r="D28" i="15"/>
  <c r="C28" i="15"/>
  <c r="B28" i="15"/>
  <c r="C79" i="20"/>
  <c r="C81" i="20" s="1"/>
  <c r="F73" i="2"/>
  <c r="C21" i="8"/>
  <c r="J226" i="2"/>
  <c r="G274" i="2" s="1"/>
  <c r="F93" i="2"/>
  <c r="L47" i="3"/>
  <c r="K47" i="3"/>
  <c r="J47" i="3"/>
  <c r="I47" i="3"/>
  <c r="H47" i="3"/>
  <c r="G47" i="3"/>
  <c r="F47" i="3"/>
  <c r="E47" i="3"/>
  <c r="L54" i="3"/>
  <c r="K54" i="3"/>
  <c r="J54" i="3"/>
  <c r="I54" i="3"/>
  <c r="H54" i="3"/>
  <c r="G54" i="3"/>
  <c r="F54" i="3"/>
  <c r="E54" i="3"/>
  <c r="J228" i="2"/>
  <c r="G276" i="2" s="1"/>
  <c r="F176" i="2"/>
  <c r="K238" i="2"/>
  <c r="F65" i="21"/>
  <c r="E65" i="21"/>
  <c r="B67" i="21" s="1"/>
  <c r="B18" i="21" s="1"/>
  <c r="C94" i="21"/>
  <c r="D93" i="21"/>
  <c r="B14" i="16"/>
  <c r="D14" i="16" s="1"/>
  <c r="D10" i="4"/>
  <c r="N17" i="20"/>
  <c r="M17" i="20"/>
  <c r="N18" i="20"/>
  <c r="M18" i="20"/>
  <c r="N19" i="20"/>
  <c r="M19" i="20"/>
  <c r="D31" i="20" s="1"/>
  <c r="N20" i="20"/>
  <c r="M20" i="20"/>
  <c r="N21" i="20"/>
  <c r="M21" i="20"/>
  <c r="N22" i="20"/>
  <c r="M22" i="20"/>
  <c r="N23" i="20"/>
  <c r="M23" i="20"/>
  <c r="D71" i="20"/>
  <c r="D70" i="20"/>
  <c r="D69" i="20"/>
  <c r="E69" i="20"/>
  <c r="E70" i="20"/>
  <c r="E71" i="20"/>
  <c r="H100" i="20"/>
  <c r="H103" i="20"/>
  <c r="C111" i="20"/>
  <c r="H104" i="20"/>
  <c r="B69" i="8"/>
  <c r="B68" i="8"/>
  <c r="C69" i="8"/>
  <c r="C68" i="8"/>
  <c r="B30" i="9"/>
  <c r="B8" i="9"/>
  <c r="C30" i="9"/>
  <c r="C8" i="9"/>
  <c r="D30" i="9"/>
  <c r="D8" i="9"/>
  <c r="B43" i="10"/>
  <c r="C43" i="10"/>
  <c r="D43" i="10"/>
  <c r="B54" i="10"/>
  <c r="C54" i="10"/>
  <c r="D54" i="10"/>
  <c r="B65" i="10"/>
  <c r="C65" i="10"/>
  <c r="D65" i="10"/>
  <c r="B33" i="13"/>
  <c r="F6" i="13"/>
  <c r="D33" i="13"/>
  <c r="J6" i="13"/>
  <c r="G6" i="13"/>
  <c r="C33" i="13"/>
  <c r="H6" i="13"/>
  <c r="G8" i="13"/>
  <c r="B36" i="13"/>
  <c r="F13" i="13"/>
  <c r="D36" i="13"/>
  <c r="J13" i="13"/>
  <c r="G13" i="13"/>
  <c r="H13" i="13"/>
  <c r="E37" i="13"/>
  <c r="E36" i="13"/>
  <c r="E35" i="13"/>
  <c r="E34" i="13"/>
  <c r="E33" i="13"/>
  <c r="G19" i="13"/>
  <c r="E18" i="14"/>
  <c r="E16" i="14"/>
  <c r="E17" i="14"/>
  <c r="A72" i="15"/>
  <c r="C94" i="2" l="1"/>
  <c r="D94" i="2"/>
  <c r="E94" i="2"/>
  <c r="C257" i="2"/>
  <c r="D257" i="2"/>
  <c r="E257" i="2"/>
  <c r="F257" i="2"/>
  <c r="G257" i="2"/>
  <c r="C8" i="13"/>
  <c r="F8" i="13" s="1"/>
  <c r="B57" i="23"/>
  <c r="E8" i="13"/>
  <c r="H8" i="13" s="1"/>
  <c r="D57" i="23"/>
  <c r="H17" i="14"/>
  <c r="G17" i="14"/>
  <c r="D9" i="13"/>
  <c r="C58" i="23"/>
  <c r="H16" i="14"/>
  <c r="G16" i="14"/>
  <c r="C9" i="13"/>
  <c r="F9" i="13" s="1"/>
  <c r="B58" i="23"/>
  <c r="H18" i="14"/>
  <c r="G18" i="14"/>
  <c r="E9" i="13"/>
  <c r="H9" i="13" s="1"/>
  <c r="D58" i="23"/>
  <c r="B7" i="14"/>
  <c r="C10" i="13"/>
  <c r="B59" i="23"/>
  <c r="G101" i="20"/>
  <c r="F101" i="20"/>
  <c r="E101" i="20"/>
  <c r="F32" i="20"/>
  <c r="E32" i="20"/>
  <c r="D32" i="20"/>
  <c r="C32" i="20"/>
  <c r="F52" i="20"/>
  <c r="F51" i="20"/>
  <c r="F50" i="20"/>
  <c r="B41" i="20"/>
  <c r="F41" i="20" s="1"/>
  <c r="F31" i="20"/>
  <c r="E31" i="20"/>
  <c r="C31" i="20"/>
  <c r="F30" i="20"/>
  <c r="E30" i="20"/>
  <c r="D30" i="20"/>
  <c r="C30" i="20"/>
  <c r="D17" i="5"/>
  <c r="E10" i="4"/>
  <c r="D11" i="2"/>
  <c r="D94" i="21"/>
  <c r="E93" i="21"/>
  <c r="B83" i="21"/>
  <c r="B82" i="21"/>
  <c r="B20" i="21"/>
  <c r="B100" i="21"/>
  <c r="F177" i="2"/>
  <c r="E67" i="3" s="1"/>
  <c r="E61" i="3"/>
  <c r="B11" i="16"/>
  <c r="D11" i="16" s="1"/>
  <c r="D26" i="9"/>
  <c r="D27" i="9" s="1"/>
  <c r="D28" i="9" s="1"/>
  <c r="D31" i="9" s="1"/>
  <c r="C26" i="9"/>
  <c r="C27" i="9" s="1"/>
  <c r="C28" i="9" s="1"/>
  <c r="C31" i="9" s="1"/>
  <c r="B26" i="9"/>
  <c r="B27" i="9" s="1"/>
  <c r="B28" i="9" s="1"/>
  <c r="B31" i="9" s="1"/>
  <c r="E86" i="20"/>
  <c r="F86" i="20" s="1"/>
  <c r="E85" i="20"/>
  <c r="F85" i="20" s="1"/>
  <c r="E84" i="20"/>
  <c r="F84" i="20" s="1"/>
  <c r="C26" i="3"/>
  <c r="C34" i="3" s="1"/>
  <c r="C23" i="3"/>
  <c r="D26" i="3"/>
  <c r="D9" i="5"/>
  <c r="D22" i="3"/>
  <c r="D61" i="23" l="1"/>
  <c r="E14" i="13"/>
  <c r="C61" i="23"/>
  <c r="D14" i="13"/>
  <c r="F94" i="2"/>
  <c r="B61" i="23"/>
  <c r="H61" i="23" s="1"/>
  <c r="C14" i="13"/>
  <c r="G9" i="13"/>
  <c r="J9" i="13"/>
  <c r="S58" i="23"/>
  <c r="I57" i="23"/>
  <c r="E57" i="23"/>
  <c r="R58" i="23"/>
  <c r="H57" i="23"/>
  <c r="D23" i="3"/>
  <c r="D28" i="3"/>
  <c r="E11" i="3"/>
  <c r="C14" i="5"/>
  <c r="C11" i="5"/>
  <c r="C40" i="3"/>
  <c r="C38" i="3"/>
  <c r="C12" i="5"/>
  <c r="C25" i="5" s="1"/>
  <c r="C35" i="3"/>
  <c r="C13" i="5" s="1"/>
  <c r="C20" i="5" s="1"/>
  <c r="F99" i="9"/>
  <c r="E99" i="9"/>
  <c r="D99" i="9"/>
  <c r="C99" i="9"/>
  <c r="B99" i="9"/>
  <c r="B102" i="9" s="1"/>
  <c r="F98" i="9"/>
  <c r="E98" i="9"/>
  <c r="D98" i="9"/>
  <c r="C98" i="9"/>
  <c r="B98" i="9"/>
  <c r="F97" i="9"/>
  <c r="E97" i="9"/>
  <c r="D97" i="9"/>
  <c r="C97" i="9"/>
  <c r="B97" i="9"/>
  <c r="F96" i="9"/>
  <c r="E96" i="9"/>
  <c r="D96" i="9"/>
  <c r="C96" i="9"/>
  <c r="B96" i="9"/>
  <c r="F95" i="9"/>
  <c r="B103" i="9" s="1"/>
  <c r="B104" i="9" s="1"/>
  <c r="C104" i="9" s="1"/>
  <c r="E95" i="9"/>
  <c r="D95" i="9"/>
  <c r="B106" i="9" s="1"/>
  <c r="C95" i="9"/>
  <c r="B95" i="9"/>
  <c r="B85" i="9"/>
  <c r="D85" i="9" s="1"/>
  <c r="B38" i="9"/>
  <c r="B39" i="9" s="1"/>
  <c r="B32" i="9"/>
  <c r="C43" i="8"/>
  <c r="B86" i="9"/>
  <c r="D86" i="9" s="1"/>
  <c r="C32" i="9"/>
  <c r="B36" i="9"/>
  <c r="B87" i="9"/>
  <c r="D87" i="9" s="1"/>
  <c r="D32" i="9"/>
  <c r="C44" i="8"/>
  <c r="B101" i="21"/>
  <c r="B84" i="21"/>
  <c r="C16" i="21"/>
  <c r="D16" i="21" s="1"/>
  <c r="C17" i="21"/>
  <c r="D17" i="21" s="1"/>
  <c r="C19" i="21"/>
  <c r="D19" i="21" s="1"/>
  <c r="C18" i="21"/>
  <c r="D18" i="21" s="1"/>
  <c r="C20" i="21"/>
  <c r="D20" i="21" s="1"/>
  <c r="B85" i="21"/>
  <c r="E94" i="21"/>
  <c r="F93" i="21"/>
  <c r="F11" i="2"/>
  <c r="D12" i="2"/>
  <c r="F12" i="2" s="1"/>
  <c r="E17" i="5"/>
  <c r="F10" i="4"/>
  <c r="K50" i="20"/>
  <c r="K51" i="20"/>
  <c r="K52" i="20"/>
  <c r="E52" i="20"/>
  <c r="E51" i="20"/>
  <c r="E50" i="20"/>
  <c r="B40" i="20"/>
  <c r="F40" i="20" s="1"/>
  <c r="G30" i="20"/>
  <c r="G31" i="20"/>
  <c r="G52" i="20"/>
  <c r="G51" i="20"/>
  <c r="G50" i="20"/>
  <c r="B42" i="20"/>
  <c r="F42" i="20" s="1"/>
  <c r="G32" i="20"/>
  <c r="C110" i="20"/>
  <c r="H101" i="20"/>
  <c r="H59" i="23"/>
  <c r="R56" i="23"/>
  <c r="B35" i="13"/>
  <c r="F10" i="13"/>
  <c r="I58" i="23"/>
  <c r="E58" i="23"/>
  <c r="S57" i="23"/>
  <c r="H58" i="23"/>
  <c r="R57" i="23"/>
  <c r="B38" i="13" l="1"/>
  <c r="B37" i="13"/>
  <c r="F14" i="13"/>
  <c r="E61" i="13"/>
  <c r="E62" i="13"/>
  <c r="E63" i="13"/>
  <c r="D38" i="13"/>
  <c r="D37" i="13"/>
  <c r="J14" i="13"/>
  <c r="G14" i="13"/>
  <c r="C38" i="13"/>
  <c r="C37" i="13"/>
  <c r="H14" i="13"/>
  <c r="E61" i="23"/>
  <c r="I61" i="23"/>
  <c r="H50" i="20"/>
  <c r="H51" i="20"/>
  <c r="H52" i="20"/>
  <c r="F17" i="5"/>
  <c r="G10" i="4"/>
  <c r="F61" i="3"/>
  <c r="B7" i="21"/>
  <c r="F94" i="21"/>
  <c r="G93" i="21"/>
  <c r="B103" i="21"/>
  <c r="B37" i="9"/>
  <c r="C45" i="8"/>
  <c r="D88" i="9"/>
  <c r="E85" i="9"/>
  <c r="B105" i="9"/>
  <c r="A109" i="9" s="1"/>
  <c r="C8" i="6"/>
  <c r="C21" i="5"/>
  <c r="C26" i="5"/>
  <c r="E21" i="3"/>
  <c r="E27" i="3" s="1"/>
  <c r="E12" i="3"/>
  <c r="D31" i="3"/>
  <c r="D14" i="5"/>
  <c r="D11" i="5"/>
  <c r="D40" i="3"/>
  <c r="D13" i="6" l="1"/>
  <c r="D10" i="5"/>
  <c r="D38" i="3"/>
  <c r="E10" i="3"/>
  <c r="D34" i="3"/>
  <c r="E22" i="3"/>
  <c r="E28" i="3" s="1"/>
  <c r="F12" i="3" s="1"/>
  <c r="E87" i="9"/>
  <c r="E86" i="9"/>
  <c r="E88" i="9" s="1"/>
  <c r="B28" i="23"/>
  <c r="G28" i="23" s="1"/>
  <c r="G94" i="21"/>
  <c r="H93" i="21"/>
  <c r="G17" i="5"/>
  <c r="H10" i="4"/>
  <c r="G61" i="3"/>
  <c r="G102" i="20"/>
  <c r="G106" i="20" s="1"/>
  <c r="E74" i="2" s="1"/>
  <c r="J52" i="20"/>
  <c r="F102" i="20"/>
  <c r="J51" i="20"/>
  <c r="E102" i="20"/>
  <c r="E106" i="20" s="1"/>
  <c r="C74" i="2" s="1"/>
  <c r="J50" i="20"/>
  <c r="B86" i="3" l="1"/>
  <c r="C80" i="3"/>
  <c r="C240" i="2"/>
  <c r="G225" i="2"/>
  <c r="F225" i="2"/>
  <c r="F273" i="2" s="1"/>
  <c r="C225" i="2"/>
  <c r="J74" i="2"/>
  <c r="F74" i="2" s="1"/>
  <c r="B15" i="23"/>
  <c r="C109" i="20"/>
  <c r="C112" i="20" s="1"/>
  <c r="H102" i="20"/>
  <c r="F106" i="20"/>
  <c r="H106" i="20" s="1"/>
  <c r="K240" i="2"/>
  <c r="E240" i="2"/>
  <c r="K225" i="2"/>
  <c r="I225" i="2"/>
  <c r="E225" i="2"/>
  <c r="D15" i="23"/>
  <c r="H17" i="5"/>
  <c r="I10" i="4"/>
  <c r="H61" i="3"/>
  <c r="H94" i="21"/>
  <c r="I93" i="21"/>
  <c r="F22" i="3"/>
  <c r="D17" i="19"/>
  <c r="D23" i="19" s="1"/>
  <c r="D12" i="5"/>
  <c r="D25" i="5" s="1"/>
  <c r="E49" i="3"/>
  <c r="E64" i="3" s="1"/>
  <c r="D41" i="3"/>
  <c r="D39" i="3"/>
  <c r="E34" i="3"/>
  <c r="E9" i="3"/>
  <c r="D35" i="3"/>
  <c r="E20" i="3"/>
  <c r="C86" i="3" l="1"/>
  <c r="D80" i="3"/>
  <c r="K12" i="8"/>
  <c r="K14" i="8" s="1"/>
  <c r="J12" i="8"/>
  <c r="J14" i="8" s="1"/>
  <c r="I12" i="8"/>
  <c r="I14" i="8" s="1"/>
  <c r="H12" i="8"/>
  <c r="H14" i="8" s="1"/>
  <c r="G12" i="8"/>
  <c r="G14" i="8" s="1"/>
  <c r="F12" i="8"/>
  <c r="F14" i="8" s="1"/>
  <c r="E12" i="8"/>
  <c r="E14" i="8" s="1"/>
  <c r="D12" i="8"/>
  <c r="D14" i="8" s="1"/>
  <c r="J240" i="2"/>
  <c r="J225" i="2"/>
  <c r="G273" i="2" s="1"/>
  <c r="E23" i="3"/>
  <c r="E26" i="3"/>
  <c r="F11" i="3" s="1"/>
  <c r="D13" i="5"/>
  <c r="D20" i="5" s="1"/>
  <c r="E9" i="5"/>
  <c r="E35" i="3"/>
  <c r="E13" i="5" s="1"/>
  <c r="E20" i="5" s="1"/>
  <c r="E17" i="19"/>
  <c r="E23" i="19" s="1"/>
  <c r="E12" i="5"/>
  <c r="E25" i="5" s="1"/>
  <c r="E26" i="5" s="1"/>
  <c r="F49" i="3"/>
  <c r="F64" i="3" s="1"/>
  <c r="E39" i="3"/>
  <c r="F34" i="3"/>
  <c r="E31" i="3"/>
  <c r="F9" i="3"/>
  <c r="D26" i="5"/>
  <c r="I94" i="21"/>
  <c r="J93" i="21"/>
  <c r="I17" i="5"/>
  <c r="J10" i="4"/>
  <c r="I61" i="3"/>
  <c r="F240" i="2"/>
  <c r="E15" i="23"/>
  <c r="D86" i="3" l="1"/>
  <c r="E80" i="3"/>
  <c r="J17" i="5"/>
  <c r="K10" i="4"/>
  <c r="J61" i="3"/>
  <c r="B102" i="21"/>
  <c r="J94" i="21"/>
  <c r="K93" i="21"/>
  <c r="F9" i="5"/>
  <c r="F35" i="3"/>
  <c r="F13" i="5" s="1"/>
  <c r="F20" i="5" s="1"/>
  <c r="E13" i="6"/>
  <c r="D18" i="19" s="1"/>
  <c r="D24" i="19" s="1"/>
  <c r="E10" i="5"/>
  <c r="E50" i="3"/>
  <c r="E38" i="3"/>
  <c r="F10" i="3"/>
  <c r="F17" i="19"/>
  <c r="F23" i="19" s="1"/>
  <c r="F12" i="5"/>
  <c r="F25" i="5" s="1"/>
  <c r="F26" i="5" s="1"/>
  <c r="G49" i="3"/>
  <c r="G64" i="3" s="1"/>
  <c r="F39" i="3"/>
  <c r="G34" i="3"/>
  <c r="G9" i="3"/>
  <c r="E8" i="6"/>
  <c r="E22" i="5"/>
  <c r="E21" i="5"/>
  <c r="B6" i="10"/>
  <c r="D8" i="6"/>
  <c r="D27" i="5"/>
  <c r="D22" i="5"/>
  <c r="D21" i="5"/>
  <c r="B5" i="16"/>
  <c r="D5" i="16" s="1"/>
  <c r="F21" i="3"/>
  <c r="F27" i="3" s="1"/>
  <c r="F28" i="3" s="1"/>
  <c r="G12" i="3" s="1"/>
  <c r="E14" i="5"/>
  <c r="E11" i="5"/>
  <c r="E40" i="3"/>
  <c r="E56" i="3" s="1"/>
  <c r="B157" i="10" l="1"/>
  <c r="B156" i="10"/>
  <c r="B155" i="10"/>
  <c r="E147" i="10"/>
  <c r="F147" i="10" s="1"/>
  <c r="E146" i="10"/>
  <c r="F146" i="10" s="1"/>
  <c r="E145" i="10"/>
  <c r="F145" i="10" s="1"/>
  <c r="E86" i="3"/>
  <c r="F80" i="3"/>
  <c r="E58" i="3"/>
  <c r="E63" i="3" s="1"/>
  <c r="G22" i="3"/>
  <c r="C8" i="8"/>
  <c r="D20" i="19"/>
  <c r="D26" i="19" s="1"/>
  <c r="D15" i="7"/>
  <c r="D14" i="7"/>
  <c r="D27" i="6"/>
  <c r="D28" i="6" s="1"/>
  <c r="D25" i="6"/>
  <c r="D26" i="6" s="1"/>
  <c r="D23" i="6"/>
  <c r="D24" i="6" s="1"/>
  <c r="D21" i="6"/>
  <c r="D12" i="6"/>
  <c r="D9" i="6"/>
  <c r="B83" i="10"/>
  <c r="B42" i="10"/>
  <c r="C42" i="10"/>
  <c r="D42" i="10"/>
  <c r="B53" i="10"/>
  <c r="C53" i="10"/>
  <c r="D53" i="10"/>
  <c r="B64" i="10"/>
  <c r="C64" i="10"/>
  <c r="D64" i="10"/>
  <c r="D8" i="8"/>
  <c r="E20" i="19"/>
  <c r="E26" i="19" s="1"/>
  <c r="E15" i="7"/>
  <c r="E14" i="7"/>
  <c r="E27" i="6"/>
  <c r="E28" i="6" s="1"/>
  <c r="E25" i="6"/>
  <c r="E26" i="6" s="1"/>
  <c r="E21" i="6"/>
  <c r="E12" i="6"/>
  <c r="E9" i="6"/>
  <c r="G9" i="5"/>
  <c r="G35" i="3"/>
  <c r="G13" i="5" s="1"/>
  <c r="G20" i="5" s="1"/>
  <c r="G17" i="19"/>
  <c r="G23" i="19" s="1"/>
  <c r="G12" i="5"/>
  <c r="G25" i="5" s="1"/>
  <c r="G26" i="5" s="1"/>
  <c r="H49" i="3"/>
  <c r="H64" i="3" s="1"/>
  <c r="G39" i="3"/>
  <c r="H34" i="3"/>
  <c r="H9" i="3"/>
  <c r="F20" i="3"/>
  <c r="E53" i="3"/>
  <c r="E46" i="3" s="1"/>
  <c r="D118" i="2"/>
  <c r="F118" i="2" s="1"/>
  <c r="F8" i="6"/>
  <c r="F22" i="5"/>
  <c r="F21" i="5"/>
  <c r="K17" i="5"/>
  <c r="L10" i="4"/>
  <c r="K61" i="3"/>
  <c r="F86" i="3" l="1"/>
  <c r="G80" i="3"/>
  <c r="L17" i="5"/>
  <c r="L61" i="3"/>
  <c r="E8" i="8"/>
  <c r="F20" i="19"/>
  <c r="F26" i="19" s="1"/>
  <c r="F15" i="7"/>
  <c r="F14" i="7"/>
  <c r="F27" i="6"/>
  <c r="F28" i="6" s="1"/>
  <c r="F25" i="6"/>
  <c r="F26" i="6" s="1"/>
  <c r="F21" i="6"/>
  <c r="F12" i="6"/>
  <c r="F9" i="6"/>
  <c r="E23" i="6"/>
  <c r="E55" i="3"/>
  <c r="E57" i="3" s="1"/>
  <c r="E62" i="3" s="1"/>
  <c r="E51" i="3"/>
  <c r="E60" i="3" s="1"/>
  <c r="E66" i="3" s="1"/>
  <c r="E48" i="3"/>
  <c r="F23" i="3"/>
  <c r="F26" i="3"/>
  <c r="G11" i="3" s="1"/>
  <c r="H9" i="5"/>
  <c r="H35" i="3"/>
  <c r="H13" i="5" s="1"/>
  <c r="H20" i="5" s="1"/>
  <c r="H17" i="19"/>
  <c r="H23" i="19" s="1"/>
  <c r="H12" i="5"/>
  <c r="H25" i="5" s="1"/>
  <c r="H26" i="5" s="1"/>
  <c r="I49" i="3"/>
  <c r="I64" i="3" s="1"/>
  <c r="H39" i="3"/>
  <c r="I34" i="3"/>
  <c r="I9" i="3"/>
  <c r="G8" i="6"/>
  <c r="G22" i="5"/>
  <c r="G21" i="5"/>
  <c r="E14" i="6"/>
  <c r="E19" i="19" s="1"/>
  <c r="E15" i="6"/>
  <c r="E29" i="6"/>
  <c r="E22" i="6"/>
  <c r="D14" i="6"/>
  <c r="D19" i="19" s="1"/>
  <c r="D25" i="19" s="1"/>
  <c r="D27" i="19" s="1"/>
  <c r="D16" i="7" s="1"/>
  <c r="D15" i="6"/>
  <c r="D29" i="6"/>
  <c r="D22" i="6"/>
  <c r="G86" i="3" l="1"/>
  <c r="H80" i="3"/>
  <c r="D34" i="6"/>
  <c r="D32" i="6"/>
  <c r="D33" i="6" s="1"/>
  <c r="D36" i="6" s="1"/>
  <c r="D16" i="6"/>
  <c r="E34" i="6"/>
  <c r="E32" i="6"/>
  <c r="E33" i="6" s="1"/>
  <c r="E36" i="6" s="1"/>
  <c r="E16" i="6"/>
  <c r="B8" i="10" s="1"/>
  <c r="E25" i="19"/>
  <c r="F8" i="8"/>
  <c r="G20" i="19"/>
  <c r="G26" i="19" s="1"/>
  <c r="G15" i="7"/>
  <c r="G14" i="7"/>
  <c r="G27" i="6"/>
  <c r="G28" i="6" s="1"/>
  <c r="G25" i="6"/>
  <c r="G26" i="6" s="1"/>
  <c r="G21" i="6"/>
  <c r="G12" i="6"/>
  <c r="G9" i="6"/>
  <c r="I9" i="5"/>
  <c r="I35" i="3"/>
  <c r="I13" i="5" s="1"/>
  <c r="I20" i="5" s="1"/>
  <c r="I17" i="19"/>
  <c r="I23" i="19" s="1"/>
  <c r="I12" i="5"/>
  <c r="I25" i="5" s="1"/>
  <c r="I26" i="5" s="1"/>
  <c r="J49" i="3"/>
  <c r="J64" i="3" s="1"/>
  <c r="I39" i="3"/>
  <c r="J34" i="3"/>
  <c r="J9" i="3"/>
  <c r="H8" i="6"/>
  <c r="H22" i="5"/>
  <c r="H21" i="5"/>
  <c r="G21" i="3"/>
  <c r="G27" i="3" s="1"/>
  <c r="G28" i="3" s="1"/>
  <c r="H12" i="3" s="1"/>
  <c r="F14" i="5"/>
  <c r="F11" i="5"/>
  <c r="F40" i="3"/>
  <c r="F56" i="3" s="1"/>
  <c r="F31" i="3"/>
  <c r="B6" i="16"/>
  <c r="D6" i="16" s="1"/>
  <c r="E24" i="6"/>
  <c r="F14" i="6"/>
  <c r="F19" i="19" s="1"/>
  <c r="F25" i="19" s="1"/>
  <c r="F15" i="6"/>
  <c r="F22" i="6"/>
  <c r="H86" i="3" l="1"/>
  <c r="I80" i="3"/>
  <c r="F16" i="6"/>
  <c r="F13" i="6"/>
  <c r="E18" i="19" s="1"/>
  <c r="E24" i="19" s="1"/>
  <c r="E27" i="19" s="1"/>
  <c r="E16" i="7" s="1"/>
  <c r="F10" i="5"/>
  <c r="F50" i="3"/>
  <c r="F38" i="3"/>
  <c r="G10" i="3"/>
  <c r="F58" i="3"/>
  <c r="F63" i="3" s="1"/>
  <c r="H22" i="3"/>
  <c r="G8" i="8"/>
  <c r="H20" i="19"/>
  <c r="H26" i="19" s="1"/>
  <c r="H15" i="7"/>
  <c r="H14" i="7"/>
  <c r="H27" i="6"/>
  <c r="H28" i="6" s="1"/>
  <c r="H25" i="6"/>
  <c r="H26" i="6" s="1"/>
  <c r="H21" i="6"/>
  <c r="H12" i="6"/>
  <c r="H9" i="6"/>
  <c r="J9" i="5"/>
  <c r="J35" i="3"/>
  <c r="J13" i="5" s="1"/>
  <c r="J20" i="5" s="1"/>
  <c r="J17" i="19"/>
  <c r="J23" i="19" s="1"/>
  <c r="J12" i="5"/>
  <c r="J25" i="5" s="1"/>
  <c r="J26" i="5" s="1"/>
  <c r="K49" i="3"/>
  <c r="K64" i="3" s="1"/>
  <c r="J39" i="3"/>
  <c r="K34" i="3"/>
  <c r="K9" i="3"/>
  <c r="I8" i="6"/>
  <c r="I22" i="5"/>
  <c r="I21" i="5"/>
  <c r="G14" i="6"/>
  <c r="G19" i="19" s="1"/>
  <c r="G25" i="19" s="1"/>
  <c r="G15" i="6"/>
  <c r="G22" i="6"/>
  <c r="B10" i="10"/>
  <c r="B9" i="10"/>
  <c r="E9" i="7"/>
  <c r="E35" i="6"/>
  <c r="D9" i="7"/>
  <c r="D40" i="6"/>
  <c r="D35" i="6"/>
  <c r="C157" i="10" l="1"/>
  <c r="C156" i="10"/>
  <c r="C155" i="10"/>
  <c r="I86" i="3"/>
  <c r="J80" i="3"/>
  <c r="D48" i="6"/>
  <c r="D47" i="6"/>
  <c r="D49" i="6" s="1"/>
  <c r="E46" i="6" s="1"/>
  <c r="D41" i="6"/>
  <c r="B84" i="10"/>
  <c r="B44" i="10"/>
  <c r="C44" i="10"/>
  <c r="D44" i="10"/>
  <c r="B55" i="10"/>
  <c r="C55" i="10"/>
  <c r="D55" i="10"/>
  <c r="B73" i="10" s="1"/>
  <c r="B66" i="10"/>
  <c r="C66" i="10"/>
  <c r="D66" i="10"/>
  <c r="B45" i="10"/>
  <c r="C45" i="10"/>
  <c r="D45" i="10"/>
  <c r="B56" i="10"/>
  <c r="C56" i="10"/>
  <c r="D56" i="10"/>
  <c r="B67" i="10"/>
  <c r="C67" i="10"/>
  <c r="D67" i="10"/>
  <c r="G16" i="6"/>
  <c r="H8" i="8"/>
  <c r="I20" i="19"/>
  <c r="I26" i="19" s="1"/>
  <c r="I15" i="7"/>
  <c r="I14" i="7"/>
  <c r="I27" i="6"/>
  <c r="I28" i="6" s="1"/>
  <c r="I25" i="6"/>
  <c r="I26" i="6" s="1"/>
  <c r="I21" i="6"/>
  <c r="I12" i="6"/>
  <c r="I9" i="6"/>
  <c r="K9" i="5"/>
  <c r="K35" i="3"/>
  <c r="K13" i="5" s="1"/>
  <c r="K20" i="5" s="1"/>
  <c r="K17" i="19"/>
  <c r="K23" i="19" s="1"/>
  <c r="K12" i="5"/>
  <c r="K25" i="5" s="1"/>
  <c r="K26" i="5" s="1"/>
  <c r="L49" i="3"/>
  <c r="L64" i="3" s="1"/>
  <c r="K39" i="3"/>
  <c r="L34" i="3"/>
  <c r="L9" i="3"/>
  <c r="J8" i="6"/>
  <c r="J22" i="5"/>
  <c r="J21" i="5"/>
  <c r="H14" i="6"/>
  <c r="H19" i="19" s="1"/>
  <c r="H25" i="19" s="1"/>
  <c r="H15" i="6"/>
  <c r="H22" i="6"/>
  <c r="G20" i="3"/>
  <c r="F53" i="3"/>
  <c r="F46" i="3" s="1"/>
  <c r="D119" i="2"/>
  <c r="F119" i="2" s="1"/>
  <c r="J86" i="3" l="1"/>
  <c r="K80" i="3"/>
  <c r="L80" i="3" s="1"/>
  <c r="E155" i="10"/>
  <c r="D155" i="10"/>
  <c r="E156" i="10"/>
  <c r="D156" i="10"/>
  <c r="E157" i="10"/>
  <c r="D157" i="10"/>
  <c r="F23" i="6"/>
  <c r="F55" i="3"/>
  <c r="F57" i="3" s="1"/>
  <c r="F62" i="3" s="1"/>
  <c r="F51" i="3"/>
  <c r="F60" i="3" s="1"/>
  <c r="F66" i="3" s="1"/>
  <c r="F48" i="3"/>
  <c r="E65" i="3"/>
  <c r="G23" i="3"/>
  <c r="G26" i="3"/>
  <c r="H11" i="3" s="1"/>
  <c r="H16" i="6"/>
  <c r="I8" i="8"/>
  <c r="J20" i="19"/>
  <c r="J26" i="19" s="1"/>
  <c r="J15" i="7"/>
  <c r="J14" i="7"/>
  <c r="J27" i="6"/>
  <c r="J28" i="6" s="1"/>
  <c r="J25" i="6"/>
  <c r="J26" i="6" s="1"/>
  <c r="J21" i="6"/>
  <c r="J12" i="6"/>
  <c r="J9" i="6"/>
  <c r="L9" i="5"/>
  <c r="L35" i="3"/>
  <c r="L13" i="5" s="1"/>
  <c r="L20" i="5" s="1"/>
  <c r="B80" i="15"/>
  <c r="F58" i="15"/>
  <c r="F57" i="15"/>
  <c r="F56" i="15"/>
  <c r="F55" i="15"/>
  <c r="F54" i="15"/>
  <c r="L17" i="19"/>
  <c r="L23" i="19" s="1"/>
  <c r="L12" i="5"/>
  <c r="L25" i="5" s="1"/>
  <c r="L26" i="5" s="1"/>
  <c r="L39" i="3"/>
  <c r="K8" i="6"/>
  <c r="K22" i="5"/>
  <c r="K21" i="5"/>
  <c r="I14" i="6"/>
  <c r="I19" i="19" s="1"/>
  <c r="I25" i="19" s="1"/>
  <c r="I15" i="6"/>
  <c r="I22" i="6"/>
  <c r="D7" i="14"/>
  <c r="E10" i="13"/>
  <c r="D59" i="23"/>
  <c r="B72" i="10"/>
  <c r="D10" i="13"/>
  <c r="C59" i="23"/>
  <c r="B71" i="10"/>
  <c r="D10" i="7"/>
  <c r="D11" i="7" s="1"/>
  <c r="D18" i="7" s="1"/>
  <c r="D42" i="6"/>
  <c r="D43" i="6" s="1"/>
  <c r="B170" i="10" l="1"/>
  <c r="F157" i="10"/>
  <c r="B169" i="10"/>
  <c r="F156" i="10"/>
  <c r="B168" i="10"/>
  <c r="F155" i="10"/>
  <c r="C9" i="8"/>
  <c r="C10" i="8" s="1"/>
  <c r="D32" i="19"/>
  <c r="D34" i="19" s="1"/>
  <c r="D21" i="7"/>
  <c r="D35" i="13"/>
  <c r="J10" i="13"/>
  <c r="D18" i="13" s="1"/>
  <c r="G10" i="13"/>
  <c r="D24" i="13"/>
  <c r="B24" i="13"/>
  <c r="D23" i="13"/>
  <c r="G23" i="13" s="1"/>
  <c r="B23" i="13"/>
  <c r="I59" i="23"/>
  <c r="E59" i="23"/>
  <c r="S56" i="23"/>
  <c r="C35" i="13"/>
  <c r="H10" i="13"/>
  <c r="I16" i="6"/>
  <c r="J8" i="8"/>
  <c r="K20" i="19"/>
  <c r="K26" i="19" s="1"/>
  <c r="K15" i="7"/>
  <c r="K14" i="7"/>
  <c r="K27" i="6"/>
  <c r="K28" i="6" s="1"/>
  <c r="K25" i="6"/>
  <c r="K26" i="6" s="1"/>
  <c r="K21" i="6"/>
  <c r="K12" i="6"/>
  <c r="K9" i="6"/>
  <c r="H54" i="15"/>
  <c r="G54" i="15"/>
  <c r="H55" i="15"/>
  <c r="G55" i="15"/>
  <c r="H56" i="15"/>
  <c r="G56" i="15"/>
  <c r="H57" i="15"/>
  <c r="G57" i="15"/>
  <c r="H58" i="15"/>
  <c r="G58" i="15"/>
  <c r="L8" i="6"/>
  <c r="L22" i="5"/>
  <c r="L21" i="5"/>
  <c r="J14" i="6"/>
  <c r="J19" i="19" s="1"/>
  <c r="J25" i="19" s="1"/>
  <c r="J15" i="6"/>
  <c r="J22" i="6"/>
  <c r="H21" i="3"/>
  <c r="H27" i="3" s="1"/>
  <c r="H28" i="3" s="1"/>
  <c r="I12" i="3" s="1"/>
  <c r="G14" i="5"/>
  <c r="G11" i="5"/>
  <c r="G40" i="3"/>
  <c r="G56" i="3" s="1"/>
  <c r="G31" i="3"/>
  <c r="F24" i="6"/>
  <c r="F29" i="6"/>
  <c r="F34" i="6" l="1"/>
  <c r="F32" i="6"/>
  <c r="F33" i="6" s="1"/>
  <c r="F36" i="6" s="1"/>
  <c r="G13" i="6"/>
  <c r="F18" i="19" s="1"/>
  <c r="F24" i="19" s="1"/>
  <c r="F27" i="19" s="1"/>
  <c r="F16" i="7" s="1"/>
  <c r="G10" i="5"/>
  <c r="G50" i="3"/>
  <c r="G53" i="3" s="1"/>
  <c r="G46" i="3" s="1"/>
  <c r="G38" i="3"/>
  <c r="H10" i="3"/>
  <c r="G58" i="3"/>
  <c r="G63" i="3" s="1"/>
  <c r="I22" i="3"/>
  <c r="J16" i="6"/>
  <c r="K8" i="8"/>
  <c r="L20" i="19"/>
  <c r="L26" i="19" s="1"/>
  <c r="L15" i="7"/>
  <c r="L14" i="7"/>
  <c r="L27" i="6"/>
  <c r="L28" i="6" s="1"/>
  <c r="L25" i="6"/>
  <c r="L26" i="6" s="1"/>
  <c r="L21" i="6"/>
  <c r="L12" i="6"/>
  <c r="L9" i="6"/>
  <c r="K14" i="6"/>
  <c r="K19" i="19" s="1"/>
  <c r="K25" i="19" s="1"/>
  <c r="K15" i="6"/>
  <c r="K22" i="6"/>
  <c r="D25" i="13"/>
  <c r="G24" i="13"/>
  <c r="G25" i="13" s="1"/>
  <c r="D39" i="13"/>
  <c r="B39" i="13"/>
  <c r="D20" i="13"/>
  <c r="C51" i="1" s="1"/>
  <c r="G18" i="13"/>
  <c r="C49" i="1"/>
  <c r="E30" i="19"/>
  <c r="E39" i="6"/>
  <c r="E40" i="6" s="1"/>
  <c r="E48" i="6" l="1"/>
  <c r="E47" i="6"/>
  <c r="E49" i="6" s="1"/>
  <c r="F46" i="6" s="1"/>
  <c r="E41" i="6"/>
  <c r="G20" i="13"/>
  <c r="C50" i="1"/>
  <c r="K16" i="6"/>
  <c r="L14" i="6"/>
  <c r="L19" i="19" s="1"/>
  <c r="L25" i="19" s="1"/>
  <c r="L15" i="6"/>
  <c r="L22" i="6"/>
  <c r="C83" i="15"/>
  <c r="C82" i="15"/>
  <c r="C81" i="15"/>
  <c r="C79" i="15"/>
  <c r="C78" i="15"/>
  <c r="C18" i="8"/>
  <c r="C22" i="8" s="1"/>
  <c r="C80" i="15"/>
  <c r="H20" i="3"/>
  <c r="G23" i="6"/>
  <c r="G55" i="3"/>
  <c r="G57" i="3" s="1"/>
  <c r="G62" i="3" s="1"/>
  <c r="G52" i="3"/>
  <c r="G51" i="3"/>
  <c r="G60" i="3" s="1"/>
  <c r="G66" i="3" s="1"/>
  <c r="G48" i="3"/>
  <c r="F9" i="7"/>
  <c r="F35" i="6"/>
  <c r="G24" i="6" l="1"/>
  <c r="G29" i="6"/>
  <c r="H23" i="3"/>
  <c r="H26" i="3"/>
  <c r="I11" i="3" s="1"/>
  <c r="L16" i="6"/>
  <c r="E10" i="7"/>
  <c r="E11" i="7" s="1"/>
  <c r="E18" i="7" s="1"/>
  <c r="E42" i="6"/>
  <c r="E43" i="6" s="1"/>
  <c r="D9" i="8" l="1"/>
  <c r="E32" i="19"/>
  <c r="E34" i="19" s="1"/>
  <c r="E21" i="7"/>
  <c r="E22" i="7" s="1"/>
  <c r="I21" i="3"/>
  <c r="I27" i="3" s="1"/>
  <c r="I28" i="3" s="1"/>
  <c r="J12" i="3" s="1"/>
  <c r="H14" i="5"/>
  <c r="H11" i="5"/>
  <c r="H40" i="3"/>
  <c r="H56" i="3" s="1"/>
  <c r="H31" i="3"/>
  <c r="G34" i="6"/>
  <c r="G32" i="6"/>
  <c r="G33" i="6" s="1"/>
  <c r="G36" i="6" s="1"/>
  <c r="G9" i="7" l="1"/>
  <c r="G35" i="6"/>
  <c r="H13" i="6"/>
  <c r="G18" i="19" s="1"/>
  <c r="G24" i="19" s="1"/>
  <c r="G27" i="19" s="1"/>
  <c r="G16" i="7" s="1"/>
  <c r="H10" i="5"/>
  <c r="H50" i="3"/>
  <c r="H53" i="3" s="1"/>
  <c r="H46" i="3" s="1"/>
  <c r="H38" i="3"/>
  <c r="I10" i="3"/>
  <c r="H58" i="3"/>
  <c r="H63" i="3" s="1"/>
  <c r="J22" i="3"/>
  <c r="C37" i="8"/>
  <c r="H252" i="2" s="1"/>
  <c r="F30" i="19"/>
  <c r="F39" i="6"/>
  <c r="F40" i="6" s="1"/>
  <c r="D15" i="8"/>
  <c r="D10" i="8"/>
  <c r="F48" i="6" l="1"/>
  <c r="F47" i="6"/>
  <c r="F49" i="6" s="1"/>
  <c r="G46" i="6" s="1"/>
  <c r="F41" i="6"/>
  <c r="B26" i="23"/>
  <c r="G26" i="23" s="1"/>
  <c r="C37" i="1"/>
  <c r="I20" i="3"/>
  <c r="H23" i="6"/>
  <c r="H55" i="3"/>
  <c r="H57" i="3" s="1"/>
  <c r="H62" i="3" s="1"/>
  <c r="H51" i="3"/>
  <c r="H60" i="3" s="1"/>
  <c r="H66" i="3" s="1"/>
  <c r="H48" i="3"/>
  <c r="H24" i="6" l="1"/>
  <c r="H29" i="6"/>
  <c r="I23" i="3"/>
  <c r="I26" i="3"/>
  <c r="J11" i="3" s="1"/>
  <c r="F10" i="7"/>
  <c r="F11" i="7" s="1"/>
  <c r="F18" i="7" s="1"/>
  <c r="F42" i="6"/>
  <c r="F43" i="6" s="1"/>
  <c r="E9" i="8" l="1"/>
  <c r="F32" i="19"/>
  <c r="F34" i="19" s="1"/>
  <c r="F21" i="7"/>
  <c r="F22" i="7" s="1"/>
  <c r="J21" i="3"/>
  <c r="J27" i="3" s="1"/>
  <c r="J28" i="3" s="1"/>
  <c r="K12" i="3" s="1"/>
  <c r="I14" i="5"/>
  <c r="I11" i="5"/>
  <c r="I40" i="3"/>
  <c r="I56" i="3" s="1"/>
  <c r="I31" i="3"/>
  <c r="H34" i="6"/>
  <c r="H32" i="6"/>
  <c r="H33" i="6" s="1"/>
  <c r="H36" i="6" s="1"/>
  <c r="H9" i="7" l="1"/>
  <c r="H35" i="6"/>
  <c r="I13" i="6"/>
  <c r="H18" i="19" s="1"/>
  <c r="H24" i="19" s="1"/>
  <c r="H27" i="19" s="1"/>
  <c r="H16" i="7" s="1"/>
  <c r="I10" i="5"/>
  <c r="I50" i="3"/>
  <c r="I53" i="3" s="1"/>
  <c r="I46" i="3" s="1"/>
  <c r="I38" i="3"/>
  <c r="J10" i="3"/>
  <c r="I58" i="3"/>
  <c r="I63" i="3" s="1"/>
  <c r="K22" i="3"/>
  <c r="G30" i="19"/>
  <c r="G39" i="6"/>
  <c r="G40" i="6" s="1"/>
  <c r="E15" i="8"/>
  <c r="E10" i="8"/>
  <c r="G48" i="6" l="1"/>
  <c r="G47" i="6"/>
  <c r="G49" i="6" s="1"/>
  <c r="H46" i="6" s="1"/>
  <c r="G41" i="6"/>
  <c r="J20" i="3"/>
  <c r="I23" i="6"/>
  <c r="I55" i="3"/>
  <c r="I57" i="3" s="1"/>
  <c r="I62" i="3" s="1"/>
  <c r="I51" i="3"/>
  <c r="I60" i="3" s="1"/>
  <c r="I66" i="3" s="1"/>
  <c r="I48" i="3"/>
  <c r="I24" i="6" l="1"/>
  <c r="I29" i="6"/>
  <c r="J23" i="3"/>
  <c r="J26" i="3"/>
  <c r="K11" i="3" s="1"/>
  <c r="G10" i="7"/>
  <c r="G11" i="7" s="1"/>
  <c r="G18" i="7" s="1"/>
  <c r="G42" i="6"/>
  <c r="G43" i="6" s="1"/>
  <c r="F9" i="8" l="1"/>
  <c r="G32" i="19"/>
  <c r="G34" i="19" s="1"/>
  <c r="G21" i="7"/>
  <c r="G22" i="7" s="1"/>
  <c r="K21" i="3"/>
  <c r="K27" i="3" s="1"/>
  <c r="K28" i="3" s="1"/>
  <c r="L12" i="3" s="1"/>
  <c r="J14" i="5"/>
  <c r="J11" i="5"/>
  <c r="J40" i="3"/>
  <c r="J56" i="3" s="1"/>
  <c r="J31" i="3"/>
  <c r="I34" i="6"/>
  <c r="I32" i="6"/>
  <c r="I33" i="6" s="1"/>
  <c r="I36" i="6" s="1"/>
  <c r="I9" i="7" l="1"/>
  <c r="I35" i="6"/>
  <c r="J13" i="6"/>
  <c r="I18" i="19" s="1"/>
  <c r="I24" i="19" s="1"/>
  <c r="I27" i="19" s="1"/>
  <c r="I16" i="7" s="1"/>
  <c r="J10" i="5"/>
  <c r="J50" i="3"/>
  <c r="J53" i="3" s="1"/>
  <c r="J46" i="3" s="1"/>
  <c r="J38" i="3"/>
  <c r="K10" i="3"/>
  <c r="J58" i="3"/>
  <c r="J63" i="3" s="1"/>
  <c r="L22" i="3"/>
  <c r="H30" i="19"/>
  <c r="H39" i="6"/>
  <c r="H40" i="6" s="1"/>
  <c r="F15" i="8"/>
  <c r="F10" i="8"/>
  <c r="H48" i="6" l="1"/>
  <c r="H47" i="6"/>
  <c r="H49" i="6" s="1"/>
  <c r="I46" i="6" s="1"/>
  <c r="H41" i="6"/>
  <c r="K20" i="3"/>
  <c r="J23" i="6"/>
  <c r="J55" i="3"/>
  <c r="J57" i="3" s="1"/>
  <c r="J62" i="3" s="1"/>
  <c r="J51" i="3"/>
  <c r="J60" i="3" s="1"/>
  <c r="J66" i="3" s="1"/>
  <c r="J48" i="3"/>
  <c r="J24" i="6" l="1"/>
  <c r="J29" i="6"/>
  <c r="K23" i="3"/>
  <c r="K26" i="3"/>
  <c r="L11" i="3" s="1"/>
  <c r="H10" i="7"/>
  <c r="H11" i="7" s="1"/>
  <c r="H18" i="7" s="1"/>
  <c r="H42" i="6"/>
  <c r="H43" i="6" s="1"/>
  <c r="G9" i="8" l="1"/>
  <c r="H32" i="19"/>
  <c r="H34" i="19" s="1"/>
  <c r="H21" i="7"/>
  <c r="H22" i="7" s="1"/>
  <c r="L21" i="3"/>
  <c r="L27" i="3" s="1"/>
  <c r="L28" i="3" s="1"/>
  <c r="K14" i="5"/>
  <c r="K11" i="5"/>
  <c r="K40" i="3"/>
  <c r="K56" i="3" s="1"/>
  <c r="K31" i="3"/>
  <c r="J34" i="6"/>
  <c r="J32" i="6"/>
  <c r="J33" i="6" s="1"/>
  <c r="J36" i="6" s="1"/>
  <c r="J9" i="7" l="1"/>
  <c r="J35" i="6"/>
  <c r="K13" i="6"/>
  <c r="J18" i="19" s="1"/>
  <c r="J24" i="19" s="1"/>
  <c r="J27" i="19" s="1"/>
  <c r="J16" i="7" s="1"/>
  <c r="K10" i="5"/>
  <c r="K50" i="3"/>
  <c r="K53" i="3" s="1"/>
  <c r="K46" i="3" s="1"/>
  <c r="K38" i="3"/>
  <c r="L10" i="3"/>
  <c r="K58" i="3"/>
  <c r="K63" i="3" s="1"/>
  <c r="I30" i="19"/>
  <c r="I39" i="6"/>
  <c r="I40" i="6" s="1"/>
  <c r="G15" i="8"/>
  <c r="G10" i="8"/>
  <c r="I48" i="6" l="1"/>
  <c r="I47" i="6"/>
  <c r="I49" i="6" s="1"/>
  <c r="J46" i="6" s="1"/>
  <c r="I41" i="6"/>
  <c r="C58" i="15"/>
  <c r="D58" i="15" s="1"/>
  <c r="C57" i="15"/>
  <c r="D57" i="15" s="1"/>
  <c r="C56" i="15"/>
  <c r="D56" i="15" s="1"/>
  <c r="C55" i="15"/>
  <c r="D55" i="15" s="1"/>
  <c r="C54" i="15"/>
  <c r="D54" i="15" s="1"/>
  <c r="L20" i="3"/>
  <c r="K23" i="6"/>
  <c r="K55" i="3"/>
  <c r="K57" i="3" s="1"/>
  <c r="K62" i="3" s="1"/>
  <c r="K51" i="3"/>
  <c r="K60" i="3" s="1"/>
  <c r="K66" i="3" s="1"/>
  <c r="K48" i="3"/>
  <c r="K24" i="6" l="1"/>
  <c r="K29" i="6"/>
  <c r="L23" i="3"/>
  <c r="L26" i="3"/>
  <c r="I10" i="7"/>
  <c r="I11" i="7" s="1"/>
  <c r="I18" i="7" s="1"/>
  <c r="I42" i="6"/>
  <c r="I43" i="6" s="1"/>
  <c r="H9" i="8" l="1"/>
  <c r="I32" i="19"/>
  <c r="I34" i="19" s="1"/>
  <c r="I21" i="7"/>
  <c r="I22" i="7" s="1"/>
  <c r="L14" i="5"/>
  <c r="L11" i="5"/>
  <c r="L40" i="3"/>
  <c r="L56" i="3" s="1"/>
  <c r="L31" i="3"/>
  <c r="K34" i="6"/>
  <c r="K32" i="6"/>
  <c r="K33" i="6" s="1"/>
  <c r="K36" i="6" s="1"/>
  <c r="K9" i="7" l="1"/>
  <c r="K35" i="6"/>
  <c r="L13" i="6"/>
  <c r="K18" i="19" s="1"/>
  <c r="L10" i="5"/>
  <c r="L50" i="3"/>
  <c r="L53" i="3" s="1"/>
  <c r="L46" i="3" s="1"/>
  <c r="L38" i="3"/>
  <c r="B12" i="16"/>
  <c r="D12" i="16" s="1"/>
  <c r="L58" i="3"/>
  <c r="L63" i="3" s="1"/>
  <c r="J30" i="19"/>
  <c r="J39" i="6"/>
  <c r="J40" i="6" s="1"/>
  <c r="H15" i="8"/>
  <c r="H10" i="8"/>
  <c r="J48" i="6" l="1"/>
  <c r="J47" i="6"/>
  <c r="J49" i="6" s="1"/>
  <c r="K46" i="6" s="1"/>
  <c r="J41" i="6"/>
  <c r="L23" i="6"/>
  <c r="L55" i="3"/>
  <c r="L51" i="3"/>
  <c r="L60" i="3" s="1"/>
  <c r="L48" i="3"/>
  <c r="K24" i="19"/>
  <c r="K27" i="19" s="1"/>
  <c r="K16" i="7" s="1"/>
  <c r="L18" i="19"/>
  <c r="L24" i="19" s="1"/>
  <c r="L27" i="19" s="1"/>
  <c r="L16" i="7" s="1"/>
  <c r="E54" i="15" l="1"/>
  <c r="E55" i="15"/>
  <c r="E56" i="15"/>
  <c r="E57" i="15"/>
  <c r="E58" i="15"/>
  <c r="L57" i="3"/>
  <c r="L62" i="3" s="1"/>
  <c r="L66" i="3" s="1"/>
  <c r="L24" i="6"/>
  <c r="L29" i="6"/>
  <c r="J10" i="7"/>
  <c r="J11" i="7" s="1"/>
  <c r="J18" i="7" s="1"/>
  <c r="J42" i="6"/>
  <c r="J43" i="6" s="1"/>
  <c r="I9" i="8" l="1"/>
  <c r="J32" i="19"/>
  <c r="J34" i="19" s="1"/>
  <c r="J21" i="7"/>
  <c r="J22" i="7" s="1"/>
  <c r="L34" i="6"/>
  <c r="L32" i="6"/>
  <c r="C19" i="8" l="1"/>
  <c r="L33" i="6"/>
  <c r="L36" i="6" s="1"/>
  <c r="B15" i="16" s="1"/>
  <c r="D15" i="16" s="1"/>
  <c r="L9" i="7"/>
  <c r="L35" i="6"/>
  <c r="K30" i="19"/>
  <c r="K39" i="6"/>
  <c r="K40" i="6" s="1"/>
  <c r="I15" i="8"/>
  <c r="I10" i="8"/>
  <c r="K48" i="6" l="1"/>
  <c r="K47" i="6"/>
  <c r="K49" i="6" s="1"/>
  <c r="L46" i="6" s="1"/>
  <c r="K41" i="6"/>
  <c r="K10" i="7" l="1"/>
  <c r="K11" i="7" s="1"/>
  <c r="K18" i="7" s="1"/>
  <c r="K42" i="6"/>
  <c r="K43" i="6" s="1"/>
  <c r="J9" i="8" l="1"/>
  <c r="K32" i="19"/>
  <c r="K34" i="19" s="1"/>
  <c r="K21" i="7"/>
  <c r="K22" i="7" s="1"/>
  <c r="L30" i="19" l="1"/>
  <c r="L39" i="6"/>
  <c r="L40" i="6" s="1"/>
  <c r="J15" i="8"/>
  <c r="J10" i="8"/>
  <c r="L48" i="6" l="1"/>
  <c r="L47" i="6"/>
  <c r="L49" i="6" s="1"/>
  <c r="L41" i="6"/>
  <c r="L10" i="7" l="1"/>
  <c r="L11" i="7" s="1"/>
  <c r="L18" i="7" s="1"/>
  <c r="L42" i="6"/>
  <c r="L43" i="6" s="1"/>
  <c r="K9" i="8" l="1"/>
  <c r="L32" i="19"/>
  <c r="L34" i="19" s="1"/>
  <c r="L21" i="7"/>
  <c r="L22" i="7" s="1"/>
  <c r="B13" i="16" s="1"/>
  <c r="D13" i="16" s="1"/>
  <c r="C20" i="8" l="1"/>
  <c r="C23" i="8" s="1"/>
  <c r="K15" i="8"/>
  <c r="C30" i="8" s="1"/>
  <c r="K10" i="8"/>
  <c r="F40" i="15" a="1"/>
  <c r="F40" i="15" s="1"/>
  <c r="E40" i="15" a="1"/>
  <c r="E40" i="15" s="1"/>
  <c r="D40" i="15" a="1"/>
  <c r="D40" i="15" s="1"/>
  <c r="C40" i="15" a="1"/>
  <c r="C40" i="15" s="1"/>
  <c r="B40" i="15" a="1"/>
  <c r="B40" i="15" s="1"/>
  <c r="F39" i="15" a="1"/>
  <c r="F39" i="15" s="1"/>
  <c r="E39" i="15" a="1"/>
  <c r="E39" i="15" s="1"/>
  <c r="D39" i="15" a="1"/>
  <c r="D39" i="15" s="1"/>
  <c r="C39" i="15" a="1"/>
  <c r="C39" i="15" s="1"/>
  <c r="B39" i="15" a="1"/>
  <c r="B39" i="15" s="1"/>
  <c r="F38" i="15" a="1"/>
  <c r="F38" i="15" s="1"/>
  <c r="E38" i="15" a="1"/>
  <c r="E38" i="15" s="1"/>
  <c r="D38" i="15" a="1"/>
  <c r="D38" i="15" s="1"/>
  <c r="C38" i="15" a="1"/>
  <c r="C38" i="15" s="1"/>
  <c r="B38" i="15" a="1"/>
  <c r="B38" i="15" s="1"/>
  <c r="F37" i="15" a="1"/>
  <c r="F37" i="15" s="1"/>
  <c r="E37" i="15" a="1"/>
  <c r="E37" i="15" s="1"/>
  <c r="D37" i="15" a="1"/>
  <c r="D37" i="15" s="1"/>
  <c r="C46" i="15" s="1"/>
  <c r="C37" i="15" a="1"/>
  <c r="C37" i="15" s="1"/>
  <c r="B37" i="15" a="1"/>
  <c r="B37" i="15" s="1"/>
  <c r="F36" i="15" a="1"/>
  <c r="F36" i="15" s="1"/>
  <c r="E36" i="15" a="1"/>
  <c r="E36" i="15" s="1"/>
  <c r="D36" i="15" a="1"/>
  <c r="D36" i="15" s="1"/>
  <c r="C36" i="15" a="1"/>
  <c r="C36" i="15" s="1"/>
  <c r="B36" i="15" a="1"/>
  <c r="B36" i="15" s="1"/>
  <c r="H23" i="15" a="1"/>
  <c r="H23" i="15" s="1"/>
  <c r="G23" i="15" a="1"/>
  <c r="G23" i="15" s="1"/>
  <c r="F23" i="15" a="1"/>
  <c r="F23" i="15" s="1"/>
  <c r="E23" i="15" a="1"/>
  <c r="E23" i="15" s="1"/>
  <c r="D23" i="15" a="1"/>
  <c r="D23" i="15" s="1"/>
  <c r="C23" i="15" a="1"/>
  <c r="C23" i="15" s="1"/>
  <c r="B23" i="15" a="1"/>
  <c r="B23" i="15" s="1"/>
  <c r="H22" i="15" a="1"/>
  <c r="H22" i="15" s="1"/>
  <c r="G22" i="15" a="1"/>
  <c r="G22" i="15" s="1"/>
  <c r="F22" i="15" a="1"/>
  <c r="F22" i="15" s="1"/>
  <c r="E22" i="15" a="1"/>
  <c r="E22" i="15" s="1"/>
  <c r="D22" i="15" a="1"/>
  <c r="D22" i="15" s="1"/>
  <c r="C22" i="15" a="1"/>
  <c r="C22" i="15" s="1"/>
  <c r="B22" i="15" a="1"/>
  <c r="B22" i="15" s="1"/>
  <c r="H21" i="15" a="1"/>
  <c r="H21" i="15" s="1"/>
  <c r="G21" i="15" a="1"/>
  <c r="G21" i="15" s="1"/>
  <c r="F21" i="15" a="1"/>
  <c r="F21" i="15" s="1"/>
  <c r="E21" i="15" a="1"/>
  <c r="E21" i="15" s="1"/>
  <c r="D21" i="15" a="1"/>
  <c r="D21" i="15" s="1"/>
  <c r="C21" i="15" a="1"/>
  <c r="C21" i="15" s="1"/>
  <c r="B21" i="15" a="1"/>
  <c r="B21" i="15" s="1"/>
  <c r="H20" i="15" a="1"/>
  <c r="H20" i="15" s="1"/>
  <c r="G20" i="15" a="1"/>
  <c r="G20" i="15" s="1"/>
  <c r="F20" i="15" a="1"/>
  <c r="F20" i="15" s="1"/>
  <c r="E20" i="15" a="1"/>
  <c r="E20" i="15" s="1"/>
  <c r="C45" i="15" s="1"/>
  <c r="D20" i="15" a="1"/>
  <c r="D20" i="15" s="1"/>
  <c r="C20" i="15" a="1"/>
  <c r="C20" i="15" s="1"/>
  <c r="B20" i="15" a="1"/>
  <c r="B20" i="15" s="1"/>
  <c r="H19" i="15" a="1"/>
  <c r="H19" i="15" s="1"/>
  <c r="G19" i="15" a="1"/>
  <c r="G19" i="15" s="1"/>
  <c r="F19" i="15" a="1"/>
  <c r="F19" i="15" s="1"/>
  <c r="E19" i="15" a="1"/>
  <c r="E19" i="15" s="1"/>
  <c r="D19" i="15" a="1"/>
  <c r="D19" i="15" s="1"/>
  <c r="C19" i="15" a="1"/>
  <c r="C19" i="15" s="1"/>
  <c r="B19" i="15" a="1"/>
  <c r="B19" i="15" s="1"/>
  <c r="H18" i="15" a="1"/>
  <c r="H18" i="15" s="1"/>
  <c r="G18" i="15" a="1"/>
  <c r="G18" i="15" s="1"/>
  <c r="F18" i="15" a="1"/>
  <c r="F18" i="15" s="1"/>
  <c r="E18" i="15" a="1"/>
  <c r="E18" i="15" s="1"/>
  <c r="D18" i="15" a="1"/>
  <c r="D18" i="15" s="1"/>
  <c r="C18" i="15" a="1"/>
  <c r="C18" i="15" s="1"/>
  <c r="B18" i="15" a="1"/>
  <c r="B18" i="15" s="1"/>
  <c r="H17" i="15" a="1"/>
  <c r="H17" i="15" s="1"/>
  <c r="G17" i="15" a="1"/>
  <c r="G17" i="15" s="1"/>
  <c r="F17" i="15" a="1"/>
  <c r="F17" i="15" s="1"/>
  <c r="E17" i="15" a="1"/>
  <c r="E17" i="15" s="1"/>
  <c r="D17" i="15" a="1"/>
  <c r="D17" i="15" s="1"/>
  <c r="C17" i="15" a="1"/>
  <c r="C17" i="15" s="1"/>
  <c r="B17" i="15" a="1"/>
  <c r="B17" i="15" s="1"/>
  <c r="H12" i="15" a="1"/>
  <c r="H12" i="15" s="1"/>
  <c r="H73" i="23" s="1"/>
  <c r="G12" i="15" a="1"/>
  <c r="G12" i="15" s="1"/>
  <c r="G73" i="23" s="1"/>
  <c r="F12" i="15" a="1"/>
  <c r="F12" i="15" s="1"/>
  <c r="F73" i="23" s="1"/>
  <c r="E12" i="15" a="1"/>
  <c r="E12" i="15" s="1"/>
  <c r="E73" i="23" s="1"/>
  <c r="D12" i="15" a="1"/>
  <c r="D12" i="15" s="1"/>
  <c r="D73" i="23" s="1"/>
  <c r="C12" i="15" a="1"/>
  <c r="C12" i="15" s="1"/>
  <c r="C73" i="23" s="1"/>
  <c r="B12" i="15" a="1"/>
  <c r="B12" i="15" s="1"/>
  <c r="B73" i="23" s="1"/>
  <c r="H11" i="15" a="1"/>
  <c r="H11" i="15" s="1"/>
  <c r="H72" i="23" s="1"/>
  <c r="G11" i="15" a="1"/>
  <c r="G11" i="15" s="1"/>
  <c r="G72" i="23" s="1"/>
  <c r="F11" i="15" a="1"/>
  <c r="F11" i="15" s="1"/>
  <c r="F72" i="23" s="1"/>
  <c r="E11" i="15" a="1"/>
  <c r="E11" i="15" s="1"/>
  <c r="E72" i="23" s="1"/>
  <c r="D11" i="15" a="1"/>
  <c r="D11" i="15" s="1"/>
  <c r="D72" i="23" s="1"/>
  <c r="C11" i="15" a="1"/>
  <c r="C11" i="15" s="1"/>
  <c r="C72" i="23" s="1"/>
  <c r="B11" i="15" a="1"/>
  <c r="B11" i="15" s="1"/>
  <c r="B72" i="23" s="1"/>
  <c r="H10" i="15" a="1"/>
  <c r="H10" i="15" s="1"/>
  <c r="H71" i="23" s="1"/>
  <c r="G10" i="15" a="1"/>
  <c r="G10" i="15" s="1"/>
  <c r="G71" i="23" s="1"/>
  <c r="F10" i="15" a="1"/>
  <c r="F10" i="15" s="1"/>
  <c r="F71" i="23" s="1"/>
  <c r="E10" i="15" a="1"/>
  <c r="E10" i="15" s="1"/>
  <c r="E71" i="23" s="1"/>
  <c r="D10" i="15" a="1"/>
  <c r="D10" i="15" s="1"/>
  <c r="D71" i="23" s="1"/>
  <c r="C10" i="15" a="1"/>
  <c r="C10" i="15" s="1"/>
  <c r="C71" i="23" s="1"/>
  <c r="B10" i="15" a="1"/>
  <c r="B10" i="15" s="1"/>
  <c r="B71" i="23" s="1"/>
  <c r="H9" i="15" a="1"/>
  <c r="H9" i="15" s="1"/>
  <c r="H70" i="23" s="1"/>
  <c r="G9" i="15" a="1"/>
  <c r="G9" i="15" s="1"/>
  <c r="G70" i="23" s="1"/>
  <c r="F9" i="15" a="1"/>
  <c r="F9" i="15" s="1"/>
  <c r="F70" i="23" s="1"/>
  <c r="E9" i="15" a="1"/>
  <c r="E9" i="15" s="1"/>
  <c r="D9" i="15" a="1"/>
  <c r="D9" i="15" s="1"/>
  <c r="D70" i="23" s="1"/>
  <c r="C9" i="15" a="1"/>
  <c r="C9" i="15" s="1"/>
  <c r="C70" i="23" s="1"/>
  <c r="B9" i="15" a="1"/>
  <c r="B9" i="15" s="1"/>
  <c r="B70" i="23" s="1"/>
  <c r="H8" i="15" a="1"/>
  <c r="H8" i="15" s="1"/>
  <c r="H69" i="23" s="1"/>
  <c r="G8" i="15" a="1"/>
  <c r="G8" i="15" s="1"/>
  <c r="G69" i="23" s="1"/>
  <c r="F8" i="15" a="1"/>
  <c r="F8" i="15" s="1"/>
  <c r="F69" i="23" s="1"/>
  <c r="E8" i="15" a="1"/>
  <c r="E8" i="15" s="1"/>
  <c r="E69" i="23" s="1"/>
  <c r="D8" i="15" a="1"/>
  <c r="D8" i="15" s="1"/>
  <c r="D69" i="23" s="1"/>
  <c r="C8" i="15" a="1"/>
  <c r="C8" i="15" s="1"/>
  <c r="C69" i="23" s="1"/>
  <c r="B8" i="15" a="1"/>
  <c r="B8" i="15" s="1"/>
  <c r="B69" i="23" s="1"/>
  <c r="H7" i="15" a="1"/>
  <c r="H7" i="15" s="1"/>
  <c r="H68" i="23" s="1"/>
  <c r="G7" i="15" a="1"/>
  <c r="G7" i="15" s="1"/>
  <c r="G68" i="23" s="1"/>
  <c r="F7" i="15" a="1"/>
  <c r="F7" i="15" s="1"/>
  <c r="F68" i="23" s="1"/>
  <c r="E7" i="15" a="1"/>
  <c r="E7" i="15" s="1"/>
  <c r="E68" i="23" s="1"/>
  <c r="D7" i="15" a="1"/>
  <c r="D7" i="15" s="1"/>
  <c r="D68" i="23" s="1"/>
  <c r="C7" i="15" a="1"/>
  <c r="C7" i="15" s="1"/>
  <c r="C68" i="23" s="1"/>
  <c r="B7" i="15" a="1"/>
  <c r="B7" i="15" s="1"/>
  <c r="B68" i="23" s="1"/>
  <c r="H6" i="15" a="1"/>
  <c r="H6" i="15" s="1"/>
  <c r="H67" i="23" s="1"/>
  <c r="G6" i="15" a="1"/>
  <c r="G6" i="15" s="1"/>
  <c r="G67" i="23" s="1"/>
  <c r="F6" i="15" a="1"/>
  <c r="F6" i="15" s="1"/>
  <c r="F67" i="23" s="1"/>
  <c r="E6" i="15" a="1"/>
  <c r="E6" i="15" s="1"/>
  <c r="E67" i="23" s="1"/>
  <c r="D6" i="15" a="1"/>
  <c r="D6" i="15" s="1"/>
  <c r="D67" i="23" s="1"/>
  <c r="C6" i="15" a="1"/>
  <c r="C6" i="15" s="1"/>
  <c r="C67" i="23" s="1"/>
  <c r="B6" i="15" a="1"/>
  <c r="B6" i="15" s="1"/>
  <c r="H248" i="2" l="1"/>
  <c r="D248" i="2"/>
  <c r="D44" i="15"/>
  <c r="B44" i="15"/>
  <c r="E44" i="15" s="1"/>
  <c r="B67" i="23"/>
  <c r="C44" i="15"/>
  <c r="E70" i="23"/>
  <c r="D45" i="15"/>
  <c r="B45" i="15"/>
  <c r="E45" i="15" s="1"/>
  <c r="D46" i="15"/>
  <c r="B46" i="15"/>
  <c r="E46" i="15" s="1"/>
  <c r="B22" i="23"/>
  <c r="C25" i="8"/>
  <c r="C26" i="8" s="1"/>
  <c r="C24" i="8"/>
  <c r="B9" i="16" l="1"/>
  <c r="D9" i="16" s="1"/>
  <c r="C31" i="8"/>
  <c r="C27" i="8"/>
  <c r="G22" i="23"/>
  <c r="C22" i="23"/>
  <c r="B8" i="16" l="1"/>
  <c r="D8" i="16" s="1"/>
  <c r="A3" i="8"/>
  <c r="H249" i="2"/>
  <c r="D249" i="2"/>
  <c r="F23" i="23"/>
  <c r="B21" i="16"/>
  <c r="B20" i="16"/>
  <c r="C55" i="1" s="1"/>
  <c r="B19" i="16"/>
  <c r="C54" i="1" s="1"/>
  <c r="B18" i="16"/>
  <c r="B23" i="23"/>
  <c r="C32" i="8"/>
  <c r="H250" i="2" l="1"/>
  <c r="D250" i="2"/>
  <c r="C35" i="8"/>
  <c r="C38" i="8" s="1"/>
  <c r="B24" i="23"/>
  <c r="C36" i="1"/>
  <c r="E80" i="15"/>
  <c r="D80" i="15"/>
  <c r="E78" i="15"/>
  <c r="D78" i="15"/>
  <c r="E79" i="15"/>
  <c r="D79" i="15"/>
  <c r="E81" i="15"/>
  <c r="D81" i="15"/>
  <c r="E82" i="15"/>
  <c r="D82" i="15"/>
  <c r="E83" i="15"/>
  <c r="D83" i="15"/>
  <c r="G23" i="23"/>
  <c r="C23" i="23"/>
  <c r="C24" i="23" s="1"/>
  <c r="B22" i="16"/>
  <c r="C57" i="1" s="1"/>
  <c r="C56" i="1"/>
  <c r="H253" i="2" l="1"/>
  <c r="A48" i="15"/>
  <c r="C25" i="23"/>
  <c r="I24" i="23"/>
  <c r="G83" i="15"/>
  <c r="F83" i="15"/>
  <c r="G82" i="15"/>
  <c r="F82" i="15"/>
  <c r="G81" i="15"/>
  <c r="F81" i="15"/>
  <c r="G79" i="15"/>
  <c r="F79" i="15"/>
  <c r="G78" i="15"/>
  <c r="F78" i="15"/>
  <c r="G80" i="15"/>
  <c r="F80" i="15"/>
  <c r="C50" i="8"/>
  <c r="C53" i="8" s="1"/>
  <c r="C46" i="1" s="1"/>
  <c r="C40" i="8"/>
  <c r="B27" i="23"/>
  <c r="C39" i="1"/>
  <c r="A2" i="15" l="1"/>
  <c r="A2" i="8"/>
  <c r="C47" i="1"/>
  <c r="H260" i="2"/>
  <c r="H257" i="2"/>
  <c r="I257" i="2" s="1"/>
  <c r="I253" i="2"/>
  <c r="I58" i="15"/>
  <c r="J58" i="15" s="1"/>
  <c r="I57" i="15"/>
  <c r="J57" i="15" s="1"/>
  <c r="I56" i="15"/>
  <c r="J56" i="15" s="1"/>
  <c r="I55" i="15"/>
  <c r="J55" i="15" s="1"/>
  <c r="I54" i="15"/>
  <c r="J54" i="15" s="1"/>
  <c r="B10" i="21"/>
  <c r="B110" i="21" s="1"/>
  <c r="C40" i="1"/>
  <c r="A85" i="15"/>
  <c r="F26" i="23"/>
  <c r="C26" i="23"/>
  <c r="C27" i="23" s="1"/>
  <c r="F25" i="23"/>
  <c r="F28" i="23" l="1"/>
  <c r="C28" i="23"/>
  <c r="I27" i="23"/>
  <c r="B111" i="21"/>
  <c r="B112" i="21"/>
  <c r="B113" i="21" s="1"/>
  <c r="C29" i="23" l="1"/>
  <c r="I29" i="23" s="1"/>
  <c r="B29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  <author>Landon Brice</author>
  </authors>
  <commentList>
    <comment ref="A2" authorId="0" shapeId="0" xr:uid="{DD07C2BA-E2AE-B14B-8F71-3F4229A95471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equal 1.00. Conditional format flags red if weights don't sum to unity.</t>
        </r>
      </text>
    </comment>
    <comment ref="D11" authorId="1" shapeId="0" xr:uid="{C49ED1DF-25B7-4EC2-A534-A6A648FAA384}">
      <text>
        <r>
          <rPr>
            <sz val="11"/>
            <color rgb="FF000000"/>
            <rFont val="Calibri"/>
            <family val="2"/>
          </rPr>
          <t>Base: linked to ARPU!D10 (year-specific bottoms-up). DO NOT hardcode — changes to tier mix or add-on attach on the ARPU tab must propagate here. TODO: Bear/Bull at C11/E11 are still $ overrides; rebuild as tier-mix + attach scenarios in a follow-up pass (Item 1b).</t>
        </r>
      </text>
    </comment>
    <comment ref="C39" authorId="1" shapeId="0" xr:uid="{F24EE6C8-DB2D-4E32-BFB0-481F60541CED}">
      <text>
        <r>
          <rPr>
            <sz val="11"/>
            <color theme="1"/>
            <rFont val="Calibri"/>
            <family val="2"/>
            <scheme val="minor"/>
          </rPr>
          <t>REMEDIATION (R&amp;D floor): Bear R&amp;D terminal raised 12%→13%. Garmin-anchored floor; commodity-device path still requires structural sensor + AI investment.</t>
        </r>
      </text>
    </comment>
    <comment ref="D39" authorId="1" shapeId="0" xr:uid="{9B0AC414-2FD2-4A20-8709-7052841012F2}">
      <text>
        <r>
          <rPr>
            <sz val="11"/>
            <color rgb="FF000000"/>
            <rFont val="Calibri"/>
            <family val="2"/>
          </rPr>
          <t>REMEDIATION (R&amp;D floor): Base R&amp;D terminal raised 15%→16%. WHOOP is hardware/software/AI/healthcare — sensor iteration, AI models, Labs platform, regulatory all structural. 15% was a hard floor; 16% is honest target. Above Adobe (17% slightly), in line with Salesforce (16%), above Garmin (14%).</t>
        </r>
      </text>
    </comment>
    <comment ref="E39" authorId="1" shapeId="0" xr:uid="{664E147F-774B-48A0-A4AF-D5DFBBAAA808}">
      <text>
        <r>
          <rPr>
            <sz val="11"/>
            <color rgb="FF000000"/>
            <rFont val="Calibri"/>
            <family val="2"/>
          </rPr>
          <t>REMEDIATION (R&amp;D floor): Bull R&amp;D terminal raised 18%→19%. Dexcom-plus thesis: continuous sensor/AI investment is the moat at platform-stage maturity.</t>
        </r>
      </text>
    </comment>
    <comment ref="C45" authorId="1" shapeId="0" xr:uid="{8730474C-3835-4AD2-B916-8B752657C500}">
      <text>
        <r>
          <rPr>
            <sz val="11"/>
            <color theme="1"/>
            <rFont val="Calibri"/>
            <family val="2"/>
            <scheme val="minor"/>
          </rPr>
          <t>BEAR G&amp;A terminal: 13% — inefficient global org, healthcare compliance overhead. Above iRhythm 14% but below early-stage.</t>
        </r>
      </text>
    </comment>
    <comment ref="D45" authorId="1" shapeId="0" xr:uid="{BFBC1A7F-FC1D-45E9-A6A0-A1C54D489ADC}">
      <text>
        <r>
          <rPr>
            <sz val="11"/>
            <color theme="1"/>
            <rFont val="Calibri"/>
            <family val="2"/>
            <scheme val="minor"/>
          </rPr>
          <t>BASE G&amp;A terminal: 11% — Dexcom benchmark; reflects multi-jurisdiction regulated public co with healthcare partnerships.</t>
        </r>
      </text>
    </comment>
    <comment ref="E45" authorId="1" shapeId="0" xr:uid="{D5B2855B-0A74-4E87-AFFF-93284FAF70EC}">
      <text>
        <r>
          <rPr>
            <sz val="11"/>
            <color theme="1"/>
            <rFont val="Calibri"/>
            <family val="2"/>
            <scheme val="minor"/>
          </rPr>
          <t>BULL G&amp;A terminal: 9% — ResMed-like efficiency. Achievable but aspirational for a regulated global health platform.</t>
        </r>
      </text>
    </comment>
    <comment ref="C46" authorId="1" shapeId="0" xr:uid="{75A666E5-4974-46C8-89E4-F37D0E8E3936}">
      <text>
        <r>
          <rPr>
            <sz val="11"/>
            <color theme="1"/>
            <rFont val="Calibri"/>
            <family val="2"/>
            <scheme val="minor"/>
          </rPr>
          <t>BEAR SBC current: 16% — pre-IPO unicorn norm 12-18%. Aggressive grant pace from 600+ planned hires.</t>
        </r>
      </text>
    </comment>
    <comment ref="D46" authorId="1" shapeId="0" xr:uid="{472C5778-4274-4AC9-B059-4E23F622469E}">
      <text>
        <r>
          <rPr>
            <sz val="11"/>
            <color theme="1"/>
            <rFont val="Calibri"/>
            <family val="2"/>
            <scheme val="minor"/>
          </rPr>
          <t>BASE SBC current: 14% — mid-range pre-IPO.</t>
        </r>
      </text>
    </comment>
    <comment ref="E46" authorId="1" shapeId="0" xr:uid="{ACC962E2-E8FD-44AA-B644-EB6A18953B98}">
      <text>
        <r>
          <rPr>
            <sz val="11"/>
            <color theme="1"/>
            <rFont val="Calibri"/>
            <family val="2"/>
            <scheme val="minor"/>
          </rPr>
          <t>BULL SBC current: 12% — lower end of pre-IPO range; suggests disciplined granting.</t>
        </r>
      </text>
    </comment>
    <comment ref="C47" authorId="1" shapeId="0" xr:uid="{F61BA9F7-5815-4581-88A3-966D0268F258}">
      <text>
        <r>
          <rPr>
            <sz val="11"/>
            <color rgb="FF000000"/>
            <rFont val="Calibri"/>
            <family val="2"/>
          </rPr>
          <t>REMEDIATION (SBC terminal): Bear SBC terminal raised 10%→13%. Tech companies at WHOOP scale rarely run SBC below 10%; Bear reflects slow-scaling discipline failure (above iRhythm 13%).</t>
        </r>
      </text>
    </comment>
    <comment ref="D47" authorId="1" shapeId="0" xr:uid="{2A9DA7AD-87CC-4F89-8474-AB9D53B99F36}">
      <text>
        <r>
          <rPr>
            <sz val="11"/>
            <color theme="1"/>
            <rFont val="Calibri"/>
            <family val="2"/>
            <scheme val="minor"/>
          </rPr>
          <t>REMEDIATION (SBC terminal): Base SBC terminal raised 8%→11%. Mid-range Salesforce (14%) / Adobe (12%); 8% was achievable only at Microsoft-class scale or post-decade-of-discipline. 11% is honest for a public health-data co at WHOOP’s scale.</t>
        </r>
      </text>
    </comment>
    <comment ref="E47" authorId="1" shapeId="0" xr:uid="{A39F8ADF-A92F-4DA3-929A-41F445A70D5E}">
      <text>
        <r>
          <rPr>
            <sz val="11"/>
            <color theme="1"/>
            <rFont val="Calibri"/>
            <family val="2"/>
            <scheme val="minor"/>
          </rPr>
          <t>REMEDIATION (SBC terminal): Bull SBC terminal raised 6%→8%. Spotify/ResMed range; disciplined granting at scale but not Microsoft-tier.</t>
        </r>
      </text>
    </comment>
    <comment ref="C66" authorId="1" shapeId="0" xr:uid="{892B3EE0-CAA8-4155-9BFD-97E2735E9489}">
      <text>
        <r>
          <rPr>
            <sz val="11"/>
            <color theme="1"/>
            <rFont val="Calibri"/>
            <family val="2"/>
            <scheme val="minor"/>
          </rPr>
          <t>Bear: rates fall to ~2.5% with Fed cuts. Conservative.</t>
        </r>
      </text>
    </comment>
    <comment ref="D66" authorId="1" shapeId="0" xr:uid="{2279693B-D0FB-4747-ADE8-3C660232F4B6}">
      <text>
        <r>
          <rPr>
            <sz val="11"/>
            <color theme="1"/>
            <rFont val="Calibri"/>
            <family val="2"/>
            <scheme val="minor"/>
          </rPr>
          <t>Base: ~3.5% — institutional money market / Treasury bill yields. SOFR proxy.</t>
        </r>
      </text>
    </comment>
    <comment ref="E66" authorId="1" shapeId="0" xr:uid="{FE2FEEEA-3CFC-4EDA-9FED-3A979061923F}">
      <text>
        <r>
          <rPr>
            <sz val="11"/>
            <color theme="1"/>
            <rFont val="Calibri"/>
            <family val="2"/>
            <scheme val="minor"/>
          </rPr>
          <t>Bull: ~4.5% — elevated rates persist; corporate cash earns at upper end.</t>
        </r>
      </text>
    </comment>
    <comment ref="C94" authorId="1" shapeId="0" xr:uid="{3BE072CE-098D-4DE8-94D4-842766F4D572}">
      <text>
        <r>
          <rPr>
            <sz val="11"/>
            <color theme="1"/>
            <rFont val="Calibri"/>
            <family val="2"/>
            <scheme val="minor"/>
          </rPr>
          <t>Source: Football Field!D61 — Bear case = 25th percentile step-up (1.31x) from reference class of 5 comps (Peloton, Oscar, GoPro, Hims, Allbirds; Fitbit excluded as outlier). Empirical anchor replaces assumed-IRR backsolve.</t>
        </r>
      </text>
    </comment>
    <comment ref="D94" authorId="1" shapeId="0" xr:uid="{B62C1761-0978-4661-B5F7-15BD8445B042}">
      <text>
        <r>
          <rPr>
            <sz val="11"/>
            <color theme="1"/>
            <rFont val="Calibri"/>
            <family val="2"/>
            <scheme val="minor"/>
          </rPr>
          <t>Source: Football Field!D62 — Base case = median step-up (1.45x) from reference class. Annualized IRR median ~25% (validates the original IRR assumption empirically rather than asserting it).</t>
        </r>
      </text>
    </comment>
    <comment ref="E94" authorId="1" shapeId="0" xr:uid="{DE5E6360-B80D-4F19-BBE6-386032E52E8F}">
      <text>
        <r>
          <rPr>
            <sz val="11"/>
            <color theme="1"/>
            <rFont val="Calibri"/>
            <family val="2"/>
            <scheme val="minor"/>
          </rPr>
          <t>Source: Football Field!D63 — Bull case = 75th percentile step-up (1.95x). Anchored to Peloton's Series F→IPO step-up, the closest WHOOP analog.</t>
        </r>
      </text>
    </comment>
    <comment ref="D118" authorId="1" shapeId="0" xr:uid="{13F734D6-0765-4C33-B971-2491AAD2673F}">
      <text>
        <r>
          <rPr>
            <sz val="11"/>
            <color theme="1"/>
            <rFont val="Calibri"/>
            <family val="2"/>
            <scheme val="minor"/>
          </rPr>
          <t>ORPHANED diagnostic: was driver pre-member-anchored framework (Item 2). Now derived at Members!E31 via membership identity (Δ Ending + Churned). Displayed here for audit-trail continuity. Active scenario only — Bear/Bull no longer meaningful at this row.</t>
        </r>
      </text>
    </comment>
    <comment ref="D119" authorId="1" shapeId="0" xr:uid="{B35B756A-6025-4C81-87AE-E33E849C0405}">
      <text>
        <r>
          <rPr>
            <sz val="11"/>
            <color theme="1"/>
            <rFont val="Calibri"/>
            <family val="2"/>
            <scheme val="minor"/>
          </rPr>
          <t>ORPHANED diagnostic: see D119 note. 2027 derived gross adds.</t>
        </r>
      </text>
    </comment>
    <comment ref="C124" authorId="1" shapeId="0" xr:uid="{46B8AAE3-5ED8-455D-B5BF-7DC506A465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$50→$210M (Bear). Sustains S&amp;M-of-revenue ~14% terminal (vs prior ~9%) — peer-anchored to mature consumer-subscription brand spend. Bear case: leaner brand at ~5% of 2033 revenue ($4.0B). Layer 5 calibration narrative replaced by Layer 6 (EBITDA remediation per spec).</t>
        </r>
      </text>
    </comment>
    <comment ref="D124" authorId="1" shapeId="0" xr:uid="{57802573-942F-49A6-A0B5-3134B2B59F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$130→$335M (Base). Sustains S&amp;M-of-revenue ~15% terminal (vs prior 10.3%) — Spotify ~11% floor + ~400bps drag for hardware/healthcare. Variable S&amp;M architecture (Gross Adds × CAC) was structurally producing sub-Spotify intensity at terminal because gross adds decelerate while revenue compounds. Brand $ is the lever that scales independently. $335M = 7.6% of 2033 revenue ($4.4B), defensible vs Peloton peak (~$400M brand) and Spotify (~$1B brand at maturity). See CalibrationLog row for Layer 6 spec.</t>
        </r>
      </text>
    </comment>
    <comment ref="E124" authorId="1" shapeId="0" xr:uid="{D6BEE50E-ED0E-42CE-BC18-DC8D4AE3C994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$150→$420M (Bull). Aggressive Series G deployment toward category-defining brand spend; sustains S&amp;M-of-revenue ~16% terminal (vs prior ~9%). Bull thesis: WHOOP achieves Peloton-2020-peak brand presence at scale.</t>
        </r>
      </text>
    </comment>
    <comment ref="I136" authorId="1" shapeId="0" xr:uid="{D6C5EAE7-B3CA-4F1B-88FA-E95489DD2379}">
      <text>
        <r>
          <rPr>
            <sz val="11"/>
            <color theme="1"/>
            <rFont val="Calibri"/>
            <family val="2"/>
            <scheme val="minor"/>
          </rPr>
          <t>Source: BusinessWire 9/30/2025 launch press release. 350K waitlist disclosed; member count from Series G.</t>
        </r>
      </text>
    </comment>
    <comment ref="I137" authorId="1" shapeId="0" xr:uid="{43FD3CF9-DC09-476F-B29D-A009C9793098}">
      <text>
        <r>
          <rPr>
            <sz val="11"/>
            <color theme="1"/>
            <rFont val="Calibri"/>
            <family val="2"/>
            <scheme val="minor"/>
          </rPr>
          <t>Source: BusinessWire WHOOP press release 9/30/2025. https://www.businesswire.com/news/home/20250930178710/en/</t>
        </r>
      </text>
    </comment>
    <comment ref="B150" authorId="1" shapeId="0" xr:uid="{1BB55DBB-53B4-414D-98FC-C4D51E28CF97}">
      <text>
        <r>
          <rPr>
            <sz val="11"/>
            <color theme="1"/>
            <rFont val="Calibri"/>
            <family val="2"/>
            <scheme val="minor"/>
          </rPr>
          <t>Captures BOTH subscription delivery cost AND hardware giveaway as cost-of-revenue. Hardware is given free with the service, so it's bundled here per GAAP-aligned treatment of free hardware in service contracts. Calibrated to reflect total cost (sub COGS + hardware load) divided by sub revenue. NOT a 'mix' — there's no hardware revenue.</t>
        </r>
      </text>
    </comment>
    <comment ref="B151" authorId="1" shapeId="0" xr:uid="{AED60DEF-89C7-42AE-B9A2-4E45608FB7C8}">
      <text>
        <r>
          <rPr>
            <sz val="11"/>
            <color rgb="FF000000"/>
            <rFont val="Calibri"/>
            <family val="2"/>
          </rPr>
          <t>Terminal blended COGS%. Lower than 2026 because hardware load shrinks relative to revenue at scale.</t>
        </r>
      </text>
    </comment>
    <comment ref="C162" authorId="1" shapeId="0" xr:uid="{3805E9A5-72BA-410A-B175-DD0E3D907391}">
      <text>
        <r>
          <rPr>
            <sz val="11"/>
            <color theme="1"/>
            <rFont val="Calibri"/>
            <family val="2"/>
            <scheme val="minor"/>
          </rPr>
          <t>BEAR 2027: 19% — heavy grant acceleration + slow lockup; aggressive dilution.</t>
        </r>
      </text>
    </comment>
    <comment ref="D162" authorId="1" shapeId="0" xr:uid="{3CDF0B1D-2215-403F-A3EF-02671098AA41}">
      <text>
        <r>
          <rPr>
            <sz val="11"/>
            <color theme="1"/>
            <rFont val="Calibri"/>
            <family val="2"/>
            <scheme val="minor"/>
          </rPr>
          <t>BASE 2027: 17% — +400bps over smooth taper (13.1%) for grant acceleration, retention refresh, ESPP launch. Mid-range vs Snowflake +1200, Airbnb +700, Coinbase +1000.</t>
        </r>
      </text>
    </comment>
    <comment ref="E162" authorId="1" shapeId="0" xr:uid="{81428B28-8BF5-4233-84D6-3D0D087249EE}">
      <text>
        <r>
          <rPr>
            <sz val="11"/>
            <color theme="1"/>
            <rFont val="Calibri"/>
            <family val="2"/>
            <scheme val="minor"/>
          </rPr>
          <t>BULL 2027: 15% — disciplined granting; modest IPO premium only.</t>
        </r>
      </text>
    </comment>
    <comment ref="C163" authorId="1" shapeId="0" xr:uid="{DB2C7333-26C8-481D-BD7D-5DB1C06AFC71}">
      <text>
        <r>
          <rPr>
            <sz val="11"/>
            <color theme="1"/>
            <rFont val="Calibri"/>
            <family val="2"/>
            <scheme val="minor"/>
          </rPr>
          <t>BEAR 2028: 17% — lockup-expiry refresh + retention top-ups; slow normalization.</t>
        </r>
      </text>
    </comment>
    <comment ref="D163" authorId="1" shapeId="0" xr:uid="{09AB9B49-00BB-4492-B7AF-7FECCBEB87F9}">
      <text>
        <r>
          <rPr>
            <sz val="11"/>
            <color theme="1"/>
            <rFont val="Calibri"/>
            <family val="2"/>
            <scheme val="minor"/>
          </rPr>
          <t>BASE 2028: 15% — +275bps over smooth taper (12.3%) for post-lockup refresh + ESPP. Begin convergence back to taper.</t>
        </r>
      </text>
    </comment>
    <comment ref="E163" authorId="1" shapeId="0" xr:uid="{318F01AC-8CFB-4B1B-9EA8-14B0BF312575}">
      <text>
        <r>
          <rPr>
            <sz val="11"/>
            <color theme="1"/>
            <rFont val="Calibri"/>
            <family val="2"/>
            <scheme val="minor"/>
          </rPr>
          <t>BULL 2028: 13% — IPO bump fades quickly.</t>
        </r>
      </text>
    </comment>
    <comment ref="C167" authorId="1" shapeId="0" xr:uid="{7D9D962C-FAFD-4920-8B2A-862AFAB92DFA}">
      <text>
        <r>
          <rPr>
            <sz val="11"/>
            <color theme="1"/>
            <rFont val="Calibri"/>
            <family val="2"/>
            <scheme val="minor"/>
          </rPr>
          <t>Bear: capital-trimmed deployment + slower trial-to-paid conversion. ~50% of Base.</t>
        </r>
      </text>
    </comment>
    <comment ref="D167" authorId="1" shapeId="0" xr:uid="{26588BBE-30CE-450F-91C4-6DA345BFF198}">
      <text>
        <r>
          <rPr>
            <sz val="11"/>
            <color rgb="FF000000"/>
            <rFont val="Calibri"/>
            <family val="2"/>
          </rPr>
          <t>Base: 114% → 50% reflects normalization of WHOOP 4.0 launch cohort + measured Series G ramp. NOT company maturation. Triangulated to Member Thesis Lens C.</t>
        </r>
      </text>
    </comment>
    <comment ref="E167" authorId="1" shapeId="0" xr:uid="{D8EB3DD2-7D2D-4110-9966-739168FB3743}">
      <text>
        <r>
          <rPr>
            <sz val="11"/>
            <color rgb="FF000000"/>
            <rFont val="Calibri"/>
            <family val="2"/>
          </rPr>
          <t>Bull: full Series G deployment + brand step-fn from launch carryover.</t>
        </r>
      </text>
    </comment>
    <comment ref="D169" authorId="1" shapeId="0" xr:uid="{48587740-95B1-4B72-A8EF-4F03B1039CC1}">
      <text>
        <r>
          <rPr>
            <sz val="11"/>
            <color theme="1"/>
            <rFont val="Calibri"/>
            <family val="2"/>
            <scheme val="minor"/>
          </rPr>
          <t>2028 = Peloton-stage IPO+1 transition; growth phase begins</t>
        </r>
      </text>
    </comment>
    <comment ref="D172" authorId="1" shapeId="0" xr:uid="{12C4A94A-23CD-428E-9DEF-EF91C83AE9DC}">
      <text>
        <r>
          <rPr>
            <sz val="11"/>
            <color theme="1"/>
            <rFont val="Calibri"/>
            <family val="2"/>
            <scheme val="minor"/>
          </rPr>
          <t>2031 = Phase 3 transition; saturation begins to drag CAC up but cohort base inflates absolute gross adds</t>
        </r>
      </text>
    </comment>
    <comment ref="F176" authorId="1" shapeId="0" xr:uid="{11D50B97-9AFA-4557-8DD4-F04210DF62F6}">
      <text>
        <r>
          <rPr>
            <sz val="11"/>
            <color theme="1"/>
            <rFont val="Calibri"/>
            <family val="2"/>
            <scheme val="minor"/>
          </rPr>
          <t>Derived ending = 2.5M anchor compounded through 8 years of YoY growth. Wires to Members!E34:L34 in Layer 3.</t>
        </r>
      </text>
    </comment>
    <comment ref="F177" authorId="1" shapeId="0" xr:uid="{03C3FCD8-BFCC-4D2E-A935-0F2DDD5584E4}">
      <text>
        <r>
          <rPr>
            <sz val="11"/>
            <color theme="1"/>
            <rFont val="Calibri"/>
            <family val="2"/>
            <scheme val="minor"/>
          </rPr>
          <t>Active scenario's compounded ending vs. Member Thesis median across four lenses (B20). Should be within ±15% — if larger, the chosen trajectory has lost triangulation.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</authors>
  <commentList>
    <comment ref="B6" authorId="0" shapeId="0" xr:uid="{F214B97B-2B7C-8648-AA17-3BCD222B833F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Anchored to current PA member count (~2.4-2.5M based on Series G disclosure March 2026).</t>
        </r>
      </text>
    </comment>
    <comment ref="B7" authorId="0" shapeId="0" xr:uid="{FF11DD2E-F8C7-AC48-BB23-D7002668E82E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Live link to Assumptions!F11.</t>
        </r>
      </text>
    </comment>
    <comment ref="B8" authorId="0" shapeId="0" xr:uid="{C46443CD-EF8B-094B-B02C-EE0CE6A974A4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post-money March 2026, Pitchbook + press.</t>
        </r>
      </text>
    </comment>
    <comment ref="B9" authorId="0" shapeId="0" xr:uid="{937EE7AC-796B-CD44-BFF0-CC5654B91BE9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mark used as DCF benchmark.</t>
        </r>
      </text>
    </comment>
    <comment ref="B10" authorId="0" shapeId="0" xr:uid="{66D4364C-AEC1-AE4B-A961-325DD772678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Live link to DCF C40.</t>
        </r>
      </text>
    </comment>
    <comment ref="C20" authorId="0" shapeId="0" xr:uid="{398AE4F2-E87C-274C-934B-36DE0D7B42EB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Coefficient of variation across the four lenses. &lt;10% tight; 10-20% acceptable; &gt;20% diverge.</t>
        </r>
      </text>
    </comment>
    <comment ref="D27" authorId="0" shapeId="0" xr:uid="{E028BE83-C063-AF4F-A9F9-563BDFDAAF3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F27" authorId="0" shapeId="0" xr:uid="{D349652F-7CF1-1B43-BE57-A4AA1C99CDD0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B92" authorId="0" shapeId="0" xr:uid="{D5C42573-1160-B844-ACFE-4A1E281B70AE}">
      <text>
        <r>
          <rPr>
            <sz val="11"/>
            <color theme="1"/>
            <rFont val="Calibri"/>
            <family val="2"/>
            <scheme val="minor"/>
          </rPr>
          <t/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E31" authorId="0" shapeId="0" xr:uid="{05631980-EB4B-4574-ABFD-47D6820A8870}">
      <text>
        <r>
          <rPr>
            <sz val="11"/>
            <color theme="1"/>
            <rFont val="Calibri"/>
            <family val="2"/>
            <scheme val="minor"/>
          </rPr>
          <t>Gross Adds DERIVED via membership identity: Δ Ending Members + Total Churned. Under member-anchored framework, Ending is the driver (row 34); Gross Adds falls out as residual. Replaces prior Phase 1 hardcode + Phase 2-3 S&amp;M÷CAC formula.</t>
        </r>
      </text>
    </comment>
    <comment ref="E34" authorId="0" shapeId="0" xr:uid="{C7A123DE-C14A-4282-AB38-B0E48F7CD388}">
      <text>
        <r>
          <rPr>
            <sz val="11"/>
            <color rgb="FF000000"/>
            <rFont val="Calibri"/>
            <family val="2"/>
          </rPr>
          <t xml:space="preserve">Ending Members 2026 = prior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(1 + YoY trajectory), HARD-CAPPED at 45% of TAM. Cap inactive at Base/Bear; binds in Bull case at Phase 3. Layer 5 row 65 flags when cap engages.</t>
        </r>
      </text>
    </comment>
    <comment ref="D46" authorId="0" shapeId="0" xr:uid="{11AD4866-A1A5-4394-9818-33466F526430}">
      <text>
        <r>
          <rPr>
            <sz val="11"/>
            <color theme="1"/>
            <rFont val="Calibri"/>
            <family val="2"/>
            <scheme val="minor"/>
          </rPr>
          <t>2025 S&amp;M back-solve: ~30% of $650M revenue. Hardcoded historical anchor.</t>
        </r>
      </text>
    </comment>
    <comment ref="E46" authorId="0" shapeId="0" xr:uid="{1B6A4946-6B40-463C-AC20-578A6015FAD9}">
      <text>
        <r>
          <rPr>
            <sz val="11"/>
            <color theme="1"/>
            <rFont val="Calibri"/>
            <family val="2"/>
            <scheme val="minor"/>
          </rPr>
          <t>Total S&amp;M = Variable (row 54, Adds×CAC) + Brand (row 55, fixed). P&amp;L pulls from this row. Hardware giveaway stays in COGS (sub + hardware bundled in blended COGS%) per GAAP-aligned treatment of free hardware in subscription contracts.</t>
        </r>
      </text>
    </comment>
    <comment ref="F46" authorId="0" shapeId="0" xr:uid="{6D2D1D76-55A6-45CD-AAD6-5CA896B43AED}">
      <text>
        <r>
          <rPr>
            <sz val="11"/>
            <color theme="1"/>
            <rFont val="Calibri"/>
            <family val="2"/>
            <scheme val="minor"/>
          </rPr>
          <t>PHASE 1 (2027): S&amp;M $ DERIVED = Gross Adds Target × Blended CAC.</t>
        </r>
      </text>
    </comment>
    <comment ref="G46" authorId="0" shapeId="0" xr:uid="{BF765D63-D061-430D-9402-BB76AA7FF186}">
      <text>
        <r>
          <rPr>
            <sz val="11"/>
            <color rgb="FF000000"/>
            <rFont val="Calibri"/>
            <family val="2"/>
          </rPr>
          <t xml:space="preserve">S&amp;M $ = Gross Adds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CAC (was Revenue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S&amp;M% pre-refactor). Phase 2-3 now uses same logic as Phase 1.</t>
        </r>
      </text>
    </comment>
    <comment ref="A47" authorId="0" shapeId="0" xr:uid="{7DAE4043-307D-4E94-82E6-848125436A93}">
      <text>
        <r>
          <rPr>
            <sz val="11"/>
            <color theme="1"/>
            <rFont val="Calibri"/>
            <family val="2"/>
            <scheme val="minor"/>
          </rPr>
          <t>Paid marketing CAC per gross add: digital, partnerships, performance. Excludes brand $ (row 55). Sourced from Assumptions F121 (2026) interpolated to F122 (2033).</t>
        </r>
      </text>
    </comment>
    <comment ref="D47" authorId="0" shapeId="0" xr:uid="{772E57F7-231F-4B19-A5A2-2339BEDC5068}">
      <text>
        <r>
          <rPr>
            <sz val="11"/>
            <color theme="1"/>
            <rFont val="Calibri"/>
            <family val="2"/>
            <scheme val="minor"/>
          </rPr>
          <t>2025 calibration blended CAC ($195M / 1.5M gross adds = $130).</t>
        </r>
      </text>
    </comment>
    <comment ref="E48" authorId="0" shapeId="0" xr:uid="{B3C37420-4C05-4DDF-A579-2DC2FBD06971}">
      <text>
        <r>
          <rPr>
            <sz val="11"/>
            <color theme="1"/>
            <rFont val="Calibri"/>
            <family val="2"/>
            <scheme val="minor"/>
          </rPr>
          <t>Memo: legacy 'unconstrained S&amp;M÷CAC' view. Under member-anchored framework this is identical to row 51 by construction. Kept for audit clarity.</t>
        </r>
      </text>
    </comment>
    <comment ref="D49" authorId="0" shapeId="0" xr:uid="{2E4B12BB-32E1-4BE4-8415-18DFE34D3EB7}">
      <text>
        <r>
          <rPr>
            <sz val="11"/>
            <color theme="1"/>
            <rFont val="Calibri"/>
            <family val="2"/>
            <scheme val="minor"/>
          </rPr>
          <t>2025: calibration year, penetration diagnostic begins 2026.</t>
        </r>
      </text>
    </comment>
    <comment ref="E50" authorId="0" shapeId="0" xr:uid="{13122117-899C-4ED0-9459-E94BB90E91D3}">
      <text>
        <r>
          <rPr>
            <sz val="11"/>
            <color theme="1"/>
            <rFont val="Calibri"/>
            <family val="2"/>
            <scheme val="minor"/>
          </rPr>
          <t>Final Gross Adds = derived row 31 (membership identity). Phase distinction collapsed under member-anchored framework. Assumptions!F119/F120 are now orphaned — see notes there.</t>
        </r>
      </text>
    </comment>
    <comment ref="F50" authorId="0" shapeId="0" xr:uid="{1C8F0526-3AE7-437C-AE66-19FDC678E99C}">
      <text>
        <r>
          <rPr>
            <sz val="11"/>
            <color theme="1"/>
            <rFont val="Calibri"/>
            <family val="2"/>
            <scheme val="minor"/>
          </rPr>
          <t>PHASE 1 INPUT yr2: hardcoded gross adds target from Assumptions!F120. S&amp;M $ at F47 derives from this × CAC.</t>
        </r>
      </text>
    </comment>
    <comment ref="E51" authorId="0" shapeId="0" xr:uid="{6294E5C4-F2BF-417E-9C49-8467372268A3}">
      <text>
        <r>
          <rPr>
            <sz val="11"/>
            <color theme="1"/>
            <rFont val="Calibri"/>
            <family val="2"/>
            <scheme val="minor"/>
          </rPr>
          <t>2026 implied S&amp;M%: green 35-55%, yellow 30-35% or 55-65%, red otherwise. High % = aggressive deployment thesis; low % = under-deploying Series G.</t>
        </r>
      </text>
    </comment>
    <comment ref="G52" authorId="0" shapeId="0" xr:uid="{150D19CF-9109-498B-A31E-068A00E2DF8B}">
      <text>
        <r>
          <rPr>
            <sz val="11"/>
            <color theme="1"/>
            <rFont val="Calibri"/>
            <family val="2"/>
            <scheme val="minor"/>
          </rPr>
          <t>Step = 2028 S&amp;M% (Phase 2 formula) minus 2027 implied (Phase 1). Large negative step = Phase 1 over-deployed; consider easing GA0a/GA0b.</t>
        </r>
      </text>
    </comment>
    <comment ref="E53" authorId="0" shapeId="0" xr:uid="{2EAE62CA-8205-4FEF-9AFE-31AD08644D20}">
      <text>
        <r>
          <rPr>
            <sz val="11"/>
            <color theme="1"/>
            <rFont val="Calibri"/>
            <family val="2"/>
            <scheme val="minor"/>
          </rPr>
          <t>Variable S&amp;M = Gross Adds (row 51) × Variable CAC (row 48). True paid acquisition cost. Excludes brand spend.</t>
        </r>
      </text>
    </comment>
    <comment ref="E54" authorId="0" shapeId="0" xr:uid="{0383494E-AF3D-483A-919F-05770C1207D8}">
      <text>
        <r>
          <rPr>
            <sz val="11"/>
            <color theme="1"/>
            <rFont val="Calibri"/>
            <family val="2"/>
            <scheme val="minor"/>
          </rPr>
          <t>Brand $ linearly interpolated from Assumptions!F124 (2026 start) to Assumptions!F125 (2033 end). Athlete partnerships, sponsorships, content production. FIXED, not per-acquisition.</t>
        </r>
      </text>
    </comment>
    <comment ref="A55" authorId="0" shapeId="0" xr:uid="{86C0FB9E-3BA0-4AEA-8315-609C135EDE6D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 Hardware NOT included here — it's in COGS, not S&amp;M.</t>
        </r>
      </text>
    </comment>
    <comment ref="E55" authorId="0" shapeId="0" xr:uid="{8E96C94B-68C6-4196-A205-79DF3222DEA1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</t>
        </r>
      </text>
    </comment>
    <comment ref="E56" authorId="0" shapeId="0" xr:uid="{A907F590-8DD4-4DC9-B3B7-9CA0FD66B9C9}">
      <text>
        <r>
          <rPr>
            <sz val="11"/>
            <color theme="1"/>
            <rFont val="Calibri"/>
            <family val="2"/>
            <scheme val="minor"/>
          </rPr>
          <t>LTV = ARPU × Phase GM% ÷ Blended Churn. P1 GM (Assumptions!F36) for 2026-27.</t>
        </r>
      </text>
    </comment>
    <comment ref="G56" authorId="0" shapeId="0" xr:uid="{CDE702D1-D86A-4245-AC85-4557CB46882F}">
      <text>
        <r>
          <rPr>
            <sz val="11"/>
            <color theme="1"/>
            <rFont val="Calibri"/>
            <family val="2"/>
            <scheme val="minor"/>
          </rPr>
          <t>P2 GM (Assumptions!F37) for 2028-30.</t>
        </r>
      </text>
    </comment>
    <comment ref="J56" authorId="0" shapeId="0" xr:uid="{8D8E333D-2FE5-46DB-A9B9-4C3A61027FEC}">
      <text>
        <r>
          <rPr>
            <sz val="11"/>
            <color theme="1"/>
            <rFont val="Calibri"/>
            <family val="2"/>
            <scheme val="minor"/>
          </rPr>
          <t>Terminal GM (Assumptions!F38) for 2031-33.</t>
        </r>
      </text>
    </comment>
    <comment ref="E57" authorId="0" shapeId="0" xr:uid="{A3E891BB-4691-4984-8B25-4E7315068E0A}">
      <text>
        <r>
          <rPr>
            <sz val="11"/>
            <color theme="1"/>
            <rFont val="Calibri"/>
            <family val="2"/>
            <scheme val="minor"/>
          </rPr>
          <t>LTV ÷ All-in CAC. ≥3x = healthy unit economics. &lt;2x flag at Layer 5.</t>
        </r>
      </text>
    </comment>
    <comment ref="E58" authorId="0" shapeId="0" xr:uid="{A802468C-6117-4745-B231-0B96A1D03037}">
      <text>
        <r>
          <rPr>
            <sz val="11"/>
            <color theme="1"/>
            <rFont val="Calibri"/>
            <family val="2"/>
            <scheme val="minor"/>
          </rPr>
          <t>LTV ÷ Variable CAC. Stricter test — what acquisition itself earns, ignoring brand subsidy.</t>
        </r>
      </text>
    </comment>
    <comment ref="E60" authorId="0" shapeId="0" xr:uid="{E64C294A-C1B6-4155-B227-C08E4CDE1D0A}">
      <text>
        <r>
          <rPr>
            <sz val="11"/>
            <color theme="1"/>
            <rFont val="Calibri"/>
            <family val="2"/>
            <scheme val="minor"/>
          </rPr>
          <t>Phase-aware band test. P1 (2026-27) target 35-55% ±5pp tolerance. P2 (2028-30) target 20-30% ±3pp. P3 (2031-33) target 12-18% ±2pp. ✓ in band; ⚠ in tolerance; ✗ outside.</t>
        </r>
      </text>
    </comment>
    <comment ref="E61" authorId="0" shapeId="0" xr:uid="{EB5B6170-5C6B-4D18-9AB6-48F48C7195C5}">
      <text>
        <r>
          <rPr>
            <sz val="11"/>
            <color theme="1"/>
            <rFont val="Calibri"/>
            <family val="2"/>
            <scheme val="minor"/>
          </rPr>
          <t>Variable CAC ≤ 50% of year-specific ARPU. ✓ healthy; ⚠ 50-60%; ✗ above 60%. Tests acquisition unit economics excl. brand.</t>
        </r>
      </text>
    </comment>
    <comment ref="E62" authorId="0" shapeId="0" xr:uid="{6454975E-053B-4C99-B46A-E245B1C1ECDD}">
      <text>
        <r>
          <rPr>
            <sz val="11"/>
            <color theme="1"/>
            <rFont val="Calibri"/>
            <family val="2"/>
            <scheme val="minor"/>
          </rPr>
          <t>LTV/All-in CAC ≥ 3x. Healthy unit economics threshold.</t>
        </r>
      </text>
    </comment>
    <comment ref="E63" authorId="0" shapeId="0" xr:uid="{48072CBD-3232-4C0F-A302-1F88B75F5F63}">
      <text>
        <r>
          <rPr>
            <sz val="11"/>
            <color theme="1"/>
            <rFont val="Calibri"/>
            <family val="2"/>
            <scheme val="minor"/>
          </rPr>
          <t>LTV/Variable CAC ≥ 5x. Stricter — acquisition itself earning, ignoring brand subsidy.</t>
        </r>
      </text>
    </comment>
    <comment ref="E64" authorId="0" shapeId="0" xr:uid="{1291898A-5817-4373-9DA8-07B639DD939F}">
      <text>
        <r>
          <rPr>
            <sz val="11"/>
            <color theme="1"/>
            <rFont val="Calibri"/>
            <family val="2"/>
            <scheme val="minor"/>
          </rPr>
          <t>Ending Members / TAM ≤ 45%. Flag-only at Base/Bear; hard cap kicks in if ✗ triggers (Item 6). Bull case may bind by 2032-33.</t>
        </r>
      </text>
    </comment>
    <comment ref="E65" authorId="0" shapeId="0" xr:uid="{E7BF62E2-0640-442E-BC4E-3E14F1358ADB}">
      <text>
        <r>
          <rPr>
            <sz val="11"/>
            <color theme="1"/>
            <rFont val="Calibri"/>
            <family val="2"/>
            <scheme val="minor"/>
          </rPr>
          <t>Cumulative 2026-27 Total S&amp;M ≤ $700M Series G envelope. Single cell at 2026 column. ✓ fits Series G; ⚠ needs supplementary capital; ✗ requires additional raise.</t>
        </r>
      </text>
    </comment>
    <comment ref="E66" authorId="0" shapeId="0" xr:uid="{69146348-DF6E-4AB5-AF1B-75DCFC75AD7A}">
      <text>
        <r>
          <rPr>
            <sz val="11"/>
            <color theme="1"/>
            <rFont val="Calibri"/>
            <family val="2"/>
            <scheme val="minor"/>
          </rPr>
          <t>Year roll-up: worst status across rows 61-65. ✓ = all guardrails pass; ⚠ = at least one warning; ✗ = at least one violation. The cell to scan.</t>
        </r>
      </text>
    </comment>
    <comment ref="E67" authorId="0" shapeId="0" xr:uid="{625B1701-3C6F-400C-AE29-A5A775F6B21C}">
      <text>
        <r>
          <rPr>
            <sz val="11"/>
            <color theme="1"/>
            <rFont val="Calibri"/>
            <family val="2"/>
            <scheme val="minor"/>
          </rPr>
          <t>Reads Assumptions!F178 (trajectory ending vs Member Thesis median). Currently 0.4% — well within band. If diverged, every guardrail above is suspect because the trajectory itself is no longer cross-validated.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D6008ADF-3016-48B1-B5B3-D42E190FDB22}">
      <text>
        <r>
          <rPr>
            <sz val="11"/>
            <color theme="1"/>
            <rFont val="Calibri"/>
            <family val="2"/>
            <scheme val="minor"/>
          </rPr>
          <t>2025 driver = year-specific bottoms-up (D32): consumer 80% × $278 + Unite 20% × $260 = $274. Reflects partial Labs ramp (3mo at 7.5% of full-year) and pre-launch BP/Healthspan.</t>
        </r>
      </text>
    </comment>
    <comment ref="C10" authorId="0" shapeId="0" xr:uid="{CBEFB5A1-1593-D745-A2A1-8F308488D7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2024 historical: not used (engine fully runs from 2025).</t>
        </r>
      </text>
    </comment>
    <comment ref="E10" authorId="0" shapeId="0" xr:uid="{8A78DB82-D14E-44BC-9D32-00AFEE7AAF70}">
      <text>
        <r>
          <rPr>
            <sz val="11"/>
            <color rgb="FF000000"/>
            <rFont val="Calibri"/>
            <family val="2"/>
          </rPr>
          <t xml:space="preserve">2026 driver = mature bottoms-up (D33): consumer 80%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$319 + Unite 20%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$260 = $307. Step-up from 2025 reflects full Labs at maturity and BP/Healthspan launch at 5% attach.</t>
        </r>
      </text>
    </comment>
    <comment ref="D19" authorId="0" shapeId="0" xr:uid="{542AFE5F-A704-4929-AA43-75A4437CF5AE}">
      <text>
        <r>
          <rPr>
            <sz val="11"/>
            <color rgb="FF000000"/>
            <rFont val="Calibri"/>
            <family val="2"/>
          </rPr>
          <t xml:space="preserve">2025: launched 9/30. ~3mo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~30% ramp = ~7.5% of full-year potential.</t>
        </r>
      </text>
    </comment>
    <comment ref="D21" authorId="0" shapeId="0" xr:uid="{F89669B0-521E-2841-A9FB-3AA30FE51C5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Matches old 5-component build for 2025: $258.68 sub + $1.41 partial Labs + $18 acc + $0 BP = $278.</t>
        </r>
      </text>
    </comment>
    <comment ref="D24" authorId="0" shapeId="0" xr:uid="{E0A44CF0-0467-4DCD-BF90-1AFDF22232F8}">
      <text>
        <r>
          <rPr>
            <sz val="11"/>
            <color theme="1"/>
            <rFont val="Calibri"/>
            <family val="2"/>
            <scheme val="minor"/>
          </rPr>
          <t>2025: feature in beta, no paid add-on yet.</t>
        </r>
      </text>
    </comment>
    <comment ref="B69" authorId="0" shapeId="0" xr:uid="{F35B627D-0F71-4E46-A9E1-0F24D88DFFDF}">
      <text>
        <r>
          <rPr>
            <sz val="11"/>
            <color theme="1"/>
            <rFont val="Calibri"/>
            <family val="2"/>
            <scheme val="minor"/>
          </rPr>
          <t>Source: WHOOP membership pricing, whoop.com</t>
        </r>
      </text>
    </comment>
    <comment ref="B70" authorId="0" shapeId="0" xr:uid="{A3913C46-1090-4647-A8A3-78C871513A2D}">
      <text>
        <r>
          <rPr>
            <sz val="11"/>
            <color theme="1"/>
            <rFont val="Calibri"/>
            <family val="2"/>
            <scheme val="minor"/>
          </rPr>
          <t>Source: WHOOP Peak tier pricing, whoop.com</t>
        </r>
      </text>
    </comment>
    <comment ref="B71" authorId="0" shapeId="0" xr:uid="{3E84F44A-2926-4F4C-8133-CB27F2E5F585}">
      <text>
        <r>
          <rPr>
            <sz val="11"/>
            <color theme="1"/>
            <rFont val="Calibri"/>
            <family val="2"/>
            <scheme val="minor"/>
          </rPr>
          <t>Source: WHOOP Life tier pricing, whoop.com</t>
        </r>
      </text>
    </comment>
    <comment ref="B72" authorId="0" shapeId="0" xr:uid="{A8DF0C3E-2BAF-4EB3-AADD-9C93C76E960A}">
      <text>
        <r>
          <rPr>
            <sz val="11"/>
            <color theme="1"/>
            <rFont val="Calibri"/>
            <family val="2"/>
            <scheme val="minor"/>
          </rPr>
          <t>Source: Peloton All-Access pricing, onepeloton.com</t>
        </r>
      </text>
    </comment>
    <comment ref="B73" authorId="0" shapeId="0" xr:uid="{204A61EF-EBC2-413D-906E-234D09FF7EC1}">
      <text>
        <r>
          <rPr>
            <sz val="11"/>
            <color theme="1"/>
            <rFont val="Calibri"/>
            <family val="2"/>
            <scheme val="minor"/>
          </rPr>
          <t>Source: Oura Ring membership pricing, ouraring.com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26" authorId="0" shapeId="0" xr:uid="{EBA817D1-5E3E-40D2-A509-BDC8F9682543}">
      <text>
        <r>
          <rPr>
            <sz val="11"/>
            <color theme="1"/>
            <rFont val="Calibri"/>
            <family val="2"/>
            <scheme val="minor"/>
          </rPr>
          <t>Memo only: Ending Members × current-yr ARPU ÷ Recognized Revenue. Not the same as Series G $1.1B run-rate, which is Dec exit-rate × 12. Run-rate gap to recognized rev = full-year ramp through 2025 (free-hardware launch 9/2025).</t>
        </r>
      </text>
    </comment>
    <comment ref="D27" authorId="0" shapeId="0" xr:uid="{7BC730F2-613C-4038-9875-A7DA1150B2F6}">
      <text>
        <r>
          <rPr>
            <sz val="11"/>
            <color theme="1"/>
            <rFont val="Calibri"/>
            <family val="2"/>
            <scheme val="minor"/>
          </rPr>
          <t>After Item 1 rewire: F12 derives from D10×D11 = Avg Members × Bottoms-up ARPU. Variance should be 0% (both pull from ARPU!D10).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12" authorId="0" shapeId="0" xr:uid="{D3CE433F-DDC7-804E-AA33-F991F1D930A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2025 historical: hardcoded 40% blended COGS = 60% GM. Methodology Sec 6 anchor.</t>
        </r>
      </text>
    </comment>
    <comment ref="A13" authorId="0" shapeId="0" xr:uid="{CDB414E8-6A8E-46E6-A25A-5CA52A280065}">
      <text>
        <r>
          <rPr>
            <sz val="11"/>
            <color theme="1"/>
            <rFont val="Calibri"/>
            <family val="2"/>
            <scheme val="minor"/>
          </rPr>
          <t>Hardware $ is captured inside the blended COGS% on row 12. This row is for WC inventory accounting only — it does NOT add to total COGS (row 14).</t>
        </r>
      </text>
    </comment>
    <comment ref="L24" authorId="0" shapeId="0" xr:uid="{889D7046-4208-4BDC-96D0-5BEF5F82AB8D}">
      <text>
        <r>
          <rPr>
            <sz val="11"/>
            <color theme="1"/>
            <rFont val="Calibri"/>
            <family val="2"/>
            <scheme val="minor"/>
          </rPr>
          <t>FLAG: S&amp;M as % of current revenue runs 16-20%, vs methodology stated ~30% current. Architecture-driven gap: Members tab computes S&amp;M = prior-yr revenue × phase S&amp;M%, so as revenue grows, current-year S&amp;M / current-year revenue is structurally lower than the input rate. NOT an error — it's the consequence of fixed-S&amp;M%-of-prior-rev design. Two reconciliation paths: (a) restate methodology to prior-yr basis, or (b) raise S&amp;M phase % inputs to compensate.</t>
        </r>
      </text>
    </comment>
    <comment ref="D27" authorId="0" shapeId="0" xr:uid="{60ACBF2B-38EB-4FA2-B67F-E2AA9A0C2A23}">
      <text>
        <r>
          <rPr>
            <sz val="11"/>
            <color theme="1"/>
            <rFont val="Calibri"/>
            <family val="2"/>
            <scheme val="minor"/>
          </rPr>
          <t>2025 historical: SBC at current rate (no interpolation). 2026+ tapers from current to terminal.</t>
        </r>
      </text>
    </comment>
    <comment ref="F27" authorId="0" shapeId="0" xr:uid="{7A97E40D-DFE8-4994-B3DD-06A3832526CC}">
      <text>
        <r>
          <rPr>
            <sz val="11"/>
            <color theme="1"/>
            <rFont val="Calibri"/>
            <family val="2"/>
            <scheme val="minor"/>
          </rPr>
          <t>2027 IPO YEAR: SBC overrides smooth taper. Uses Assumptions F163 (17% Base) instead of interpolated 13.1%. Captures grant acceleration + retention refresh + ESPP launch typical in IPO year. See Assumptions row 162-163 for benchmarks.</t>
        </r>
      </text>
    </comment>
    <comment ref="G27" authorId="0" shapeId="0" xr:uid="{88351E74-BF57-4DEE-868C-DC6F4A21E5F4}">
      <text>
        <r>
          <rPr>
            <sz val="11"/>
            <color theme="1"/>
            <rFont val="Calibri"/>
            <family val="2"/>
            <scheme val="minor"/>
          </rPr>
          <t>2028 POST-LOCKUP: SBC overrides smooth taper. Uses Assumptions F164 (15% Base) instead of interpolated 12.3%. Captures lockup-expiry refresh grants. From 2029 onwards, smooth taper resumes (Assumptions F47 → F48).</t>
        </r>
      </text>
    </comment>
    <comment ref="F32" authorId="0" shapeId="0" xr:uid="{FDCCDD18-56DF-40E6-8DF1-D1F0EDB21C0E}">
      <text>
        <r>
          <rPr>
            <sz val="11"/>
            <color rgb="FF000000"/>
            <rFont val="Calibri"/>
            <family val="2"/>
          </rPr>
          <t>FLAG: 2027 EBITDA margin DIPS to 12% from 18% in 2026 despite revenue growth 28%. Driver: Members!F30 gross adds spike to 1.24M (Phase 1 deployment year), bulging hardware COGS to $148M. Mechanically correct but visually jarring. If we accept Phase 1 = 2026-2027 lump deployment, this is real. If smoother gross adds curve preferred, revisit Members!E50:F50 logic.</t>
        </r>
      </text>
    </comment>
    <comment ref="L32" authorId="0" shapeId="0" xr:uid="{AC5777F6-C777-43D9-827D-340B63ECD868}">
      <text>
        <r>
          <rPr>
            <sz val="11"/>
            <color theme="1"/>
            <rFont val="Calibri"/>
            <family val="2"/>
            <scheme val="minor"/>
          </rPr>
          <t>EBITDA margin 2033 = 33%. CALIBRATED: R&amp;D scenarios (12/15/18 Bear/Base/Bull), G&amp;A (13/11/9), SBC tapering 14%→8%. Squarely in methodology terminal range (28-32%, slight edge over). Per Assumptions C40/D40/E40, C46/D46/E46, F47/F48.</t>
        </r>
      </text>
    </comment>
    <comment ref="D39" authorId="0" shapeId="0" xr:uid="{A6C0CB2D-3DD8-446F-B22A-1F9F90448F54}">
      <text>
        <r>
          <rPr>
            <sz val="11"/>
            <color theme="1"/>
            <rFont val="Calibri"/>
            <family val="2"/>
            <scheme val="minor"/>
          </rPr>
          <t>Interest income on idle cash — NOW WIRED. Uses prior-year ending cash × yield (Assumptions F66, 3.5% base). Non-circular by construction. Does NOT flow into UFCF (DCF uses NOPAT, not NI).</t>
        </r>
      </text>
    </comment>
    <comment ref="E39" authorId="0" shapeId="0" xr:uid="{0262E4E5-1198-48B2-970B-B1FFFCB283E9}">
      <text>
        <r>
          <rPr>
            <sz val="11"/>
            <color theme="1"/>
            <rFont val="Calibri"/>
            <family val="2"/>
            <scheme val="minor"/>
          </rPr>
          <t>2026: prior-yr ending cash + half of Series G proceeds (deployed Q1, half-year convention) × yield.</t>
        </r>
      </text>
    </comment>
    <comment ref="D41" authorId="0" shapeId="0" xr:uid="{0B0D33CD-886A-41FF-9777-6EB785084765}">
      <text>
        <r>
          <rPr>
            <sz val="11"/>
            <color theme="1"/>
            <rFont val="Calibri"/>
            <family val="2"/>
            <scheme val="minor"/>
          </rPr>
          <t>Tax = MAX(0, Pretax − NOL utilized) × 23% effective rate. NOL utilization on row 47 (capped at 80% of pretax per TCJA). Schedule rows 44-48.</t>
        </r>
      </text>
    </comment>
    <comment ref="L43" authorId="0" shapeId="0" xr:uid="{286B1F4A-61A8-485B-B5C4-E2A3EAFA6334}">
      <text>
        <r>
          <rPr>
            <sz val="11"/>
            <color theme="1"/>
            <rFont val="Calibri"/>
            <family val="2"/>
            <scheme val="minor"/>
          </rPr>
          <t>Net Margin 2033 = 22%. Reflects calibrated OpEx tapers (R&amp;D/G&amp;A/SBC) + NOL + interest income. UFCF / DCF NOT affected by NI items (uses NOPAT, unlevered).</t>
        </r>
      </text>
    </comment>
    <comment ref="C46" authorId="0" shapeId="0" xr:uid="{39EC7610-01BA-433A-A4A8-BF41F74FC0E5}">
      <text>
        <r>
          <rPr>
            <sz val="11"/>
            <color theme="1"/>
            <rFont val="Calibri"/>
            <family val="2"/>
            <scheme val="minor"/>
          </rPr>
          <t>Pre-2025 NOL balance assumed $0. WHOOP has been pre-tax loss-making historically; revise if known carryforward exists.</t>
        </r>
      </text>
    </comment>
    <comment ref="D48" authorId="0" shapeId="0" xr:uid="{BB041C0B-1061-4F59-8BE9-8F29A5D5D7A3}">
      <text>
        <r>
          <rPr>
            <sz val="11"/>
            <color theme="1"/>
            <rFont val="Calibri"/>
            <family val="2"/>
            <scheme val="minor"/>
          </rPr>
          <t>NOL utilization capped at 80% of current pretax income (post-TCJA rule). Cannot exceed beginning NOL balance.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18" authorId="0" shapeId="0" xr:uid="{768607A7-240E-457E-9C83-B2B473199A65}">
      <text>
        <r>
          <rPr>
            <sz val="11"/>
            <color theme="1"/>
            <rFont val="Calibri"/>
            <family val="2"/>
            <scheme val="minor"/>
          </rPr>
          <t>FLAG: 2027 UFCF dips to $15M from $67M in 2026 — cascade from P&amp;L 2027 EBITDA dip (gross adds bulge → hardware COGS spike). Same root cause as P&amp;L F31. Mechanically correct.</t>
        </r>
      </text>
    </comment>
    <comment ref="L18" authorId="0" shapeId="0" xr:uid="{0A39DE51-46B0-4369-9F81-B9C7F924EC03}">
      <text>
        <r>
          <rPr>
            <sz val="11"/>
            <color rgb="FF000000"/>
            <rFont val="Calibri"/>
            <family val="2"/>
          </rPr>
          <t>FCF margin trajectory: 18% → 25% across forecast (improved from prior 8% → 19% before WC wiring). Now within methodology priors (Phase 3: 20-26%, terminal: 25-28%).</t>
        </r>
      </text>
    </comment>
    <comment ref="L22" authorId="0" shapeId="0" xr:uid="{5186CF52-2A2A-4510-9114-E52D0970AA4B}">
      <text>
        <r>
          <rPr>
            <sz val="11"/>
            <color theme="1"/>
            <rFont val="Calibri"/>
            <family val="2"/>
            <scheme val="minor"/>
          </rPr>
          <t>Rule of 40 (Growth + FCF Margin): 86 (2026) → 42 (2033). Methodology check passes (Phase 3 ≥ 20). Healthy cash generation profile.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51F56F2A-1758-49FC-B2B6-00F330FA5673}">
      <text>
        <r>
          <rPr>
            <sz val="11"/>
            <color theme="1"/>
            <rFont val="Calibri"/>
            <family val="2"/>
            <scheme val="minor"/>
          </rPr>
          <t>Mid-period assumption: average annual subscriber is 6 months into their contract, so 6 months of revenue still to recognize. → Deferred Rev = Members × ARPU × 0.5</t>
        </r>
      </text>
    </comment>
    <comment ref="D9" authorId="0" shapeId="0" xr:uid="{8F4BD9A7-1B42-4E45-835F-77C14C807093}">
      <text>
        <r>
          <rPr>
            <sz val="11"/>
            <color theme="1"/>
            <rFont val="Calibri"/>
            <family val="2"/>
            <scheme val="minor"/>
          </rPr>
          <t>Inventory = ~45 days of next-year hardware COGS. Reflects buffer stock for new member acquisitions; consumer hardware norm 30-60 days.</t>
        </r>
      </text>
    </comment>
    <comment ref="D10" authorId="0" shapeId="0" xr:uid="{139ED07F-7C72-46C2-93DB-1E4903CF826A}">
      <text>
        <r>
          <rPr>
            <sz val="11"/>
            <color theme="1"/>
            <rFont val="Calibri"/>
            <family val="2"/>
            <scheme val="minor"/>
          </rPr>
          <t>AP = ~18 days of COGS payable. Within 15-20 day range typical for hardware/subscription hybrid.</t>
        </r>
      </text>
    </comment>
    <comment ref="D11" authorId="0" shapeId="0" xr:uid="{14C3E613-B66A-43FD-B543-2907C313AAB9}">
      <text>
        <r>
          <rPr>
            <sz val="11"/>
            <color theme="1"/>
            <rFont val="Calibri"/>
            <family val="2"/>
            <scheme val="minor"/>
          </rPr>
          <t>Plug bucket: prepaids, accrued comp/marketing, other receivables. ~1.5% of revenue is a typical fitness/subscription benchmark.</t>
        </r>
      </text>
    </comment>
    <comment ref="D12" authorId="0" shapeId="0" xr:uid="{07F85D4B-D572-4A89-A8E8-054C8BFDACF5}">
      <text>
        <r>
          <rPr>
            <sz val="11"/>
            <color theme="1"/>
            <rFont val="Calibri"/>
            <family val="2"/>
            <scheme val="minor"/>
          </rPr>
          <t>Cash on BS pre-Series G. Estimate $50-100M from 2024 ops + pre-Series G runway.</t>
        </r>
      </text>
    </comment>
    <comment ref="D14" authorId="0" shapeId="0" xr:uid="{C483F1B5-1250-483C-9133-7A78E936B737}">
      <text>
        <r>
          <rPr>
            <sz val="11"/>
            <color theme="1"/>
            <rFont val="Calibri"/>
            <family val="2"/>
            <scheme val="minor"/>
          </rPr>
          <t>$575M Series G closed Q1 2026, lands in 2026 column.</t>
        </r>
      </text>
    </comment>
    <comment ref="L18" authorId="0" shapeId="0" xr:uid="{4C3CB2DB-30EC-4E06-96A0-CB790F92050F}">
      <text>
        <r>
          <rPr>
            <sz val="11"/>
            <color theme="1"/>
            <rFont val="Calibri"/>
            <family val="2"/>
            <scheme val="minor"/>
          </rPr>
          <t>2033 inventory = 2032 × 1.05 (no 2034 hardware COGS available; assume 5% growth)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J17" authorId="0" shapeId="0" xr:uid="{0AF18AD4-5C17-40B7-BC2C-53F480776B7B}">
      <text>
        <r>
          <rPr>
            <sz val="11"/>
            <color theme="1"/>
            <rFont val="Calibri"/>
            <family val="2"/>
            <scheme val="minor"/>
          </rPr>
          <t>Source: 3Y aggregate income tax / pre-tax income from 10-K via StockAnalysis (FY23-FY25).</t>
        </r>
      </text>
    </comment>
    <comment ref="K17" authorId="0" shapeId="0" xr:uid="{421BBA9B-2D56-46AE-A750-DA95755D5EB2}">
      <text>
        <r>
          <rPr>
            <sz val="11"/>
            <color theme="1"/>
            <rFont val="Calibri"/>
            <family val="2"/>
            <scheme val="minor"/>
          </rPr>
          <t>GRMN Swiss/Olathe domicile = 21%.</t>
        </r>
      </text>
    </comment>
    <comment ref="L17" authorId="0" shapeId="0" xr:uid="{AF2183F0-8AE0-4609-BEB3-F68A32717BD2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18" authorId="0" shapeId="0" xr:uid="{97D661AF-0D94-471A-88E0-03DE3F45ECEB}">
      <text>
        <r>
          <rPr>
            <sz val="11"/>
            <color theme="1"/>
            <rFont val="Calibri"/>
            <family val="2"/>
            <scheme val="minor"/>
          </rPr>
          <t>Loss-maker — aggregate pre-tax income negative; use marginal rate per methodology.</t>
        </r>
      </text>
    </comment>
    <comment ref="L18" authorId="0" shapeId="0" xr:uid="{0579B2DC-D1D8-CD41-9B2A-AF93F5D2B89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18" authorId="0" shapeId="0" xr:uid="{040AAA25-6A3D-4D91-86D2-BD58D510889E}">
      <text>
        <r>
          <rPr>
            <sz val="11"/>
            <color rgb="FF000000"/>
            <rFont val="Calibri"/>
            <family val="2"/>
          </rPr>
          <t>PTON βᵤ likely upward-biased by distress dynamics; SPOT is the cleaner B2 anchor.</t>
        </r>
      </text>
    </comment>
    <comment ref="K19" authorId="0" shapeId="0" xr:uid="{BB63DF53-3F1B-472B-9FE2-31ADB4BCBB37}">
      <text>
        <r>
          <rPr>
            <sz val="11"/>
            <color theme="1"/>
            <rFont val="Calibri"/>
            <family val="2"/>
            <scheme val="minor"/>
          </rPr>
          <t>SPOT Lux statutory + Swedish ops blended.</t>
        </r>
      </text>
    </comment>
    <comment ref="L19" authorId="0" shapeId="0" xr:uid="{B398020B-B727-E944-858D-DD4CC4085B1C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L20" authorId="0" shapeId="0" xr:uid="{06CA0C70-5948-B242-B972-5BDC13161F84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K21" authorId="0" shapeId="0" xr:uid="{31BD3796-A07B-4B7E-B8D2-DBB022B99DB0}">
      <text>
        <r>
          <rPr>
            <sz val="11"/>
            <color theme="1"/>
            <rFont val="Calibri"/>
            <family val="2"/>
            <scheme val="minor"/>
          </rPr>
          <t>RMD US/dual-listed AU = 27% blended.</t>
        </r>
      </text>
    </comment>
    <comment ref="L21" authorId="0" shapeId="0" xr:uid="{8971AD30-E5B0-C440-ACDF-7E9A4BAD56E8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22" authorId="0" shapeId="0" xr:uid="{E938CB56-CF71-489E-A4D5-18350F652BCA}">
      <text>
        <r>
          <rPr>
            <sz val="11"/>
            <color theme="1"/>
            <rFont val="Calibri"/>
            <family val="2"/>
            <scheme val="minor"/>
          </rPr>
          <t>Loss-maker — use marginal rate.</t>
        </r>
      </text>
    </comment>
    <comment ref="L22" authorId="0" shapeId="0" xr:uid="{E1F6B303-6E7B-0841-9069-AC7DF294B28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2" authorId="0" shapeId="0" xr:uid="{50F1AA17-D9A9-4CBC-846E-14DE4D624A05}">
      <text>
        <r>
          <rPr>
            <sz val="11"/>
            <color theme="1"/>
            <rFont val="Calibri"/>
            <family val="2"/>
            <scheme val="minor"/>
          </rPr>
          <t>MASI deal-pending compression: stock pinned to $180 since Feb 2026 Danaher deal announcement — recent vol artificially low. MASI exits comp set at H2 2026 close.</t>
        </r>
      </text>
    </comment>
    <comment ref="E23" authorId="0" shapeId="0" xr:uid="{7294CCD8-5C31-4A7C-94D5-F2234E40E4C3}">
      <text>
        <r>
          <rPr>
            <sz val="11"/>
            <color theme="1"/>
            <rFont val="Calibri"/>
            <family val="2"/>
            <scheme val="minor"/>
          </rPr>
          <t>Lowest R² in set; idiosyncratic variance dominates (reimbursement risk, FDA actions, payer mix).</t>
        </r>
      </text>
    </comment>
    <comment ref="F23" authorId="0" shapeId="0" xr:uid="{56E2C613-1264-40DA-B02C-62584BD9308E}">
      <text>
        <r>
          <rPr>
            <sz val="11"/>
            <color rgb="FF000000"/>
            <rFont val="Calibri"/>
            <family val="2"/>
          </rPr>
          <t>Estimate.</t>
        </r>
      </text>
    </comment>
    <comment ref="G23" authorId="0" shapeId="0" xr:uid="{C51A658F-DBD9-4317-B05A-9597A1A97B78}">
      <text>
        <r>
          <rPr>
            <sz val="11"/>
            <color theme="1"/>
            <rFont val="Calibri"/>
            <family val="2"/>
            <scheme val="minor"/>
          </rPr>
          <t>Convertible debt: treating as debt = primary (D/E 0.18 → βᵤ 0.774). Treating as equity = upper sensitivity (βᵤ 0.877).</t>
        </r>
      </text>
    </comment>
    <comment ref="L23" authorId="0" shapeId="0" xr:uid="{8F5656DC-D7CF-6F44-81B8-CC7200D11DAA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3" authorId="0" shapeId="0" xr:uid="{AAF00A1B-408F-4763-9228-DF2AA8410F6D}">
      <text>
        <r>
          <rPr>
            <sz val="11"/>
            <color theme="1"/>
            <rFont val="Calibri"/>
            <family val="2"/>
            <scheme val="minor"/>
          </rPr>
          <t>Methodology Sec 2 biggest gain: 2021 CMS reimbursement crash (-83% over 7mo) is OUTSIDE the 3Y window.</t>
        </r>
      </text>
    </comment>
    <comment ref="C62" authorId="0" shapeId="0" xr:uid="{B70C201A-33DE-4E2B-9BCE-DCD2130C4C74}">
      <text>
        <r>
          <rPr>
            <sz val="11"/>
            <color theme="1"/>
            <rFont val="Calibri"/>
            <family val="2"/>
            <scheme val="minor"/>
          </rPr>
          <t>Avg of UK 5.01%, Germany/France/Sweden/Switzerland/Netherlands ~4.23-5.01%.</t>
        </r>
      </text>
    </comment>
    <comment ref="C63" authorId="0" shapeId="0" xr:uid="{79279B60-CBBD-4BF6-B768-E85B9FC82EBD}">
      <text>
        <r>
          <rPr>
            <sz val="11"/>
            <color theme="1"/>
            <rFont val="Calibri"/>
            <family val="2"/>
            <scheme val="minor"/>
          </rPr>
          <t>Avg of Japan 5.14%, Australia 4.23%, Singapore 4.23%.</t>
        </r>
      </text>
    </comment>
    <comment ref="C64" authorId="0" shapeId="0" xr:uid="{AB917B02-D5C8-4D4B-A47A-3ABF21EEE81B}">
      <text>
        <r>
          <rPr>
            <sz val="11"/>
            <color theme="1"/>
            <rFont val="Calibri"/>
            <family val="2"/>
            <scheme val="minor"/>
          </rPr>
          <t>Estimate.</t>
        </r>
      </text>
    </comment>
    <comment ref="C79" authorId="0" shapeId="0" xr:uid="{45506C36-5CD4-4BF3-96DD-EA43FC019CA8}">
      <text>
        <r>
          <rPr>
            <sz val="11"/>
            <color theme="1"/>
            <rFont val="Calibri"/>
            <family val="2"/>
            <scheme val="minor"/>
          </rPr>
          <t>Damodaran sector WACC ex-CSRP/liquidity = Rf + ERP*β + size = 8.85% Base. The 10% used in spec rounding is the WACC inclusive of CSRP.</t>
        </r>
      </text>
    </comment>
    <comment ref="B85" authorId="0" shapeId="0" xr:uid="{902F16F9-58CE-4262-918B-AAB16C722B07}">
      <text>
        <r>
          <rPr>
            <sz val="11"/>
            <color rgb="FF000000"/>
            <rFont val="Calibri"/>
            <family val="2"/>
          </rPr>
          <t>Oura Health tender Jan 2026 at 25% discount to Oct 2025 Series E. Source: Bloomberg / research/secondary-market-pricing.md.</t>
        </r>
      </text>
    </comment>
    <comment ref="E101" authorId="0" shapeId="0" xr:uid="{2B6C27CD-58BB-4DA4-8828-7E47FF9B44D0}">
      <text>
        <r>
          <rPr>
            <sz val="11"/>
            <color theme="1"/>
            <rFont val="Calibri"/>
            <family val="2"/>
            <scheme val="minor"/>
          </rPr>
          <t>Revenue-weighted ERP at 42% intl mix from Section 5.</t>
        </r>
      </text>
    </comment>
    <comment ref="E102" authorId="0" shapeId="0" xr:uid="{D2EB9C22-CDB8-47C5-B9AD-85A49EF1FCBA}">
      <text>
        <r>
          <rPr>
            <sz val="11"/>
            <color theme="1"/>
            <rFont val="Calibri"/>
            <family val="2"/>
            <scheme val="minor"/>
          </rPr>
          <t>Bottom-up bucket-weighted, ex-PTON. From Section 4.</t>
        </r>
      </text>
    </comment>
    <comment ref="G143" authorId="0" shapeId="0" xr:uid="{C85B7BBC-863C-4384-8708-58EEEC866987}">
      <text>
        <r>
          <rPr>
            <sz val="11"/>
            <color theme="1"/>
            <rFont val="Calibri"/>
            <family val="2"/>
            <scheme val="minor"/>
          </rPr>
          <t>Excluded from bucket median — distress dynamics inflate βᵤ (1.11). SPOT is cleaner B2 anchor.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24" authorId="0" shapeId="0" xr:uid="{5EFD5891-BFCB-4AA4-81B6-BE317CC8A692}">
      <text>
        <r>
          <rPr>
            <sz val="11"/>
            <color rgb="FF000000"/>
            <rFont val="Calibri"/>
            <family val="2"/>
          </rPr>
          <t>FLAG: 30% divergence between Exit Multiple TV ($16.1B) and Gordon TV ($11.8B). Methodology Sec 4 threshold: 25%. Improved from 55% pre-WC wiring — higher terminal FCF tightened the Gordon side. Still slightly above threshold; reflects 4.5x exit multiple's implied ~5-6% terminal growth vs Gordon's 3%.</t>
        </r>
      </text>
    </comment>
    <comment ref="C25" authorId="0" shapeId="0" xr:uid="{4C5BD419-911C-45D8-886E-7870CFAA4349}">
      <text>
        <r>
          <rPr>
            <sz val="11"/>
            <color rgb="FF000000"/>
            <rFont val="Calibri"/>
            <family val="2"/>
          </rPr>
          <t>Selected = Exit Multiple per Assumptions F76. To switch to Gordon, change to =C29.</t>
        </r>
      </text>
    </comment>
    <comment ref="C26" authorId="0" shapeId="0" xr:uid="{0E568DA4-CE97-429E-9112-C9C37BCB7B4C}">
      <text>
        <r>
          <rPr>
            <sz val="11"/>
            <color rgb="FF000000"/>
            <rFont val="Calibri"/>
            <family val="2"/>
          </rPr>
          <t>TV is at end of 2033 (year 8.5 mid-year equivalent). Discounted using K13 = 7.5-year discount factor (TV received at end of forecast period, discounted same as terminal year FCF).</t>
        </r>
      </text>
    </comment>
    <comment ref="C27" authorId="0" shapeId="0" xr:uid="{3D89DECD-4B56-4B23-AA64-F2BFCB3E1D11}">
      <text>
        <r>
          <rPr>
            <sz val="11"/>
            <color theme="1"/>
            <rFont val="Calibri"/>
            <family val="2"/>
            <scheme val="minor"/>
          </rPr>
          <t>FLAG: TV is 78% of total EV. Methodology Sec 4 threshold: 75%. Improved from 85% pre-WC wiring — forecast-period PV jumped from $1.3B to $2.1B. Still slightly above threshold. Mitigations: tighten R&amp;D/G&amp;A tapers (Cal item), extend horizon, or accept structure as appropriate for hypergrowth.</t>
        </r>
      </text>
    </comment>
    <comment ref="C37" authorId="0" shapeId="0" xr:uid="{619BA4F1-E636-7F4F-ABB5-BF525332029F}">
      <text>
        <r>
          <rPr>
            <b/>
            <sz val="10"/>
            <color rgb="FF000000"/>
            <rFont val="Tahoma"/>
            <family val="2"/>
          </rPr>
          <t>Cash add-back sourced from WC &amp; Cash!E33 (year-end 2026 ending cash, post-Series G close). Valuation as-of date = Series G close (Mar 2026). Includes: $75M beginning + $247M 2025 UFCF + $575M Series G proceeds + $112M 2026 UFCF = $1,008M. Was previously $700M hardcoded placeholder, then briefly $322M (year-end 2025, pre-Series G).</t>
        </r>
      </text>
    </comment>
    <comment ref="C45" authorId="0" shapeId="0" xr:uid="{A63CBE75-3251-C24B-82B5-B92E04CA855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RealOptions!B36 — active scenario expected option value. Replaces 3-cluster correlated framework. Single binary-gate decision tree on healthcare reimbursement pathway. Probability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eligible members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payer ARPU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medtech multiple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discount factor.</t>
        </r>
      </text>
    </comment>
    <comment ref="C46" authorId="0" shapeId="0" xr:uid="{5EBBBBFB-0165-46D0-9D7E-AE0F7D43D3DE}">
      <text>
        <r>
          <rPr>
            <sz val="11"/>
            <color rgb="FF000000"/>
            <rFont val="Calibri"/>
            <family val="2"/>
          </rPr>
          <t>Single-source from active scenario (C51). Was previously sum of 3 correlated clusters — now single binary-gate. Bear/Bull range shown in C49/C50 for diagnostic visibility.</t>
        </r>
      </text>
    </comment>
    <comment ref="C50" authorId="0" shapeId="0" xr:uid="{72C913BC-4819-1741-8AF7-EF2F4617F56B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(post net debt + cash bridge). Apples-to-apples vs Series G $10.1B post-money.</t>
        </r>
      </text>
    </comment>
    <comment ref="C51" authorId="0" shapeId="0" xr:uid="{9EE3C429-29D0-D24B-BC18-C4C53BD912B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+ Real Options expected value. Comparable to Series G post-money.</t>
        </r>
      </text>
    </comment>
    <comment ref="C52" authorId="0" shapeId="0" xr:uid="{399907FC-5FA5-4E5C-A274-29523E0EDD10}">
      <text>
        <r>
          <rPr>
            <sz val="11"/>
            <color rgb="FF000000"/>
            <rFont val="Calibri"/>
            <family val="2"/>
          </rPr>
          <t>Series G $10.1B mark, March 2026. From Pitchbook/press.</t>
        </r>
      </text>
    </comment>
    <comment ref="C53" authorId="0" shapeId="0" xr:uid="{3800A337-221E-4108-899F-F655AA68C339}">
      <text>
        <r>
          <rPr>
            <sz val="11"/>
            <color theme="1"/>
            <rFont val="Calibri"/>
            <family val="2"/>
            <scheme val="minor"/>
          </rPr>
          <t>Base DCF Equity Value $8.31B vs Series G $10.1B post-money = -17.7%. Apples-to-apples comparison (was previously EV vs equity, off by net debt+cash bridge). Reflects (a) WC schedule wired, (b) cash add-back at Series G close ($1,008M), (c) exit multiple tightened to 3.5x.</t>
        </r>
      </text>
    </comment>
    <comment ref="C54" authorId="0" shapeId="0" xr:uid="{6A71D5AE-90F6-48C5-A33B-0B5566A8920D}">
      <text>
        <r>
          <rPr>
            <sz val="11"/>
            <color rgb="FF000000"/>
            <rFont val="Calibri"/>
            <family val="2"/>
          </rPr>
          <t>DCF + Options $9.01B vs Series G $10.1B = -10.8%. Even crediting healthcare option at Base probability, DCF + Options sits ~11% below Series G mark. Series G defensible only if both base case overdelivers AND healthcare materializes.</t>
        </r>
      </text>
    </comment>
    <comment ref="B60" authorId="0" shapeId="0" xr:uid="{2F7AC6C8-5430-4626-90C3-754EA54701D7}">
      <text>
        <t>Refreshed via toggle sweep. Captured at Assumptions!B3=Bear. Single-run live calc DCF!C32 at toggle.</t>
      </text>
    </comment>
    <comment ref="C60" authorId="0" shapeId="0" xr:uid="{D5CF4134-2FAF-4869-A0C0-50CFCF69F375}">
      <text>
        <t>Refreshed via toggle sweep. Captured at Assumptions!B3=Bear from DCF!C38.</t>
      </text>
    </comment>
    <comment ref="E60" authorId="0" shapeId="0" xr:uid="{2A029B31-7BB1-4806-B7FD-E531923EB495}">
      <text>
        <t>Refreshed. Bear scenario RealOpts active from DCF!C46 at Bear toggle.</t>
      </text>
    </comment>
    <comment ref="B61" authorId="0" shapeId="0" xr:uid="{CC807D9A-73C5-4C70-A2DF-AABE31B5FCB9}">
      <text>
        <t>Refreshed via toggle sweep. Base toggle (current default) from DCF!C32.</t>
      </text>
    </comment>
    <comment ref="C61" authorId="0" shapeId="0" xr:uid="{85C3065C-5A5F-4124-930D-3642F197440E}">
      <text>
        <t>Refreshed. Base toggle from DCF!C38.</t>
      </text>
    </comment>
    <comment ref="E61" authorId="0" shapeId="0" xr:uid="{3314F3EE-B57F-47B8-BCE6-4FF4C26FA083}">
      <text>
        <t>Refreshed. Base scenario RealOpts active from DCF!C46.</t>
      </text>
    </comment>
    <comment ref="B62" authorId="0" shapeId="0" xr:uid="{73DDB1BF-0304-4231-BADD-880F150C6480}">
      <text>
        <t>Refreshed via toggle sweep. Captured at Bull toggle from DCF!C32.</t>
      </text>
    </comment>
    <comment ref="C62" authorId="0" shapeId="0" xr:uid="{3C50CC60-0ED4-4DA6-BDA2-D96078CABC54}">
      <text>
        <t>Refreshed. Bull toggle from DCF!C38.</t>
      </text>
    </comment>
    <comment ref="E62" authorId="0" shapeId="0" xr:uid="{504B09A7-DD3F-41A3-BACC-89A2B3096800}">
      <text>
        <t>Refreshed. Bull scenario RealOpts active from DCF!C46.</t>
      </text>
    </comment>
    <comment ref="B63" authorId="0" shapeId="0" xr:uid="{018BBFF0-A5AD-487B-A90E-AAB8F4BB2508}">
      <text>
        <t>Refreshed via toggle sweep. ProbWeighted at Neutral weights (P_Bear 0.20, P_Base 0.50, P_Bull 0.30) — captured from DCF!C32. Must be re-captured manually if Assumptions row 2 weights, B3 toggle, or any of the 20 ProbWeighted-eligible inputs change materially.</t>
      </text>
    </comment>
    <comment ref="C63" authorId="0" shapeId="0" xr:uid="{755F08F3-3D2F-409B-8C84-6D47521B3D0B}">
      <text>
        <t>Refreshed. ProbWeighted Neutral toggle from DCF!C38.</t>
      </text>
    </comment>
    <comment ref="E63" authorId="0" shapeId="0" xr:uid="{BC0491A9-51C6-4D01-98C4-65367883AC90}">
      <text>
        <t>ProbWeighted Neutral RealOpts active from DCF!C46. NOTE: RealOpts!B36 doesn't flex with weight scheme — same value at Pessimistic/Neutral/Optimistic weights.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B6" authorId="0" shapeId="0" xr:uid="{8240B431-BA8F-F340-8BAC-CCDF50E0DC1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Revenue Build D20 (Option B ARPU build).</t>
        </r>
      </text>
    </comment>
    <comment ref="B7" authorId="0" shapeId="0" xr:uid="{2BA5CA60-FA8D-0645-990C-AF31AA4F5CA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 / Methodology Sec 3: $1.1B = December 2025 monthly bookings × 12. Confirmed.</t>
        </r>
      </text>
    </comment>
    <comment ref="B8" authorId="0" shapeId="0" xr:uid="{F6359A03-41EC-2549-B2AE-EBF22C3B82D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P&amp;L E16. Forward-looking GM matches what NTM comp multiples are pricing. Spec assumed 77.5% steady-state; live model 2026E GM is close enough to be true.</t>
        </r>
      </text>
    </comment>
    <comment ref="B11" authorId="0" shapeId="0" xr:uid="{AFEBE321-EB45-E64D-8739-6632922E231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release: 103% YoY. Used for narrative; NTM growth used for regression scatter.</t>
        </r>
      </text>
    </comment>
    <comment ref="B12" authorId="0" shapeId="0" xr:uid="{A6C9E520-7428-C04D-8836-F5FAE2A9AC0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Decelerating; pulled from DCF Phase 1 input. Used in growth-adjusted scatter regression.</t>
        </r>
      </text>
    </comment>
    <comment ref="B13" authorId="0" shapeId="0" xr:uid="{099FB44D-173B-EE46-9163-41A084B01F05}">
      <text>
        <r>
          <rPr>
            <sz val="11"/>
            <color theme="1"/>
            <rFont val="Calibri"/>
            <family val="2"/>
            <scheme val="minor"/>
          </rPr>
          <t>Source: Series G post-money March 2026, Pitchbook + press. $10.1B post-money.</t>
        </r>
      </text>
    </comment>
    <comment ref="E29" authorId="0" shapeId="0" xr:uid="{2A560FF9-38CB-FA42-BBE1-4D3CCE29DCB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EV/TTM Rev: $12.06B Pitchbook estimate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$927M TTM revenue.</t>
        </r>
      </text>
    </comment>
    <comment ref="H29" authorId="0" shapeId="0" xr:uid="{11642A1A-7F06-8F4B-977A-5A6966D3E052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Estimated GM, hardware-heavy mix.</t>
        </r>
      </text>
    </comment>
    <comment ref="B73" authorId="0" shapeId="0" xr:uid="{0D40809C-81EA-C94B-9FAF-168E63B52E4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T2 Subscription Executed median, recognized GP basis. EV/GP normalizes WHOOP's 75% GM advantage. This is the spec's recommended single defensible point estimate.</t>
        </r>
      </text>
    </comment>
    <comment ref="B79" authorId="0" shapeId="0" xr:uid="{5D348A0E-55A7-3740-8D94-BB36442F9E93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Pitchbook estimate; Series E post-money $11.0B.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7" authorId="0" shapeId="0" xr:uid="{B52CE114-20B9-4142-AF39-22DCB98FBCB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DCF Bear (Sensitivity!B44) + Bear scenario healthcare option (RealOptions!B32). Additive, scenario-aligned (no cross-scenario mixing).</t>
        </r>
      </text>
    </comment>
    <comment ref="D7" authorId="0" shapeId="0" xr:uid="{CA251C8C-54C7-BA40-B8E4-BD949A16234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DCF Base (Sensitivity!C44) + Base scenario healthcare option (RealOptions!C32). Additive.</t>
        </r>
      </text>
    </comment>
    <comment ref="E7" authorId="0" shapeId="0" xr:uid="{BF9C194F-701E-5048-BEF4-117C07787B2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DCF Bull (Sensitivity!D44) + Bull scenario healthcare option (RealOptions!D32). Additive, scenario-aligned.</t>
        </r>
      </text>
    </comment>
    <comment ref="C10" authorId="0" shapeId="0" xr:uid="{BE57BC98-F387-F143-AF9B-CF77A76AE69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Low: Thesis 1 (Failed Pivot) median EV/Rev × bookings. Bear floor anchor. SPEC FLAG: mixed basis across endpoints (this row uses bookings; Base row uses recognized GP). Defensible per thesis-anchored framework but worth noting if reviewer asks why bases differ.</t>
        </r>
      </text>
    </comment>
    <comment ref="D10" authorId="0" shapeId="0" xr:uid="{610FF331-E3FE-714F-A288-FD58968402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Base: Thesis 2 (Subscription Executed) median EV/GP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recognized GP. Most defensible single point per spec. EV/GP normalizes WHOOP's 75% GM advantage. SPEC FLAG: mixed basis with Low/High rows (this uses recognized; others use bookings).</t>
        </r>
      </text>
    </comment>
    <comment ref="E10" authorId="0" shapeId="0" xr:uid="{BAD93703-4001-274C-A166-2C43B6BDE6CE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High: Thesis 2 (Subscription Executed) median EV/GP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bookings GP. Bull anchor on subscription thesis. SPEC FLAG: mixed basis with Base.</t>
        </r>
      </text>
    </comment>
    <comment ref="I10" authorId="0" shapeId="0" xr:uid="{75A05FF0-C102-E848-86E2-A5C06043B010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20% in old structure (with row 9 forward-comps at 15%). Consolidated to 35% since the three-thesis framework already captures forward thinking via NTM multiples.</t>
        </r>
      </text>
    </comment>
    <comment ref="I16" authorId="0" shapeId="0" xr:uid="{17D9792B-B7AF-4444-B1EF-07D892742774}">
      <text>
        <r>
          <rPr>
            <sz val="11"/>
            <color theme="1"/>
            <rFont val="Calibri"/>
            <family val="2"/>
            <scheme val="minor"/>
          </rPr>
          <t>Must equal 100%. DCF + Comps (three-thesis) + Last-Round + IPO. Row 9 deleted in comps cleanup; weight redistributed to row 8.</t>
        </r>
      </text>
    </comment>
    <comment ref="C36" authorId="0" shapeId="0" xr:uid="{FFDB45D2-B75E-8A4A-A1AC-738F85CBFA5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Last-Round is a single point ($10.1B), not a range. Tiny range value renders as a dot/thin bar on the chart.</t>
        </r>
      </text>
    </comment>
    <comment ref="C37" authorId="0" shapeId="0" xr:uid="{E5569E50-9FEF-4D63-928A-04CB28BCAB45}">
      <text>
        <r>
          <rPr>
            <sz val="11"/>
            <color theme="1"/>
            <rFont val="Calibri"/>
            <family val="2"/>
            <scheme val="minor"/>
          </rPr>
          <t>IPO Implied Trading Range = back-solved equity range from Series G $10.1B ÷ (1−illiquidity) ÷ (1−IPO discount). Bear/Base/Bull from Assumptions C94/D94/E94.</t>
        </r>
      </text>
    </comment>
    <comment ref="D46" authorId="0" shapeId="0" xr:uid="{554A42D3-BAFE-45AD-B201-4125A8CB85D1}">
      <text>
        <r>
          <rPr>
            <sz val="11"/>
            <color theme="1"/>
            <rFont val="Calibri"/>
            <family val="2"/>
            <scheme val="minor"/>
          </rPr>
          <t>Source: Crunchbase / CB Insights, https://news.crunchbase.com/public/peloton-to-peddle-shares-at-26-to-29-in-bid-to-raise-up-to-1-2b-in-its-ipo-cycle/</t>
        </r>
      </text>
    </comment>
    <comment ref="F46" authorId="0" shapeId="0" xr:uid="{22CA906E-7C22-452A-991F-EF4EE66A5D00}">
      <text>
        <r>
          <rPr>
            <sz val="11"/>
            <color theme="1"/>
            <rFont val="Calibri"/>
            <family val="2"/>
            <scheme val="minor"/>
          </rPr>
          <t>Source: Forge Global, https://forgeglobal.com/peloton-interactive_ipo/ - IPO priced at $29/share Sep 27 2019, $8.1B implied valuation</t>
        </r>
      </text>
    </comment>
    <comment ref="D47" authorId="0" shapeId="0" xr:uid="{34DEA191-CB91-4470-A794-736E3DBBCE1D}">
      <text>
        <r>
          <rPr>
            <sz val="11"/>
            <color theme="1"/>
            <rFont val="Calibri"/>
            <family val="2"/>
            <scheme val="minor"/>
          </rPr>
          <t>Source: VentureBeat, https://venturebeat.com/entrepreneur/ipo-scorecard-fitbit-delivers-huge-win-to-late-stage-investors/ - last round 1,300% premium implied ~$0.3B</t>
        </r>
      </text>
    </comment>
    <comment ref="F47" authorId="0" shapeId="0" xr:uid="{E4D4171E-AC39-47F5-A43F-C502B776E27A}">
      <text>
        <r>
          <rPr>
            <sz val="11"/>
            <color theme="1"/>
            <rFont val="Calibri"/>
            <family val="2"/>
            <scheme val="minor"/>
          </rPr>
          <t>Source: CNN Business, https://money.cnn.com/2015/06/17/investing/fitbit-ipo/index.html - IPO priced $20/share, $4.1B valuation</t>
        </r>
      </text>
    </comment>
    <comment ref="D48" authorId="0" shapeId="0" xr:uid="{3062A48C-176C-4364-BB0F-6D27753E2D52}">
      <text>
        <r>
          <rPr>
            <sz val="11"/>
            <color theme="1"/>
            <rFont val="Calibri"/>
            <family val="2"/>
            <scheme val="minor"/>
          </rPr>
          <t>Source: TechCrunch / PitchBook, https://techcrunch.com/2021/03/03/oscar-health-prices-ipo-at-39-and-secures-a-9-5b-valuation/</t>
        </r>
      </text>
    </comment>
    <comment ref="F48" authorId="0" shapeId="0" xr:uid="{8A5922FD-8568-4CAF-ABD4-EFA424C9D9B3}">
      <text>
        <r>
          <rPr>
            <sz val="11"/>
            <color theme="1"/>
            <rFont val="Calibri"/>
            <family val="2"/>
            <scheme val="minor"/>
          </rPr>
          <t>Source: TechCrunch, https://techcrunch.com/2021/03/03/oscar-health-prices-ipo-at-39-and-secures-a-9-5b-valuation/ - simple IPO valuation at $39/share. Fully diluted $9.5B per Renaissance Capital.</t>
        </r>
      </text>
    </comment>
    <comment ref="D49" authorId="0" shapeId="0" xr:uid="{AB5C78D9-8B66-4677-B86A-8C0A3BAFCC97}">
      <text>
        <r>
          <rPr>
            <sz val="11"/>
            <color theme="1"/>
            <rFont val="Calibri"/>
            <family val="2"/>
            <scheme val="minor"/>
          </rPr>
          <t>Source: CNN Money, https://money.cnn.com/2014/06/11/technology/innovation/gopro-ipo/index.html - Foxconn $200M for 9%, $2.25B implied</t>
        </r>
      </text>
    </comment>
    <comment ref="F49" authorId="0" shapeId="0" xr:uid="{2B82BC48-633A-4A31-81FB-65B7C1A9385D}">
      <text>
        <r>
          <rPr>
            <sz val="11"/>
            <color theme="1"/>
            <rFont val="Calibri"/>
            <family val="2"/>
            <scheme val="minor"/>
          </rPr>
          <t>Source: Wikipedia / GoPro IR, https://investor.gopro.com - IPO priced $24/share, $2.95B valuation</t>
        </r>
      </text>
    </comment>
    <comment ref="D50" authorId="0" shapeId="0" xr:uid="{384463E2-D62E-4108-9107-C129E2ED82DE}">
      <text>
        <r>
          <rPr>
            <sz val="11"/>
            <color theme="1"/>
            <rFont val="Calibri"/>
            <family val="2"/>
            <scheme val="minor"/>
          </rPr>
          <t>Source: CB Insights / Forge Global, https://forgeglobal.com/hims_ipo/ - Series C $100M at $1B pre / $1.1B post</t>
        </r>
      </text>
    </comment>
    <comment ref="F50" authorId="0" shapeId="0" xr:uid="{44626389-4F21-4644-B22E-ECF5106A8319}">
      <text>
        <r>
          <rPr>
            <sz val="11"/>
            <color theme="1"/>
            <rFont val="Calibri"/>
            <family val="2"/>
            <scheme val="minor"/>
          </rPr>
          <t>Source: CNBC, https://www.cnbc.com/2020/10/01/hims-a-direct-to-consumer-health-company-is-going-public-via-spac.html - SPAC merger with Oaktree closed Jan 2021 at $1.6B</t>
        </r>
      </text>
    </comment>
    <comment ref="D51" authorId="0" shapeId="0" xr:uid="{1FB2DF2C-2853-444A-91C1-4473D3DFFD1B}">
      <text>
        <r>
          <rPr>
            <sz val="11"/>
            <color theme="1"/>
            <rFont val="Calibri"/>
            <family val="2"/>
            <scheme val="minor"/>
          </rPr>
          <t>Source: Forge Global, https://forgeglobal.com/allbirds_ipo/ - $25M at $1.7B post-money</t>
        </r>
      </text>
    </comment>
    <comment ref="F51" authorId="0" shapeId="0" xr:uid="{C0665194-F01B-42B7-A439-B348AAAB3620}">
      <text>
        <r>
          <rPr>
            <sz val="11"/>
            <color theme="1"/>
            <rFont val="Calibri"/>
            <family val="2"/>
            <scheme val="minor"/>
          </rPr>
          <t>Source: PYMNTS, https://www.pymnts.com/news/retail/2021/allbirds-shoots-for-2-2b-valuation-in-ipo/ - $2.2B targeted IPO valuation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16" authorId="0" shapeId="0" xr:uid="{25BBA9B9-9A0D-40EB-B88D-7A13647A5508}">
      <text>
        <r>
          <rPr>
            <sz val="11"/>
            <color theme="1"/>
            <rFont val="Calibri"/>
            <family val="2"/>
            <scheme val="minor"/>
          </rPr>
          <t>Input-level ProbWeighted Equity at Pessimistic weights (P_Bear 0.35, P_Base 0.50, P_Bull 0.15). Captured by temporarily setting Assumptions!C2:G2 to the Pessimistic scheme and reading DCF!C38. Static snapshot — refresh by re-running the toggle sweep when DCF inputs change. F17 is live (=DCF!C63) at the currently selected Neutral weights.</t>
        </r>
      </text>
    </comment>
    <comment ref="F18" authorId="0" shapeId="0" xr:uid="{5E43E2D8-5B16-4B8E-915E-D3370197859C}">
      <text>
        <r>
          <rPr>
            <sz val="11"/>
            <color theme="1"/>
            <rFont val="Calibri"/>
            <family val="2"/>
            <scheme val="minor"/>
          </rPr>
          <t>Input-level ProbWeighted Equity at Optimistic weights (P_Bear 0.15, P_Base 0.45, P_Bull 0.40). Captured by temporarily setting Assumptions!C2:G2 to the Optimistic scheme and reading DCF!C38. Static snapshot — refresh by re-running the toggle sweep when DCF inputs change.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54" authorId="0" shapeId="0" xr:uid="{69A9917A-F874-465A-ACD6-024C505EFD46}">
      <text>
        <r>
          <rPr>
            <sz val="11"/>
            <color theme="1"/>
            <rFont val="Calibri"/>
            <family val="2"/>
            <scheme val="minor"/>
          </rPr>
          <t>Approximation: holds gross adds constant, scales 2033 ending by churn delta × 5x cohort sensitivity (Y3+ is ~60% of base by 2033, compounded over 6 years gives ~5x leverage). Re-run live model for exact figures — this is the directional sensitivity.</t>
        </r>
      </text>
    </comment>
    <comment ref="I54" authorId="0" shapeId="0" xr:uid="{65A93B74-946E-4F43-B771-FB83B04555E4}">
      <text>
        <r>
          <rPr>
            <sz val="11"/>
            <color theme="1"/>
            <rFont val="Calibri"/>
            <family val="2"/>
            <scheme val="minor"/>
          </rPr>
          <t>First-order approximation: equity/share scales with terminal members (the dominant driver). True DCF flex is non-linear (revenue, FCF margin, terminal multiple all move) but member count drives ~80% of variation. Re-run live model for exact figures — this is directional.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<sst xmlns="http://schemas.openxmlformats.org/spreadsheetml/2006/main" count="3161" uniqueCount="2174">
  <si>
    <t>Turn</t>
  </si>
  <si>
    <t>Date</t>
  </si>
  <si>
    <t>User Request</t>
  </si>
  <si>
    <t>Action Taken</t>
  </si>
  <si>
    <t>Details</t>
  </si>
  <si>
    <t>Outcome</t>
  </si>
  <si>
    <t>Continue Member Thesis full rebuild in Comps idiom (sections 2-11).</t>
  </si>
  <si>
    <t>Built Sections 2-11 from scratch with Comps style fingerprint applied throughout. Wiped sheet, rebuilt with calculator-panel anchors, navy banners, alt zebra rows, peach/blue/green lens tints, horizontal Lens C, composite span, trajectory build, cross-checks, Series G back-solve, key findings.</t>
  </si>
  <si>
    <t>Lens tints: A=peach #FCE4D6 (aggressive), B/C=blue #DDEBF7 (base), D=green #E2EFDA (disciplined floor). Math chain reproduces all prior values: B16=11.954 (Lens A), B17=11.209 (B), B18=10.625 (C), B19=8.379 (D), B20=10.917 (median), J93=10.918 (trajectory), B103=+0.06% (cross-check). New diagnostic: B112=15.03M Series G implied members (proxy), B113=+25.7% above Lens A ceiling.</t>
  </si>
  <si>
    <t>Member Thesis fully rebuilt: 11 sections, 125 rows. DCF unchanged ($17.89/sh). Memo-ready. Awaiting user review.</t>
  </si>
  <si>
    <t>Get sizes equivalent from Comps to Member Thesis — heights, zoom, columns don't look parallel.</t>
  </si>
  <si>
    <t>Read actual Comps column widths + row heights via Office.js. Decoded the 4-tier row height pattern (title 28pt / subtitle 36pt / banners 22pt / intros 30pt / body 15pt). Applied Comps-equivalent sizing to Member Thesis. Also fixed broken §2 Convergence formulas (B16:B19 were empty) and downstream Assumptions!F179 reference (was pointing at obsolete B11, now B20).</t>
  </si>
  <si>
    <t>Comps col widths: A=320, B-F=95 uniform, J=380 (wide notes). Member Thesis adapted: A=320, B=95, C/D=75, E/G/I/K=160 (Lens C horizontal blocks), H/L=15 gutters, M=380 (mirrors Comps J wide notes). Row tiers: 28/36/22/30/22/15. Wire-ups: B16=B30, B17=B43, B18=B67, B19=B78. Repointed Assumptions!F179 from B11 to B20.</t>
  </si>
  <si>
    <t>Sheets now parallel in size rhythm. Math chain restored: B20=10.917M lens median, F179=+0.06% triangulation, DCF $17.89/sh.</t>
  </si>
  <si>
    <t>Build probability-weighted DCF capability: add ProbWeighted scenario as 4th option that weights 16 high-leverage inputs at the input level (P_Bear×Bear + P_Base×Base + P_Bull×Bull) rather than at scenario level, to avoid joint-extreme overstatement of tail dispersion. Also fix R79 Bear-branch bug.</t>
  </si>
  <si>
    <t>Unmerged Assumptions!A2:N2 (was a single merged cell blocking writes). Built probability weight cells in row 2 (B2-I2: P_Bear=20%, P_Base=50%, P_Bull=30%, sum check with red-fill conditional format if ≠1). Added ProbWeighted column at J for 16 inputs (R19-21 churn, R36-38 GMs, R73 CSRP, R79 terminal multiple, R169-176 MG1-MG8). Fixed R79 Bear-branch bug (was pointing to D79 Base 3.5x; now correctly C79 Bear 3.0x). Updated Active formulas on all 16 rows to handle ProbWeighted branch. Extended B3 dropdown to 4 options (Bear/Base/Bull/ProbWeighted). Added DCF tab guardrail block at rows 56-74: 4-scenario EV snapshot, scenario-weighted bookend (P-weighted DCF runs), and Jensen gap analysis.</t>
  </si>
  <si>
    <t>ProbWeighted formula: =$C$2*C[row]+$E$2*D[row]+$G$2*E[row] (absolute refs on weight cells). Active formula: =IF($B$3="Bear",C[r],IF($B$3="Bull",E[r],IF($B$3="ProbWeighted",J[r],D[r]))). 16 cells touched: F19,F20,F21,F36,F37,F38,F73,F79,F169-F176. R79 bug delta on Bear: -$191M EV (terminal multiple correctly 3.0x not 3.5x). Notes column at I preserved untouched — used column J instead to avoid disturbing audit trail. DCF guardrails snapshot is STATIC values — refresh manually if any of the 16 inputs change materially.</t>
  </si>
  <si>
    <t>All 4 scenarios run cleanly. Bear=$2.50B equity / $2.66B w/opts, Base=$7.34B / $8.28B, Bull=$19.88B / $22.60B, ProbWeighted=$7.96B / $8.90B (closes ~$626M of $1.82B gap to Series G). Major finding: Jensen gap = +$2.15B (29.7%) — DCF strongly convex in inputs. Scenario-weighted equity ($10.13B) hits Series G ($10.10B) almost exactly. Memo narrative now: input-weighted = central tendency under independence, scenario-weighted = E[EV] under perfect correlation, Series G sits between (partial correlation). The Jensen gap IS the optionality premium. R79 bug fix dropped Bear EV by $191M as expected. No #REF/#VALUE/#NAME errors introduced. F179 #DIV/0! preserved as expected (Member Thesis B20 blank during rebuild).</t>
  </si>
  <si>
    <t>Push ProbWeighted scenario through entire memo — documentation, Cover, Football Field, Sensitivity, Scenarios, Checks. Style anchor to Comps + WACC Bottom-Up. Cover snapshot live on B3 toggle.</t>
  </si>
  <si>
    <t>(1) Assumptions Section 13 doc at row 181 (header banner, weights table linked to row 2, eligible-inputs table, Jensen caveat, refresh protocol). (2) Cover triangulation block at B63-C77 (live deps to DCF rows 60-65, Bear/Base/Bull/ProbWeighted/Scenario-Wtd/Series G/Jensen Gap; memo read narrative). (3) Cover B60/B61 narrative updated for new outputs. (4) Football Field K6 footnote on DCF row — NOT a new method line. (5) Sensitivity Section 5 prob-weight grid (5×5 P_Bear×P_Bull, base case yellow center, range $7.27-8.36B). (6) Scenarios fully populated: 6-method table with live links (DCF, Comps, Series G, IPO range), ProbWeighted column, Probability Weight Sensitivity block (3 schemes × Scenario-Wtd vs ProbWeighted vs Jensen Gap vs Series G). (7) Checks row 16: Check 12 weight-sum integrity, summary formulas expanded D5:D16. (8) Retried C3 description (had not persisted previously) — success on second attempt.</t>
  </si>
  <si>
    <t>Style fingerprint applied uniformly: Title bold 14-16pt white on #2F5496/#1F4E78; Subtitle italic 9-11pt #595959; Section banner bold 12pt white on #1F4E78; Table header bold 11pt black on #D9E1F2; Data 11pt black with #0000FF for inputs; Number formats $#,##0 / 0.0%/ 0.0"x" / +0.00;-0.00;0.00 deltas; Yellow #FFF2CC base case; #E2EFDA scenario-wtd; #FCE4D6 Jensen gap. Cover triangulation cells C67-C73 = LIVE formulas reading DCF!C60-C63 (single source of truth, refresh DCF and everything updates). DCF rows 60-63 themselves are STATIC — manually refreshed via validation pass. Sensitivity grid B67:F71 generated via Office.js auto-toggling P_Bear/P_Bull/P_Base across 5×5 grid (running ProbWeighted + recalc each time), base case D69 yellow.</t>
  </si>
  <si>
    <t>All decisions executed. ProbWeighted now end-to-end: docs (Assumptions row 181), Cover narrative + triangulation, Football Field footnote, Sensitivity grid, Scenarios full table, Checks weight-sum. Live test confirms toggling B3 to ProbWeighted updates Cover C34, C39 ($7.96B), C40 per-share. Memo narrative locked: input-weighted ($7.96B) = conservative anchor under input independence; scenario-weighted ($10.13B) = upper anchor at perfect correlation hits Series G almost exactly; Series G ($10.10B) reflects partial correlation; Jensen gap ($2.17B / +27%) IS the optionality premium. Checks 12/12 (11 PASS, 1 WARN). Open items flagged: Cover C43 has pre-existing label/formula mismatch (says 'Total Equity + Options' but formula reads DCF!C47 = EV+Options); RealOptions tab does not differentiate Base from ProbWeighted (both return $940M).</t>
  </si>
  <si>
    <t>Reviewed Sensitivity tab: validity of formulaic approach, accuracy of F54-F58 churn approximation tooltip, whether Grid 4 should recompute against live DCF, whether ±100bps WACC range is wide enough</t>
  </si>
  <si>
    <t>Audited Sensitivity tab against live DCF and Cover; identified two real reconciliation issues</t>
  </si>
  <si>
    <t>Confirmed: (1) formulaic SUMPRODUCT-based grids are correct architecture (live DCF would lock all cells to one scenario); (2) F54-F58 'directional only' tooltip is accurate — formula is linear approx scaled 5x, doesn't capture compounding; (3) Grid 4 should add EV column for IC relevance; (4) WACC range too narrow on the low side (Series G implied WACC &lt;10.85% can't be reached). Found Cover!C43 still pulling DCF!C47 ($7,557M EV) but labeled 'Total Equity + Options' (should be DCF!C51 = $8,276M). Found Sensitivity!E9 = $9.51B EV at base, but DCF base equity = $7.34B — narrative in A2 says $10.23B equity, which doesn't tie to live DCF.</t>
  </si>
  <si>
    <t>Findings delivered to user with P1/P2/P3 prioritization. Awaiting decision on whether to execute fixes (Cover C43 ref change, Sensitivity A2 reconciliation, Grid 1 WACC range extension, Grid 4 EV column).</t>
  </si>
  <si>
    <t>Approved Sensitivity tab rework: Grids stale with WACC/exit, Section 5 base wrong (showed 11.24M instead of 10.92M base members). Asked to rework Section 5 to match Grid 1-3 conventional (label-row + label-column + grid) format used by other grids.</t>
  </si>
  <si>
    <t>Full rebuild of Sensitivity rows 5-86: Grid 1/2/3/3b headers re-centered on live base values (WACC 11.59%, Exit Mult 3.5x, Term Growth 2.5%, Beta 0.83, CSRP 2%); base cells highlighted yellow. Grid 4 expanded with EV columns and live formulas. Section 5 (Probability Weighting + Members Lens) completely rebuilt as conventional grids with live DCF ties.</t>
  </si>
  <si>
    <t>Grid 1 (WACC×Exit Mult): A6:A12 = 10.09-13.09% step 50bps base 11.59% at A9 yellow; B5:H5 = 2.0-5.0x step 0.5x base 3.5x at E5 yellow. Grid 1 base E9 = $7.45B (pure Exit Mult). Grid 2 (WACC×Term Growth): A16:A22 same WACC; B16:F16 = 1.5-4.5% base 2.5% at D16. Grid 2 base D20 = $5.54B (pure Gordon). Grid 3 (Beta×CSRP top-down WACC) and Grid 3b (EV at top-down WACC × 3.5x exit): A28-A32 = 0.70/0.83/1.00/1.20/1.40 base 0.83; B27:F27 = 1.0-3.0% base 2% at D27. Grid 3 base D29 = 10.85% (top-down). Grid 3b base D37 = $7.80B EV. Grid 4 summary: B43:D43 EV columns (Low/Base/High by method using all three grid bases). Section 5 Block 1 (rows 63-72): 5×5 P_Bear×P_Bull grid using formula =$A66*DCF!$C$60+B$65*DCF!$C$62+(1-$A66-B$65)*DCF!$C$61. Base D68 = $10.13B = scenario-weighted bookend, NOT input-weighted $7.96B (caveat in A64). Section 5 Block 2 (rows 73-83): 6 rows of member counts centered on Members!L34=10.92M base at row 80 yellow (range 8.4-14.5M = -23%/+33% vs base). Block A: EV from FCF margin held constant. Block B: margin coupled ±60bps per ±10% members from base. Base D80=E80=$7,336M = DCF!C38. G80=$17.89/sh = DCF!C40. Coupled-bull G83=$25.22 (ONLY path &gt; Series G $24.63). All formulas live: pull from DCF!K8/K9/K10/C32/C36/C37/C38/C39/C60/C61/C62 and Members!L34. Methodology footnote at A88. Section 5 narrative A85 reads live ($9.0/sh swing, coupling adds $2.04 at bull, subtracts $0.84 at floor).</t>
  </si>
  <si>
    <t>Sensitivity tab live and audit-clean. Tie-out: E9=$7.45B (Grid 1 Exit Mult @ live WACC/Mult), D20=$5.54B (Grid 2 Gordon), D37=$7.80B (Grid 3b top-down), D68=$10.13B (Block 1 scenario-weighted bookend), D80=$7,336M = DCF!C38, G80=$17.89=DCF!C40. Methodology gaps documented in caveats. Open: Cover!C43 label/formula mismatch (deferred, low priority). Awaiting next direction.</t>
  </si>
  <si>
    <t>Reviewer (committee/IC) pushed back on RealOptions: Bull case is consumer-driven not healthcare-driven, comps multiple already prices implicit option premium (double-counting risk), and what if medical pathway doesn't materialize — ARPU defense needed. Asked to (a) add scenario-weighted line, (b) sensitivity grid scenario × probability weight, (c) memo sentences on three pushbacks, (d) elevate Bull timing logic, (e) hold multiple at 6x flat.</t>
  </si>
  <si>
    <t>Built scenario-weighted aggregation, sensitivity grid (Section 7), memo additions (Section 5b), and elevated Bull timing logic with explicit conditions.</t>
  </si>
  <si>
    <t>(1) Section 4 Scenario-weighted EV: B38 = =P_Bear*B31+P_Base*C31+P_Bull*D31 = $1,286M ($1.29B vs Base scenario $940M); C38 caveat explains two-layer probability is not double-counting (within-scenario P(materialize) at row 30 already weights by trigger probability; cross-scenario weights weight outcome distributions — they compound). (2) Section 7 Block A: per-scenario contribution decomposition Bear $33M/2.6%, Base $470M/36.6%, Bull $783M/60.9% (Bull dominates despite only 30% weight — reflects $2.6B Bull intrinsic value). (3) Section 7 Block B: 5×5 P_Bear×P_Bull grid centered on D97=$1,286M; floor max-bear=$874M, ceiling max-bull=$1,697M, range=$823M. P_Bull lever=$167M per 10pp, P_Bear lever=$39M per 10pp — Bull weight is dominant lever. Read narrative at A109 with live TEXT formulas reading B38, D97, B96/F98 floor/ceiling, B98/F96 corner cases. (4) Section 5b Pushback responses (rows 80-90): consumer-only Bull (clean separation — DCF runs consumer assumptions, option valued discretely, scenario-weighted EV adds them), implicit option premium ($220-440M estimated comps premium; recommend reading explicit option as standalone module — reader can subtract premium if they believe it's already priced; or keep $700-1,000M proves-in floor), ARPU defense ($338/yr blended consumer+B2B is intact regardless of medical materialization — only incremental medical-bill ARPU is at risk; Bear $164M residual = 15% prob × $1.07B intrinsic still positive). (5) Bull timing elevated (row 68 yellow callout): 4yr requires three conditions ALL to break right (CMS Innovation Center accelerates 7-10yr review, CPT code filing within 18 months, Abbott/Mayo co-published study by Y2). Probability of all three = 25% = P_Bull. 1 extra year = ~11% PV drag (multiplicative discount). (6) Multiple held at 6x flat per user direction. (7) Style: scenario-weighted line uses #E2EFDA mint. Block A and B narratives at A109 fully live.</t>
  </si>
  <si>
    <t>RealOptions tab now Series A: Section 4 dual reads (active scenario $940M Base + scenario-weighted $1,286M cross-scenario), Section 7 sensitivity grid live, Section 5b pushback responses memo-quality. Tie-outs: B38=$1,286M, D97=$1,286M, F98=$1,697M ceiling, B96=$874M floor. Awaiting next direction.</t>
  </si>
  <si>
    <t>WHOOP Inc.</t>
  </si>
  <si>
    <t>Private Company Valuation</t>
  </si>
  <si>
    <t>Investment Committee Memo — Supporting Model</t>
  </si>
  <si>
    <t>Company:</t>
  </si>
  <si>
    <t>Ticker:</t>
  </si>
  <si>
    <t>Private (Pre-IPO)</t>
  </si>
  <si>
    <t>Last Round:</t>
  </si>
  <si>
    <t>Series G — $575M at $10.1B post-money (Mar 31, 2026)</t>
  </si>
  <si>
    <t>Model Date:</t>
  </si>
  <si>
    <t>April 16, 2026</t>
  </si>
  <si>
    <t>Analyst:</t>
  </si>
  <si>
    <t>Landon Brice</t>
  </si>
  <si>
    <t>Fiscal Year:</t>
  </si>
  <si>
    <t>Calendar Year (Jan-Dec)</t>
  </si>
  <si>
    <t>Currency:</t>
  </si>
  <si>
    <t>USD ($M unless noted)</t>
  </si>
  <si>
    <t>Valuation Methods:</t>
  </si>
  <si>
    <t>1. Intrinsic DCF (scenario-based + real options)</t>
  </si>
  <si>
    <t>2. Trading Comps (three-bucket framework)</t>
  </si>
  <si>
    <t>3. Precedent Transactions</t>
  </si>
  <si>
    <t>4. Last-Round Implied ($10.1B)</t>
  </si>
  <si>
    <t>5. Implied IPO Trading Range (back-solved)</t>
  </si>
  <si>
    <t>Color Convention:</t>
  </si>
  <si>
    <t>Hard-coded input</t>
  </si>
  <si>
    <t>Formula / calculation</t>
  </si>
  <si>
    <t>Cross-sheet link</t>
  </si>
  <si>
    <t>Needs verification / FLAGGED_GAP</t>
  </si>
  <si>
    <t>Source Files:</t>
  </si>
  <si>
    <t>Valuation Summary (live, scenario-driven)</t>
  </si>
  <si>
    <t>Active Scenario</t>
  </si>
  <si>
    <t>Base DCF — Enterprise Value</t>
  </si>
  <si>
    <t xml:space="preserve">  + Cash</t>
  </si>
  <si>
    <t xml:space="preserve">  − Debt</t>
  </si>
  <si>
    <t>= Equity Value</t>
  </si>
  <si>
    <t xml:space="preserve">  Per Share (FD)</t>
  </si>
  <si>
    <t>Real Options (Expected)</t>
  </si>
  <si>
    <t>n/a</t>
  </si>
  <si>
    <t>Total Equity + Options</t>
  </si>
  <si>
    <t>Series G Mark</t>
  </si>
  <si>
    <t>Base DCF vs Series G</t>
  </si>
  <si>
    <t>DCF + Options vs Series G</t>
  </si>
  <si>
    <t>Football Field (multi-method synthesis)</t>
  </si>
  <si>
    <t>Weighted Average EV</t>
  </si>
  <si>
    <t xml:space="preserve">  vs Series G</t>
  </si>
  <si>
    <t>Model Integrity (Checks tab)</t>
  </si>
  <si>
    <t>Passing</t>
  </si>
  <si>
    <t>Warning</t>
  </si>
  <si>
    <t>Failing</t>
  </si>
  <si>
    <t>Overall</t>
  </si>
  <si>
    <t>Framing Decision — Base Case vs Real Options</t>
  </si>
  <si>
    <t>Base DCF reflects WHOOP's subscription-driven unit economics if executed (terminal GM ~80%, FCF margin 27%). Real options are valued separately as a single binary-gate decision tree on the healthcare reimbursement pathway: probability of CMS materialization × incremental eligible-member revenue × medtech multiple × discount factor. Probability range 15-25% reflects iRhythm precedent (7+ year consumer→medical pathway) plus WHOOP-specific signals (CMS Innovation Center selection Apr 2026, Abbott + Mayo Series G investors). NEW: Probability-weighted scenario added to triangulate Bear/Base/Bull at the input level (ProbWeighted) alongside scenario level (P·DCF) — see triangulation block below.</t>
  </si>
  <si>
    <t>Memo conclusion: Base DCF $7.34B equity (-27% vs Series G $10.10B). DCF + healthcare option $8.28B (-18%). ProbWeighted (input-level, P_Bear 20% / P_Base 50% / P_Bull 30%) $7.96B equity (-21%) — the conservative anchor under input independence. Scenario-weighted (P·DCF, same weights) $10.13B equity — hits the Series G mark almost exactly, telling us investors are pricing the model under perfect cross-input correlation. The Jensen gap (~$2.2B, +27%) is the joint-optionality premium. Series G defensible only if (a) healthcare materializes (15-25% prob), AND (b) bull case drivers correlate jointly across member growth, ARPU, churn, and multiple expansion.</t>
  </si>
  <si>
    <t>Probability-Weighting Triangulation (input-level vs scenario-level)</t>
  </si>
  <si>
    <t>Two ways to combine Bear/Base/Bull into a single number. Input-level (ProbWeighted) is the central tendency under input independence; scenario-level (P·DCF(scenario) summed) is E[EV] under perfect cross-input correlation. The gap = the optionality premium investors price.</t>
  </si>
  <si>
    <t>Method</t>
  </si>
  <si>
    <t>Equity ($M)</t>
  </si>
  <si>
    <t>Bear (full bear scenario)</t>
  </si>
  <si>
    <t>Base (full base scenario)</t>
  </si>
  <si>
    <t>Bull (full bull scenario)</t>
  </si>
  <si>
    <t>ProbWeighted (input-level) — conservative anchor</t>
  </si>
  <si>
    <t>Scenario-weighted (P·DCF) — upper anchor</t>
  </si>
  <si>
    <t>Series G mark (March 2026)</t>
  </si>
  <si>
    <t>Jensen Gap (Scenario-weighted minus ProbWeighted)</t>
  </si>
  <si>
    <t xml:space="preserve">  Jensen Gap %</t>
  </si>
  <si>
    <t>Memo Read:</t>
  </si>
  <si>
    <t>Series G ($10.1B) lands almost exactly at the scenario-weighted Equity ($10.13B). Read this as: investors are pricing the model under perfect cross-input correlation — the 'story holds together' assumption (high member growth AND tight churn AND multiple expansion AND CSRP compression all jointly). Input-level ProbWeighted ($7.96B) is the conservative anchor under input independence — 16% below the mark. The gap (~$2.2B) IS the joint-optionality premium. Healthcare option (separate) layers on top.</t>
  </si>
  <si>
    <t>WHOOP — Memo Visuals Tab</t>
  </si>
  <si>
    <t>Memo-ready visual deliverables. Live formulas — update as model refreshes. Section 1 = headline scenario table. Section 2 = DCF waterfall bridge. Section 3 = tornado (Base + ProbWeighted). Section 4 = Football Field. Section 5 = 2D sensitivity heatmap. Section 6 = Jensen triangulation.</t>
  </si>
  <si>
    <t>1. Scenario Output Table</t>
  </si>
  <si>
    <t>Live read from DCF triangulation. Color-banded by scenario. ProbWeighted highlighted as headline.</t>
  </si>
  <si>
    <t>Metric</t>
  </si>
  <si>
    <t>Bear</t>
  </si>
  <si>
    <t>Base</t>
  </si>
  <si>
    <t>Bull</t>
  </si>
  <si>
    <t>ProbWeighted</t>
  </si>
  <si>
    <t>Probability weight</t>
  </si>
  <si>
    <t>DCF Equity ($M)</t>
  </si>
  <si>
    <t>Equity + Real Options ($M)</t>
  </si>
  <si>
    <t>Implied $/share</t>
  </si>
  <si>
    <t>vs Series G ($10.1B mark)</t>
  </si>
  <si>
    <t>WACC %</t>
  </si>
  <si>
    <t>2. DCF Waterfall Bridge — How EV Becomes Equity</t>
  </si>
  <si>
    <t>Live from DCF Base scenario. Toggle B3 on Assumptions to see waterfall flex by scenario.</t>
  </si>
  <si>
    <t>Step</t>
  </si>
  <si>
    <t>Value ($M)</t>
  </si>
  <si>
    <t>Running Total ($M)</t>
  </si>
  <si>
    <t>Type</t>
  </si>
  <si>
    <t>Invisible base</t>
  </si>
  <si>
    <t>Build/Add</t>
  </si>
  <si>
    <t>Subtract</t>
  </si>
  <si>
    <t>Total</t>
  </si>
  <si>
    <t>PV of FCFs (2026-2033)</t>
  </si>
  <si>
    <t>Build</t>
  </si>
  <si>
    <t>PV of Terminal Value</t>
  </si>
  <si>
    <t>Enterprise Value</t>
  </si>
  <si>
    <t>Less: Debt</t>
  </si>
  <si>
    <t>Plus: Cash</t>
  </si>
  <si>
    <t>Add</t>
  </si>
  <si>
    <t>Equity Value (DCF Base)</t>
  </si>
  <si>
    <t>Plus: Real Options (Active)</t>
  </si>
  <si>
    <t>Equity + Real Options</t>
  </si>
  <si>
    <t>3. Tornado — Driver Sensitivity (Base &amp; ProbWeighted Baselines)</t>
  </si>
  <si>
    <t>Each driver flexed individually from baseline scenario to Bear/Bull values, holding all others at baseline. Drivers ranked by Bull-Bear equity spread. Static snapshot — refresh manually if model changes materially.</t>
  </si>
  <si>
    <t>Rank</t>
  </si>
  <si>
    <t>Driver</t>
  </si>
  <si>
    <t>Bear Equity ($M)</t>
  </si>
  <si>
    <t>Base Equity ($M)</t>
  </si>
  <si>
    <t>Bull Equity ($M)</t>
  </si>
  <si>
    <t>Bear Δ ($M)</t>
  </si>
  <si>
    <t>Bull Δ ($M)</t>
  </si>
  <si>
    <t>ProbWtd Equity ($M)</t>
  </si>
  <si>
    <t>Bear Δ</t>
  </si>
  <si>
    <t>Bull Δ</t>
  </si>
  <si>
    <t>Spread</t>
  </si>
  <si>
    <t>Member Growth (MG1-MG8)</t>
  </si>
  <si>
    <t>Terminal EV/Rev Multiple</t>
  </si>
  <si>
    <t>Bottoms-Up WACC</t>
  </si>
  <si>
    <t>R&amp;D % Rev (terminal)</t>
  </si>
  <si>
    <t>SBC % Rev (terminal)</t>
  </si>
  <si>
    <t>G&amp;A % Rev (terminal)</t>
  </si>
  <si>
    <t>Terminal COGS % (C7d_end)</t>
  </si>
  <si>
    <t>CapEx % Rev</t>
  </si>
  <si>
    <t>Y3+ Cohort Churn</t>
  </si>
  <si>
    <t>Tax Rate</t>
  </si>
  <si>
    <t>SBC % Rev (current)</t>
  </si>
  <si>
    <t>SBC IPO 2028 override</t>
  </si>
  <si>
    <t>SBC IPO 2027 override</t>
  </si>
  <si>
    <t>4. Football Field — Multi-Method Valuation Synthesis</t>
  </si>
  <si>
    <t>Each method's Low/Base/High EV in $B. ProbWeighted DCF (input-level) and Scenario-Weighted DCF (P·DCF) ranges reflect three weight schemes (Pessimistic 35/50/15, Neutral 20/50/30, Optimistic 15/45/40). Pulls direct from DCF, Scenarios, Comps, Assumptions — no Sensitivity dependency.</t>
  </si>
  <si>
    <t>Low ($B)</t>
  </si>
  <si>
    <t>Base ($B)</t>
  </si>
  <si>
    <t>High ($B)</t>
  </si>
  <si>
    <t>Range ($B)</t>
  </si>
  <si>
    <t>Source</t>
  </si>
  <si>
    <t>Low (offset)</t>
  </si>
  <si>
    <t>Range (visible)</t>
  </si>
  <si>
    <t>Series G ref</t>
  </si>
  <si>
    <t>1. Intrinsic DCF (Bear/Base/Bull)</t>
  </si>
  <si>
    <t>DCF!C60:C62 (Equity)</t>
  </si>
  <si>
    <t>ProbWeighted DCF</t>
  </si>
  <si>
    <t>1b. DCF + Real Options (excluded from valuation)</t>
  </si>
  <si>
    <t>Excluded (RealOptions tab stale)</t>
  </si>
  <si>
    <t>5. IPO Range</t>
  </si>
  <si>
    <t>1c. ProbWeighted DCF (input-level)</t>
  </si>
  <si>
    <t>Scenarios!F16:F18</t>
  </si>
  <si>
    <t>4. Last-Round (Series G)</t>
  </si>
  <si>
    <t>1d. Scenario-Weighted DCF (P·DCF)</t>
  </si>
  <si>
    <t>Scenarios!E16:E18</t>
  </si>
  <si>
    <t>2. Public Comps</t>
  </si>
  <si>
    <t>2. Public Comps (Three-Thesis)</t>
  </si>
  <si>
    <t>Comps!D43/D55/D56</t>
  </si>
  <si>
    <t>1b. DCF + Real Options</t>
  </si>
  <si>
    <t>4. Last-Round Implied (Series G)</t>
  </si>
  <si>
    <t>DCF!C52</t>
  </si>
  <si>
    <t>1. Intrinsic DCF</t>
  </si>
  <si>
    <t>5. Implied IPO Trading Range</t>
  </si>
  <si>
    <t>Assumptions C94/D94/E94 (reference-class step-up)</t>
  </si>
  <si>
    <t>5. 2D Sensitivity — WACC × Terminal EV/Revenue Multiple</t>
  </si>
  <si>
    <t>Live read from Sensitivity tab Grid 1. Enterprise Value ($B). Center cell = Base case (WACC 11.59%, 3.5x multiple).</t>
  </si>
  <si>
    <t>WACC ↓ / Exit Mult →</t>
  </si>
  <si>
    <t>6. Jensen Gap Triangulation — Input vs Scenario Weighting</t>
  </si>
  <si>
    <t>Three anchors on the equity number line. ProbWeighted = central tendency under input independence. Scenario-weighted (P·DCF) = E[EV] under perfect cross-input correlation. Series G = market price. Gap = optionality premium.</t>
  </si>
  <si>
    <t>Anchor</t>
  </si>
  <si>
    <t>vs Series G</t>
  </si>
  <si>
    <t>Notes</t>
  </si>
  <si>
    <t>Bear scenario</t>
  </si>
  <si>
    <t>Full bear case independent run</t>
  </si>
  <si>
    <t>Base scenario</t>
  </si>
  <si>
    <t>Full base case (model headline)</t>
  </si>
  <si>
    <t>Bull scenario</t>
  </si>
  <si>
    <t>Full bull case independent run</t>
  </si>
  <si>
    <t>ProbWeighted (input-level) — conservative</t>
  </si>
  <si>
    <t>P_w·input → single DCF; under-prices joint optionality</t>
  </si>
  <si>
    <t>P_Bear·Bear+P_Base·Base+P_Bull·Bull; over-prices independence</t>
  </si>
  <si>
    <t>Investor price = market read on partial correlation</t>
  </si>
  <si>
    <t>Jensen Gap (Scen-wtd minus ProbWeighted)</t>
  </si>
  <si>
    <t>+$2.0B — the joint-correlation premium</t>
  </si>
  <si>
    <t>WHOOP — Master Assumptions</t>
  </si>
  <si>
    <t>Probability Weights (ProbWeighted scenario):</t>
  </si>
  <si>
    <t>P_Bear</t>
  </si>
  <si>
    <t>P_Base</t>
  </si>
  <si>
    <t>P_Bull</t>
  </si>
  <si>
    <t>Sum check:</t>
  </si>
  <si>
    <t>Scenario:</t>
  </si>
  <si>
    <t xml:space="preserve">  Select Bear / Base / Bull / ProbWeighted — drives Active column F throughout the model. ProbWeighted = P_Bear×Bear + P_Base×Base + P_Bull×Bull on 16 high-leverage inputs (see row 2 weights, Section 13 doc at row 181).</t>
  </si>
  <si>
    <t>ID</t>
  </si>
  <si>
    <t>Assumption</t>
  </si>
  <si>
    <t>Active</t>
  </si>
  <si>
    <t>Tier</t>
  </si>
  <si>
    <t>Status</t>
  </si>
  <si>
    <t>Section 1: Revenue &amp; Growth</t>
  </si>
  <si>
    <t>R3a</t>
  </si>
  <si>
    <t>2025 Beginning Members (M)</t>
  </si>
  <si>
    <t>Tier 3</t>
  </si>
  <si>
    <t>High</t>
  </si>
  <si>
    <t>Back-solved to reconcile avg×ARPU ≈ $650M base. Bear slower decel; bull faster acquisition.</t>
  </si>
  <si>
    <t>R3b</t>
  </si>
  <si>
    <t>2025 Ending Members (M)</t>
  </si>
  <si>
    <t>Tier 1</t>
  </si>
  <si>
    <t>Critical</t>
  </si>
  <si>
    <t>Series G press release: 2.5M+ paying members</t>
  </si>
  <si>
    <t>R3</t>
  </si>
  <si>
    <t>2025 Average Members (M) — DERIVED</t>
  </si>
  <si>
    <t>Derived</t>
  </si>
  <si>
    <t>Per methodology: ARPU applies to AVERAGE members during period, NOT year-end.</t>
  </si>
  <si>
    <t>R4</t>
  </si>
  <si>
    <t>2025 Blended ARPU ($/yr)</t>
  </si>
  <si>
    <t>Base linked to ARPU!D10 = $274 (year-specific bottoms-up: consumer 80% × $278 + Unite 20% × $260). 2026 steps to $307 (mature build w/ Labs + BP at 5% attach). Bear/Bull still hardcoded $ overrides — TODO: rebuild from tier-mix scenarios. See ARPU tab.</t>
  </si>
  <si>
    <t>R1</t>
  </si>
  <si>
    <t>2025 Recognized Revenue ($M) — DERIVED</t>
  </si>
  <si>
    <t>DERIVED: Avg Members × Blended ARPU. 2025 reconciles to $1.1B Series G run-rate as Dec exit-rate annualized, NOT full-year recognized. Gap = ramp through year (free-hardware pivot 9/2025). Memo material.</t>
  </si>
  <si>
    <t>R2</t>
  </si>
  <si>
    <t>2025 Bookings Run-Rate ($M)</t>
  </si>
  <si>
    <t>Locked</t>
  </si>
  <si>
    <t>Series G press release; CEO statement (Dec 2025 exit-rate × 12). NOT full-year recognized — see I12 reconciliation note.</t>
  </si>
  <si>
    <t>R5</t>
  </si>
  <si>
    <t>Subscription Revenue %</t>
  </si>
  <si>
    <t>Tier 2</t>
  </si>
  <si>
    <t>Sacra/BMCT: ~80-88% range</t>
  </si>
  <si>
    <t>R6</t>
  </si>
  <si>
    <t>2025 YoY Subscription Growth</t>
  </si>
  <si>
    <t>Series G press release: 103%</t>
  </si>
  <si>
    <t>R7</t>
  </si>
  <si>
    <t>Phase 1 Revenue Growth (2026-27)</t>
  </si>
  <si>
    <t>Peer trajectories; Series G deployment &amp; WHOOP 5.0 cycle</t>
  </si>
  <si>
    <t>R8</t>
  </si>
  <si>
    <t>Phase 2 Revenue Growth (2028-30)</t>
  </si>
  <si>
    <t>Deceleration shape: Dexcom (bull) / Netflix (base) / Peloton (bear)</t>
  </si>
  <si>
    <t>R9</t>
  </si>
  <si>
    <t>Phase 3 Revenue Growth (2031-33)</t>
  </si>
  <si>
    <t>TAM ceiling; healthcare attach resolution</t>
  </si>
  <si>
    <t>R10a</t>
  </si>
  <si>
    <t>Year-1 Cohort Annual Churn</t>
  </si>
  <si>
    <t>Highest churn ("try and quit"). Will drive Members tab cohort engine.</t>
  </si>
  <si>
    <t>R10b</t>
  </si>
  <si>
    <t>Year-2 Cohort Annual Churn</t>
  </si>
  <si>
    <t>Stabilizing cohort</t>
  </si>
  <si>
    <t>R10c</t>
  </si>
  <si>
    <t>Year-3+ Cohort Annual Churn</t>
  </si>
  <si>
    <t>Retained core; very sticky power users</t>
  </si>
  <si>
    <t>R12</t>
  </si>
  <si>
    <t>B2B Unite Revenue %</t>
  </si>
  <si>
    <t>Medium</t>
  </si>
  <si>
    <t>Sacra/BMCT: ~20% recurring revenue; growing rapidly</t>
  </si>
  <si>
    <t>R14</t>
  </si>
  <si>
    <t>Advanced Labs Attach Rate</t>
  </si>
  <si>
    <t>BUCKET-3 THESIS VARIABLE. Bear/Base/Bull per methodology Sec 3. Single most important ARPU assumption — swings $80/member.</t>
  </si>
  <si>
    <t>R15</t>
  </si>
  <si>
    <t>Labs Avg Test Price ($)</t>
  </si>
  <si>
    <t>WHOOP Advanced Labs site: $199-$599. Methodology base: $300.</t>
  </si>
  <si>
    <t>R16</t>
  </si>
  <si>
    <t>Annual Price Inflation</t>
  </si>
  <si>
    <t>CPI + premium brand pricing power</t>
  </si>
  <si>
    <t>R18</t>
  </si>
  <si>
    <t>2026 Gross Adds (M)</t>
  </si>
  <si>
    <t>Methodology priors: 1.8-2.0M base. Members tab will use this; per-year gross adds modeled there. CAC × this = S&amp;M consistency check.</t>
  </si>
  <si>
    <t>R19</t>
  </si>
  <si>
    <t>Deferred Revenue Adjustment (% of bookings)</t>
  </si>
  <si>
    <t>Drag during growth (recognized &lt; booked); ASC 606. Approaches 0 at steady state.</t>
  </si>
  <si>
    <t>Section 2: Cost Structure &amp; Margins</t>
  </si>
  <si>
    <t>C1</t>
  </si>
  <si>
    <t>Hardware BOM per Device ($)</t>
  </si>
  <si>
    <t>Est. $50-80 at scale; 2016 BOM was $250-300 per Contrary Research</t>
  </si>
  <si>
    <t>C2</t>
  </si>
  <si>
    <t>Loaded Hardware Cost per Acquisition ($)</t>
  </si>
  <si>
    <t>C1 + assembly, ship, warranty, returns. Drives unit economics.</t>
  </si>
  <si>
    <t>C4</t>
  </si>
  <si>
    <t>Subscription Delivery Cost (% of sub rev)</t>
  </si>
  <si>
    <t>Infra + support; AWS/GCP benchmarks; declining at scale</t>
  </si>
  <si>
    <t>C5</t>
  </si>
  <si>
    <t>Subscription Gross Margin (standalone)</t>
  </si>
  <si>
    <t>Peer: pure SaaS ~80%, Dexcom ~64% (incl consumables). WHOOP higher quality recurring.</t>
  </si>
  <si>
    <t>C6</t>
  </si>
  <si>
    <t>Hardware Gross Margin (standalone)</t>
  </si>
  <si>
    <t>Subsidized at acquisition; Peloton HW GM trajectory: -18% to +14%</t>
  </si>
  <si>
    <t>C7a</t>
  </si>
  <si>
    <t>Blended GM Phase 1 (2026-27)</t>
  </si>
  <si>
    <t>Phase 1 blended GM (legacy decomposed framework, pre-collapse to C7d). No longer drives the model post-ARPU simplification — retained for reference only.</t>
  </si>
  <si>
    <t>C7b</t>
  </si>
  <si>
    <t>Blended GM Phase 2 (2028-30)</t>
  </si>
  <si>
    <t>Margin expansion as growth decelerates</t>
  </si>
  <si>
    <t>C7c</t>
  </si>
  <si>
    <t>Blended GM Terminal</t>
  </si>
  <si>
    <t>Peer terminal: Dexcom 60%, Spotify 32%; software-heavy mix at scale</t>
  </si>
  <si>
    <t>C8a</t>
  </si>
  <si>
    <t>R&amp;D % of Revenue (current)</t>
  </si>
  <si>
    <t>Peers: Dexcom 13%, Garmin 16%, growth SaaS 20-30%</t>
  </si>
  <si>
    <t>C8b</t>
  </si>
  <si>
    <t>R&amp;D % of Revenue (terminal)</t>
  </si>
  <si>
    <t>Peer steady-state</t>
  </si>
  <si>
    <t>C9</t>
  </si>
  <si>
    <t>S&amp;M % of Revenue (current)</t>
  </si>
  <si>
    <t>Peloton peak 28.4% FY22, current 16.9% FY25. Bear = stuck high.</t>
  </si>
  <si>
    <t>C9a</t>
  </si>
  <si>
    <t>Paid CAC per Gross Add ($)</t>
  </si>
  <si>
    <t>30-50% of first-year ARPU. S&amp;M consistency check on Checks tab.</t>
  </si>
  <si>
    <t>C9b</t>
  </si>
  <si>
    <t>Athlete/Brand Spend ($M/yr)</t>
  </si>
  <si>
    <t>Press, endorsement deals; non-paid S&amp;M floor</t>
  </si>
  <si>
    <t>C9t</t>
  </si>
  <si>
    <t>x</t>
  </si>
  <si>
    <t>Peer steady-state: Garmin SG&amp;A 14-19%</t>
  </si>
  <si>
    <t>C10</t>
  </si>
  <si>
    <t>G&amp;A % of Revenue (current)</t>
  </si>
  <si>
    <t>IPO step-up 200-300bps in 2027-28 (SOX, IR, legal)</t>
  </si>
  <si>
    <t>C10t</t>
  </si>
  <si>
    <t>G&amp;A % of Revenue (terminal)</t>
  </si>
  <si>
    <t>C11a</t>
  </si>
  <si>
    <t>SBC % of Revenue (current, 2026 pre-IPO peak)</t>
  </si>
  <si>
    <t>Peloton: 9.2% FY25; pre-IPO typically higher. SBC is REAL COST in FCF.</t>
  </si>
  <si>
    <t>C11b</t>
  </si>
  <si>
    <t>SBC % of Revenue (terminal, 2033 post-IPO normalized)</t>
  </si>
  <si>
    <t>Methodology Sec 6: SBC normalizes to 6-10% post-IPO. Linear taper from F47 (current) to F48 (terminal) by 2033.</t>
  </si>
  <si>
    <t>C13</t>
  </si>
  <si>
    <t>CapEx % of Revenue</t>
  </si>
  <si>
    <t>Asset-light; contract manufacturing</t>
  </si>
  <si>
    <t>C16</t>
  </si>
  <si>
    <t>NWC % of Incremental Revenue</t>
  </si>
  <si>
    <t>Negative = WC benefit (deferred rev &gt; inventory drag during growth)</t>
  </si>
  <si>
    <t>C17</t>
  </si>
  <si>
    <t>Advanced Labs COGS %</t>
  </si>
  <si>
    <t>Quest/Labcorp panel margins ~30-40%; bucket-3 sensitivity</t>
  </si>
  <si>
    <t>C15</t>
  </si>
  <si>
    <t>Tax Rate (effective)</t>
  </si>
  <si>
    <t>US statutory; intl mix-shift lowers over time</t>
  </si>
  <si>
    <t>C12</t>
  </si>
  <si>
    <t>D&amp;A % of Revenue</t>
  </si>
  <si>
    <t>Capex amortization; lower in mature stages as growth slows. Restored after styling pass clobbered row.</t>
  </si>
  <si>
    <t>Section 3: Capital Structure &amp; Cap Table (incl. cash yield)</t>
  </si>
  <si>
    <t>S1</t>
  </si>
  <si>
    <t>Fully Diluted Shares Outstanding (M)</t>
  </si>
  <si>
    <t>361.2M common + ~50M option pool est. Pitchbook auth pref 537.9M, outs 361.2M.</t>
  </si>
  <si>
    <t>S2</t>
  </si>
  <si>
    <t>Series G Price per Share ($)</t>
  </si>
  <si>
    <t>Pitchbook Series G data; back-solve from $575M raise / shares issued</t>
  </si>
  <si>
    <t>S3</t>
  </si>
  <si>
    <t>Liquidation Preference Type</t>
  </si>
  <si>
    <t>Participating</t>
  </si>
  <si>
    <t>1x non-participating</t>
  </si>
  <si>
    <t>Pitchbook: 1x non-participating pari passu. Bear assumes participating ratchet.</t>
  </si>
  <si>
    <t>S4</t>
  </si>
  <si>
    <t>Total Liquidation Preference ($M)</t>
  </si>
  <si>
    <t>Sum of preferred raises: ~$1.4B aggregate (Series A through G)</t>
  </si>
  <si>
    <t>S7</t>
  </si>
  <si>
    <t>Option Pool Size (% of FD shares)</t>
  </si>
  <si>
    <t>Typical 10-15% pre-IPO; 600-person hiring surge implies aggressive granting</t>
  </si>
  <si>
    <t>S8</t>
  </si>
  <si>
    <t>Founder Ownership Ahmed (% FD)</t>
  </si>
  <si>
    <t>12-18% est. across 7 rounds + pool refreshes; possibly lower with secondaries</t>
  </si>
  <si>
    <t>S9</t>
  </si>
  <si>
    <t>DLOM (Discount for Lack of Marketability)</t>
  </si>
  <si>
    <t>Oura tender 25%; EquityZen avg 13-29%; Hiive 39-51% deeper discount</t>
  </si>
  <si>
    <t>S10</t>
  </si>
  <si>
    <t>Debt on Balance Sheet ($M)</t>
  </si>
  <si>
    <t>Low</t>
  </si>
  <si>
    <t>Likely minimal/zero; Pitchbook shows $10.13M debt round Mar 2024</t>
  </si>
  <si>
    <t>S11</t>
  </si>
  <si>
    <t>Cash post Series G ($M)</t>
  </si>
  <si>
    <t>Back-solve: $575M raise + operating cash flow positive entering 2026</t>
  </si>
  <si>
    <t>S12</t>
  </si>
  <si>
    <t>EV-to-Equity Bridge ($M) — DERIVED</t>
  </si>
  <si>
    <t>Cash − Debt: add to EV to bridge to equity value</t>
  </si>
  <si>
    <t>S15</t>
  </si>
  <si>
    <t>Series F Ratchet / IPO Provisions</t>
  </si>
  <si>
    <t>Live</t>
  </si>
  <si>
    <t>Likely extinguished</t>
  </si>
  <si>
    <t>Extinguished</t>
  </si>
  <si>
    <t>Likely extinguished at Series G close; SoftBank notably absent from Series G syndicate</t>
  </si>
  <si>
    <t>S16</t>
  </si>
  <si>
    <t>C18</t>
  </si>
  <si>
    <t>Cash money-market yield (interest income on idle balance)</t>
  </si>
  <si>
    <t>Yield on idle Series G cash. Apply to PRIOR-YEAR ending cash balance to avoid circularity (no feedback into current year cash).</t>
  </si>
  <si>
    <t>Section 4: WACC / Discount Rate (Damodaran Apr 2026)</t>
  </si>
  <si>
    <t>D1</t>
  </si>
  <si>
    <t>Risk-Free Rate (10yr UST)</t>
  </si>
  <si>
    <t>Fed H.15, Apr 14 2026: 4.26%; rounded 4.3%</t>
  </si>
  <si>
    <t>D2</t>
  </si>
  <si>
    <t>Equity Risk Premium</t>
  </si>
  <si>
    <t>Point Est.</t>
  </si>
  <si>
    <t>Damodaran 4.23% (Jan 2026); Kroll 5.0%; midpoint 4.5%</t>
  </si>
  <si>
    <t>D3</t>
  </si>
  <si>
    <t>Unlevered Beta (bucket-weighted)</t>
  </si>
  <si>
    <t>Sensitivity</t>
  </si>
  <si>
    <t>Damodaran sector: Healthcare 0.83, Electronics 0.83. Bucket-weighted.</t>
  </si>
  <si>
    <t>D4</t>
  </si>
  <si>
    <t>Size Premium</t>
  </si>
  <si>
    <t>Kroll CRSP Decile 3 ($7.3-13.5B): 0.81%</t>
  </si>
  <si>
    <t>D5</t>
  </si>
  <si>
    <t>Company-Specific Risk Premium (CSRP)</t>
  </si>
  <si>
    <t>Pre-IPO execution risk + private illiquidity; 1-3% range</t>
  </si>
  <si>
    <t>D8</t>
  </si>
  <si>
    <t>Implied Cost of Equity / WACC — DERIVED</t>
  </si>
  <si>
    <t>Bottoms Up WACC</t>
  </si>
  <si>
    <t>Section 5: Terminal Value</t>
  </si>
  <si>
    <t>D9</t>
  </si>
  <si>
    <t>Terminal Method (primary)</t>
  </si>
  <si>
    <t>Exit Multiple</t>
  </si>
  <si>
    <t>Design</t>
  </si>
  <si>
    <t>Primary: EV/Revenue exit multiple; cross-check: Gordon Growth</t>
  </si>
  <si>
    <t>D11</t>
  </si>
  <si>
    <t>Terminal EV/Revenue Multiple</t>
  </si>
  <si>
    <t>Compressed 40-60% from current comps; reflects terminal growth 10-15%</t>
  </si>
  <si>
    <t>D12</t>
  </si>
  <si>
    <t>Terminal EV/EBITDA Multiple</t>
  </si>
  <si>
    <t>Cross-check only; more stable than revenue multiple at maturity</t>
  </si>
  <si>
    <t>D13</t>
  </si>
  <si>
    <t>Perpetuity Growth Rate (Gordon)</t>
  </si>
  <si>
    <t>GDP growth + inflation; cannot exceed WACC</t>
  </si>
  <si>
    <t>D28</t>
  </si>
  <si>
    <t>Multiple Compression Factor</t>
  </si>
  <si>
    <t>Terminal multiples 40-60% lower than current comps. Applied to derive D11.</t>
  </si>
  <si>
    <t>Section 6: Comp Bucket Weighting — THIS IS THE THESIS</t>
  </si>
  <si>
    <t>V11a</t>
  </si>
  <si>
    <t>Bucket 1 Weight (Consumer Hardware — Garmin)</t>
  </si>
  <si>
    <t>Higher = more bearish (WHOOP as hardware company)</t>
  </si>
  <si>
    <t>V11b</t>
  </si>
  <si>
    <t>Bucket 2 Weight (Consumer Subscription — PTON/SPOT)</t>
  </si>
  <si>
    <t>Peloton-Spotify range disaggregated; where does WHOOP sit?</t>
  </si>
  <si>
    <t>V11c</t>
  </si>
  <si>
    <t>Bucket 3 Weight (Health Data — DXCM/RMD/MASI/IRTC)</t>
  </si>
  <si>
    <t>Higher = healthcare thesis is believed; Series G implied ~70%</t>
  </si>
  <si>
    <t>V11_chk</t>
  </si>
  <si>
    <t>Bucket Weights Sum (must = 100%)</t>
  </si>
  <si>
    <t>Check</t>
  </si>
  <si>
    <t>Sanity check: bucket weights must sum to 100%</t>
  </si>
  <si>
    <t>Section 7: IPO Trading Range &amp; Discount Framework</t>
  </si>
  <si>
    <t>I1</t>
  </si>
  <si>
    <t>IPO Timing (months from Series G)</t>
  </si>
  <si>
    <t>Q2 2027 - Q1 2028; "last private round" per Ahmed</t>
  </si>
  <si>
    <t>I2</t>
  </si>
  <si>
    <t>IPO Pricing Discount (to Stage 1 fair value)</t>
  </si>
  <si>
    <t>Loughran/Ritter IPO pricing studies; 15-25% standard</t>
  </si>
  <si>
    <t>I3</t>
  </si>
  <si>
    <t>I4</t>
  </si>
  <si>
    <t>Series G Investor Required IRR</t>
  </si>
  <si>
    <t>Late-stage growth equity return expectations (3-5yr hold)</t>
  </si>
  <si>
    <t>I5a</t>
  </si>
  <si>
    <t>Implied Stage 1 Public Fair Value ($M) — IRR Backsolve (DEPRECATED, replaced by row 94)</t>
  </si>
  <si>
    <t>Back-solve: $10.1B / (1-illiquidity) / (1-IPO discount) → $13-15B target</t>
  </si>
  <si>
    <t>I5b</t>
  </si>
  <si>
    <t>Implied IPO Range ($M) — Reference Class Step-Up (live)</t>
  </si>
  <si>
    <t>Section 8: Precedent Transactions</t>
  </si>
  <si>
    <t>P1</t>
  </si>
  <si>
    <t>Deal Inclusion Window</t>
  </si>
  <si>
    <t>Last 5 years</t>
  </si>
  <si>
    <t>2021-2026 with 3-year primary focus</t>
  </si>
  <si>
    <t>P3</t>
  </si>
  <si>
    <t>Deal Size Threshold ($M EV)</t>
  </si>
  <si>
    <t>Below this, synergy math distorts multiples</t>
  </si>
  <si>
    <t>P5</t>
  </si>
  <si>
    <t>Multiple Extraction Method</t>
  </si>
  <si>
    <t>EV/LTM Rev</t>
  </si>
  <si>
    <t>EV / LTM revenue at announcement; NTM where available</t>
  </si>
  <si>
    <t>P_b1</t>
  </si>
  <si>
    <t>Bucket 1 Precedent Multiple (median)</t>
  </si>
  <si>
    <t>Fitbit/Google ~1.3x; Garmin tuck-ins; mostly distressed exits</t>
  </si>
  <si>
    <t>P_b2</t>
  </si>
  <si>
    <t>Bucket 2 Precedent Multiple (median)</t>
  </si>
  <si>
    <t>Peloton/Precor; connected fitness all value-destructive</t>
  </si>
  <si>
    <t>P_b3</t>
  </si>
  <si>
    <t>Bucket 3 Precedent Multiple (median)</t>
  </si>
  <si>
    <t>Per research/precedent-transactions.md: B3 medtech 6.6-10.1x range</t>
  </si>
  <si>
    <t>Section 9: Real Options — see rows 154-161 (binary-gate redesign, supersedes cluster framework)</t>
  </si>
  <si>
    <t>Healthcare reimbursement pathway is the only separately-valued real option. International, B2B, women's health, glucose moved to base case sensitivities or dropped. Inputs: RO1 (probability), RO2 (eligibility %), RO3 (payer ARPU), RO4 (multiple), RO5 (years). See RealOptions tab Section 5 for full justification.</t>
  </si>
  <si>
    <t>Legend &amp; Conventions</t>
  </si>
  <si>
    <t>Blue text</t>
  </si>
  <si>
    <t>Black text</t>
  </si>
  <si>
    <t>Formula / derived calculation</t>
  </si>
  <si>
    <t>Green text</t>
  </si>
  <si>
    <t>Cross-sheet link (wired when other tabs are built)</t>
  </si>
  <si>
    <t>Yellow fill</t>
  </si>
  <si>
    <t>FLAGGED_GAP — unsourced critical, needs verification</t>
  </si>
  <si>
    <t>Active col</t>
  </si>
  <si>
    <t>Picks Bear/Base/Bull per scenario selector at $B$3</t>
  </si>
  <si>
    <t>Section 10: Gross Adds Derivation Drivers</t>
  </si>
  <si>
    <t>Gross Adds = (Prior-Yr Rev × S&amp;M%) / Blended CAC. S&amp;M% and CAC linearly interpolated between 2026 start and 2033 end endpoints (single-mechanism saturation; replaced phase-specific %s and compounding inflation rate). TAM is a diagnostic check on Members tab — flagged if penetration exceeds 40%. Blended CAC = total S&amp;M / gross adds (incl. paid + brand + athlete partnerships; excl. hardware subsidy which is in COGS).</t>
  </si>
  <si>
    <t>GA1</t>
  </si>
  <si>
    <t>S&amp;M % of Prior-Yr Revenue — 2026 START endpoint</t>
  </si>
  <si>
    <t>Series G deployment phase. Start endpoint for linear interpolation across 2026-2033.</t>
  </si>
  <si>
    <t>GA2</t>
  </si>
  <si>
    <t>S&amp;M % of Prior-Yr Revenue — 2033 END endpoint</t>
  </si>
  <si>
    <t>Mature steady-state. End endpoint for linear interpolation. Members tab interpolates linearly across years.</t>
  </si>
  <si>
    <t>GA0a</t>
  </si>
  <si>
    <t>Phase 1: 2026 Gross Adds Target (M)</t>
  </si>
  <si>
    <t>RETIRED</t>
  </si>
  <si>
    <t>RETIRED Item 2 hardcode. Now derived at Members!E31 via membership identity. Driver lives at Assumptions!F168:F175 (member growth trajectory).</t>
  </si>
  <si>
    <t>GA0b</t>
  </si>
  <si>
    <t>Phase 1: 2027 Gross Adds Target (M)</t>
  </si>
  <si>
    <t>RETIRED Item 2 hardcode. See I119.</t>
  </si>
  <si>
    <t>GA4</t>
  </si>
  <si>
    <t>Variable CAC — 2026 START ($) [paid acq only, excl. brand]</t>
  </si>
  <si>
    <t>VARIABLE CAC ONLY (paid acquisition: digital, performance, partnerships excl. brand). Re-anchored from $200 (which conflated brand into per-unit) to $150 Base. 2025 implied variable CAC: ($195M total − $40M brand) ÷ 1.5M adds = $103. Modest 2026 step-up reflects ATT/competition; not the $130→$200 jump that previously had no narrative.</t>
  </si>
  <si>
    <t>GA5</t>
  </si>
  <si>
    <t>Variable CAC — 2033 END ($) [paid acq only, excl. brand]</t>
  </si>
  <si>
    <t>Phase-aware shape compresses to a linear endpoint: Base $150→$176 reflects P1 +5%/yr (pre-IPO push) → P2 -2%/yr (post-IPO brand lift offsets) → P3 +6%/yr (TAM saturation, marginal customer harder). Bear: aggressive saturation $180→$250. Bull: brand lift dominates $130→$145.</t>
  </si>
  <si>
    <t>GA6</t>
  </si>
  <si>
    <t>TAM — Global Paying Subscribers (M)</t>
  </si>
  <si>
    <t>Diagnostic ceiling, not a damping multiplier. Penetration% shown on Members row 49; flag if &gt;40%. Bear: consumer-fitness only. Base: + international + partial Labs scaling. Bull: full health-data platform.</t>
  </si>
  <si>
    <t>GA7</t>
  </si>
  <si>
    <t>Brand &amp; Athlete Partnerships — 2026 START ($M)</t>
  </si>
  <si>
    <t>Brand spend (athlete partnerships, sponsorships, content production). FIXED component of S&amp;M, not per-acquisition. Base $40M ≈ ~30% of 2025 historical S&amp;M ($195M total × 20% brand mix) scaled up for IPO marketing push. Bear: leaner brand. Bull: aggressive Series G deployment toward category-defining brand spend (Peloton 2020 ran ~$120M brand at peak).</t>
  </si>
  <si>
    <t>GA8</t>
  </si>
  <si>
    <t>Brand $ — 2033 END ($M)</t>
  </si>
  <si>
    <t>Brand $ 2033 endpoint. Bumped from $90M to $130M (Layer 5 calibration): an 11M-member premium category leader running $90M brand was modest. Spotify peak ~$1B, Peloton 2020-21 peak ~$400M, Allbirds peak ~$200M. $130M = ~4.4% of 2033 revenue ($2,965M), peer-aligned for mature consumer-subscription brand spend. Linearly interpolated from F124 (2026 $40M) on Members tab.</t>
  </si>
  <si>
    <t>Section 11 (ARCHIVED — ARPU decomposition, no longer driving)</t>
  </si>
  <si>
    <t>Build: Sub ARPU (tier-mix-driven) + Labs (attach × price × tests) + Accessories + BP/Healthspan (attach × price). Sums to Blended ARPU on ARPU tab. Replaces single-line $338 anchor (R4) with derived value; consistency check on ARPU tab flags if 2025 derived ≠ R4 within ±5%.</t>
  </si>
  <si>
    <t>-- Subscription ARPU --</t>
  </si>
  <si>
    <t>R24a</t>
  </si>
  <si>
    <t>Tier mix — % WHOOP One (entry tier)</t>
  </si>
  <si>
    <t>WHOOP One ~$199/yr. Bear: value-heavy mix (50/35/15). Base: mid-market (30/45/25). Bull: premium-skewed (20/40/40).</t>
  </si>
  <si>
    <t>R24b</t>
  </si>
  <si>
    <t>Tier mix — % WHOOP Peak (mid tier)</t>
  </si>
  <si>
    <t>WHOOP Peak ~$239/yr. Includes Healthspan, Health Monitor, BP Insights, Stress.</t>
  </si>
  <si>
    <t>R24c</t>
  </si>
  <si>
    <t>Tier mix — % WHOOP Life (top tier)</t>
  </si>
  <si>
    <t>WHOOP Life ~$359/yr. Includes ECG, full BP, Healthspan; ships MG (medical-grade) hardware. Methodology Sec 3 "tier premium $20" maps to mix shift into Peak/Life.</t>
  </si>
  <si>
    <t>R24d</t>
  </si>
  <si>
    <t>Monthly-payer share (% of members)</t>
  </si>
  <si>
    <t>Monthly plan adds ~$14/yr premium vs annual prepay. Methodology Sec 3 "monthly plan premium $15". Stable across scenarios.</t>
  </si>
  <si>
    <t>R24e</t>
  </si>
  <si>
    <t>Tier-mix shift YoY (Peak/Life gain per year)</t>
  </si>
  <si>
    <t>Annual % shift FROM One INTO Peak/Life. Captures cohort upgrade behavior. Combined with R26 inflation drives sub ARPU growth.</t>
  </si>
  <si>
    <t>-- Advanced Labs ARPU (THE bucket-3 swing variable) --</t>
  </si>
  <si>
    <t>R25a</t>
  </si>
  <si>
    <t>Labs attach % — 2026 starting</t>
  </si>
  <si>
    <t>Single most important ARPU variable per methodology Sec 3. Bear 5%/Base 10%/Bull 25%. Anchored on 350K waitlist = 14% of 2.5M members at launch (BusinessWire 9/30/2025).</t>
  </si>
  <si>
    <t>R25b</t>
  </si>
  <si>
    <t>Labs avg test price ($)</t>
  </si>
  <si>
    <t>Disclosed pricing $199 (1 test) / $349 (2 tests) / $599 (4 tests). $250 base = mid-tier weighted. Bull pushes to $300 reflecting premium add-on uptake (Women's $299 panel, etc.).</t>
  </si>
  <si>
    <t>R25c</t>
  </si>
  <si>
    <t>Labs tests per attached member per year</t>
  </si>
  <si>
    <t>Avg cadence per attached member. Bear: 1 test (one-and-done). Base: 1.5 (between 1 and 2 plan). Bull: 2.0 (committed retest cycle).</t>
  </si>
  <si>
    <t>R25d</t>
  </si>
  <si>
    <t>Labs attach growth rate (YoY)</t>
  </si>
  <si>
    <t>Compounding attach rate growth. Bear flat (Labs stalls). Base ~9%/yr (steady ramp from 10% to ~20% by 2033). Bull ~18%/yr (healthcare thesis: 25% → ~85% by 2033).</t>
  </si>
  <si>
    <t>-- Accessories ARPU --</t>
  </si>
  <si>
    <t>R26</t>
  </si>
  <si>
    <t>Accessories ARPU ($/member/yr) — 2025 baseline</t>
  </si>
  <si>
    <t>Replacement straps + accessories. Bear: minimal upgrade. Base: typical 1-2 bands/yr at $20-50. Bull: premium SuperKnit Luxe attach.</t>
  </si>
  <si>
    <t>R26b</t>
  </si>
  <si>
    <t>Accessories ARPU YoY growth</t>
  </si>
  <si>
    <t>Modest replacement-cycle inflation. Stable line, not a thesis driver.</t>
  </si>
  <si>
    <t>-- BP/Healthspan ARPU (emerging — paid add-on layer beyond Peak/Life) --</t>
  </si>
  <si>
    <t>R27a</t>
  </si>
  <si>
    <t>BP/Healthspan paid add-on attach %</t>
  </si>
  <si>
    <t>PAID add-on beyond Peak/Life subscription. Bear: 0% (FDA Jul 2025 warning kills upsell). Base: 5%. Bull: 15%. Captures incremental BP-feature monetization above tier price.</t>
  </si>
  <si>
    <t>R27b</t>
  </si>
  <si>
    <t>BP/Healthspan add-on price ($/yr)</t>
  </si>
  <si>
    <t>Bear: $0 (no product). Base: $100 add-on. Bull: $200 (premium clinical-grade tier). FDA Jan 2026 wellness-category guidance opens but doesn't unlock medical claims.</t>
  </si>
  <si>
    <t>R27c</t>
  </si>
  <si>
    <t>BP/Healthspan attach growth (YoY)</t>
  </si>
  <si>
    <t>Compounding attach growth. Real but bounded option.</t>
  </si>
  <si>
    <t>R4g</t>
  </si>
  <si>
    <t>Blended ARPU Annual Growth (NEW — collapsed driver)</t>
  </si>
  <si>
    <t>Blended price inflation + tier mix shift up + B2B share gains. Bear 3% (price only). Base 4% (price + light mix). Bull 5% (price + mix + B2B premium expansion). NOTE: appended at row 150 (not inserted at row 12) to preserve all downstream formula references.</t>
  </si>
  <si>
    <t>C7d_start</t>
  </si>
  <si>
    <t>Blended COGS % — 2026 START (sub delivery + hardware giveaway)</t>
  </si>
  <si>
    <t>Replaces decomposed Sub COGS + Hardware COGS + Labs COGS architecture. Phase 1 (2026-27) start; linearly interpolated by P&amp;L to terminal C7d_end. Bear 28% / Base 25% / Bull 22% → implied GM 72/75/78%.</t>
  </si>
  <si>
    <t>C7d_end</t>
  </si>
  <si>
    <t>Blended COGS % — 2033 END (sub delivery + hardware giveaway)</t>
  </si>
  <si>
    <t>Phase 3 (2031-33) terminal endpoint. Bear 22% / Base 20% / Bull 18% → implied terminal GM 78/80/82%. Step DOWN from prior model's 76% terminal because legacy 90% sub GM overstated mature margin.</t>
  </si>
  <si>
    <t>Section 9: Real Options — Healthcare Pathway (binary gate)</t>
  </si>
  <si>
    <t>Single-gate decision tree on reimbursable healthcare platform thesis. Replaces 3-cluster correlated framework (success/mixed/failure). Other 'options' (international, B2B, women's, glucose) moved to base case sensitivities or dropped from RO valuation. See RealOptions tab Section 5 for justification.</t>
  </si>
  <si>
    <t>RO1</t>
  </si>
  <si>
    <t>Probability healthcare materializes (within decision window)</t>
  </si>
  <si>
    <t>iRhythm precedent: regional MAC → national CMS reimbursement took 7+ years. Conditional on Apr 2026 CMS Innovation Center selection. Bear: base rate of consumer→medical transitions failing. Bull: Abbott + Mayo as strategic investors signal credible execution.</t>
  </si>
  <si>
    <t>RO2</t>
  </si>
  <si>
    <t>Eligible member % (qualifying conditions)</t>
  </si>
  <si>
    <t>~40% of US adults have cardiometabolic risk factors (HTN, pre-diabetes, sleep disorders, AFib risk). WHOOP premium-skewed user base may overrepresent. Bear conservative; Bull at calibrated upper end (45%, tight bull).</t>
  </si>
  <si>
    <t>RO3</t>
  </si>
  <si>
    <t>Payer-paid annual ARPU per eligible member ($)</t>
  </si>
  <si>
    <t>Subscription-premium model anchored to Apple Watch + Aetna pilots ($50-300/yr). Dexcom CGM ($4-6K/yr critical care) far above. Range $200-350: WHOOP positioning is continuous monitoring without critical-care necessity. Tight bull at $350 (was $400 wide).</t>
  </si>
  <si>
    <t>RO4</t>
  </si>
  <si>
    <t>Healthcare-anchored terminal multiple (x revenue)</t>
  </si>
  <si>
    <t>Bucket-3 medtech: Dexcom 5.0x, ResMed 6.0x, Masimo 6.4x, iRhythm 5.6x. Median 5.8x. Healthcare option valued at incremental revenue × medtech-pure multiple. Tight bull at 6.0x (was 7.0x wide) — defensible for option-on-incremental-revenue without unproven economics.</t>
  </si>
  <si>
    <t>RO5</t>
  </si>
  <si>
    <t>Years to exercise (option matures)</t>
  </si>
  <si>
    <t>Bear: iRhythm-style 7yr decade pathway. Base: CMS Innovation Center accelerated route (5yr). Bull: fastest credible parallel pathway development (4yr).</t>
  </si>
  <si>
    <t>RO_chk</t>
  </si>
  <si>
    <t>Probability split sums to 100% (self-check)</t>
  </si>
  <si>
    <t>Materialize + fail must = 100% by construction. Used by Checks!B10.</t>
  </si>
  <si>
    <t>Section 11b: SBC IPO Bump (overrides smooth 2026–2033 taper for IPO years)</t>
  </si>
  <si>
    <t>Override SBC % of Revenue for 2027 (IPO year) and 2028 (post-lockup) to capture grant acceleration, refresh grants, and ESPP launch. Industry benchmarks: Snowflake +1200bps in IPO year; Airbnb +700bps; Coinbase +1000bps. Without override, smooth taper understates IPO-year dilution by ~400bps.</t>
  </si>
  <si>
    <t>C11_ipo27</t>
  </si>
  <si>
    <t>SBC % of Revenue — 2027 IPO year (override)</t>
  </si>
  <si>
    <t>C11_ipo28</t>
  </si>
  <si>
    <t>SBC % of Revenue — 2028 post-lockup (override)</t>
  </si>
  <si>
    <t>Section 12: Member Growth Trajectory (NEW — member-anchored framework)</t>
  </si>
  <si>
    <t>Year-by-year YoY ending-member growth, 2026-2033. THIS IS THE PRIMARY DRIVER for the member engine. Members!E34:L34 reads from F167:F174. Triangulated against four lenses on Member Thesis sheet — change here re-tests Lens C convergence. Replaces Phase 1 hardcodes (F119/F120) and S&amp;M%-driven Phase 2-3 logic with a single coherent thesis on member trajectory shape.</t>
  </si>
  <si>
    <t>Year / Driver</t>
  </si>
  <si>
    <t>MG1</t>
  </si>
  <si>
    <t>2026 YoY Member Growth %</t>
  </si>
  <si>
    <t>MG2</t>
  </si>
  <si>
    <t>2027 YoY Member Growth %</t>
  </si>
  <si>
    <t>MG3</t>
  </si>
  <si>
    <t>2028 YoY Member Growth %</t>
  </si>
  <si>
    <t>MG4</t>
  </si>
  <si>
    <t>2029 YoY Member Growth %</t>
  </si>
  <si>
    <t>MG5</t>
  </si>
  <si>
    <t>2030 YoY Member Growth %</t>
  </si>
  <si>
    <t>MG6</t>
  </si>
  <si>
    <t>2031 YoY Member Growth %</t>
  </si>
  <si>
    <t>MG7</t>
  </si>
  <si>
    <t>2032 YoY Member Growth %</t>
  </si>
  <si>
    <t>MG8</t>
  </si>
  <si>
    <t>2033 YoY Member Growth %</t>
  </si>
  <si>
    <t>MG_chk</t>
  </si>
  <si>
    <t>Derived 2033 Ending Members (M) — each scenario</t>
  </si>
  <si>
    <t>MG_triang</t>
  </si>
  <si>
    <t>Triangulation distance (Active vs Member Thesis median)</t>
  </si>
  <si>
    <t>Section 13: Probability Weighting Logic (ProbWeighted scenario)</t>
  </si>
  <si>
    <t>Documentation for the ProbWeighted 4th scenario added to B3 dropdown. Architecture: input-level weighting (E[input] → single DCF) rather than scenario-level weighting (P·DCF(scenario) summed). Input-level avoids joint-extreme overstatement when bear/bull values across drivers are not perfectly correlated. Driver set rebalanced 2026 from 24 to 20: removed 10 low-impact inputs (cohort Y1/Y2 churn, current-phase OpEx %, CSRP, Implied CoE, Brand $, COGS 2026 start) that either don't reach the DCF or have trivial spread; added 7 SBC + FCF-conversion drivers (CapEx, NWC, Tax, SBC current/terminal/IPO overrides) that materially impact FCF without flowing through GM/OpEx.</t>
  </si>
  <si>
    <t>Probability weights (live, edit row 2 to change scheme):</t>
  </si>
  <si>
    <t>Sum</t>
  </si>
  <si>
    <t>Inputs eligible for ProbWeighted (19 high-leverage drivers — wired live at column F):</t>
  </si>
  <si>
    <t>Section</t>
  </si>
  <si>
    <t>Rows</t>
  </si>
  <si>
    <t>Why included</t>
  </si>
  <si>
    <t>§1 Cohort Churn</t>
  </si>
  <si>
    <t>F21</t>
  </si>
  <si>
    <t>Y3+ steady-state annual churn</t>
  </si>
  <si>
    <t>Only churn assumption that's a real call (Y1/Y2 are curve-fit to history); feeds Members cohort engine</t>
  </si>
  <si>
    <t>§2 OpEx — Terminal</t>
  </si>
  <si>
    <t>F39, F45</t>
  </si>
  <si>
    <t>R&amp;D + G&amp;A % Rev (terminal)</t>
  </si>
  <si>
    <t>Compounds in Terminal Value; drives FCF margin convergence at steady state</t>
  </si>
  <si>
    <t>§2 SBC</t>
  </si>
  <si>
    <t>F46, F47</t>
  </si>
  <si>
    <t>SBC % Rev (current + terminal)</t>
  </si>
  <si>
    <t>Direct FCF dilution lever; current = pre-IPO unicorn norm, terminal = post-public discipline</t>
  </si>
  <si>
    <t>§2 SBC IPO Overrides</t>
  </si>
  <si>
    <t>F162, F163</t>
  </si>
  <si>
    <t>SBC IPO 2027 + 2028 overrides</t>
  </si>
  <si>
    <t>Captures grant acceleration + lockup-expiry refresh in two highest-PV years</t>
  </si>
  <si>
    <t>§3 FCF Conversion</t>
  </si>
  <si>
    <t>F48</t>
  </si>
  <si>
    <t>Direct FCF lever that bypasses GM/OpEx; shapes FCF-to-EBITDA conversion. NWC % (F49) dropped from ProbWeighted because WC&amp;Cash tab builds NWC bottoms-up from explicit DSO/DIH/DPO + Other NWC % balances — F49 is a legacy plug that no longer feeds the model.</t>
  </si>
  <si>
    <t>§3 Tax</t>
  </si>
  <si>
    <t>F51</t>
  </si>
  <si>
    <t>Effective tax rate</t>
  </si>
  <si>
    <t>Direct on every NOPAT calculation; 4pp Bear-Bull spread compounds through entire DCF</t>
  </si>
  <si>
    <t>§4 WACC</t>
  </si>
  <si>
    <t>F74</t>
  </si>
  <si>
    <t>Bottoms-Up WACC (DCF reads)</t>
  </si>
  <si>
    <t>F74 is the live WACC read by DCF!D12 — the one driver that moves the discount rate</t>
  </si>
  <si>
    <t>§5 Terminal Value</t>
  </si>
  <si>
    <t>F77</t>
  </si>
  <si>
    <t>TV is ~73% of total EV — single most important driver in the model (1.5x Bear-Bull spread)</t>
  </si>
  <si>
    <t>§10 Blended COGS</t>
  </si>
  <si>
    <t>F151</t>
  </si>
  <si>
    <t>Blended COGS % 2033 End (C7d_end)</t>
  </si>
  <si>
    <t>Terminal GM lever; feeds TV via terminal FCF margin (4pp spread = 4pp on terminal margin)</t>
  </si>
  <si>
    <t>§12 Member Growth</t>
  </si>
  <si>
    <t>F167:F174</t>
  </si>
  <si>
    <t>MG1–MG8 (annual YoY 2026–2033)</t>
  </si>
  <si>
    <t>Primary revenue driver; 8 separate annual growth rates compound geometrically (Bear-Bull terminal members ≈ 3x)</t>
  </si>
  <si>
    <t>Jensen Gap Caveat (read before citing ProbWeighted in memo):</t>
  </si>
  <si>
    <t>Input-weighting computes DCF(E[inputs]) — i.e., one DCF run on the expected inputs. By Jensen's inequality, when DCF is convex in its inputs (terminal multiple compounds, geometric member growth), DCF(E[inputs]) UNDERSTATES E[DCF(inputs)]. The 'true' expected EV from a Monte Carlo would sit above the ProbWeighted reading.</t>
  </si>
  <si>
    <t>Empirical gap on this model (post-rebalance): scenario-weighted Equity ($10.13B) vs input-weighted ProbWeighted Equity ($8.09B) = +$2.04B (+25%). Read this delta as the 'optionality premium' the input-level method cannot price — it represents joint-correlated upside that scenario-level math captures.</t>
  </si>
  <si>
    <t>See DCF tab rows 56-74 for the live triangulation block. Use ProbWeighted as the central tendency under input independence; use scenario-weighted as the upper anchor under perfect correlation; Series G ($10.10B) sits between and reflects investor pricing of partial correlation.</t>
  </si>
  <si>
    <t>Snapshot Refresh Protocol:</t>
  </si>
  <si>
    <t xml:space="preserve">  • Active formulas at column F handle all four scenarios live (Bear/Base/Bull/ProbWeighted) — no refresh needed when toggling B3.</t>
  </si>
  <si>
    <t xml:space="preserve">  • DCF rows 60-63 (4-scenario EV snapshot) are STATIC values — captured via validation pass at last refresh. Refresh manually if any of the 19 ProbWeighted-eligible inputs change materially.</t>
  </si>
  <si>
    <t xml:space="preserve">  • Cover and Scenarios tabs reference DCF rows 60-65 — single source of truth for the snapshot. Refresh DCF, everything updates.</t>
  </si>
  <si>
    <t>Section 14: ProbWeighted Driver Snapshot — IB Memo View</t>
  </si>
  <si>
    <t>Live snapshot of all 24 ProbWeighted-eligible drivers with Bear/Base/Bull, weight contributions, and active F-column reading. Weights set at row 2 (P_Bear / P_Base / P_Bull). All values formula-linked — edits at source flow through automatically.</t>
  </si>
  <si>
    <t>Weight scheme:</t>
  </si>
  <si>
    <t>Active scenario:</t>
  </si>
  <si>
    <t>Weighted</t>
  </si>
  <si>
    <t>Active (F)</t>
  </si>
  <si>
    <t>Bull-Bear</t>
  </si>
  <si>
    <t>§1 Cohort</t>
  </si>
  <si>
    <t>Y3+ Cohort Annual Churn</t>
  </si>
  <si>
    <t>§2 OpEx</t>
  </si>
  <si>
    <t>§3 FCF</t>
  </si>
  <si>
    <t>§5 TV</t>
  </si>
  <si>
    <t>§10 ARPU</t>
  </si>
  <si>
    <t>Blended COGS % 2033 End</t>
  </si>
  <si>
    <t>§12 Members</t>
  </si>
  <si>
    <t>MG1 — 2026 YoY</t>
  </si>
  <si>
    <t>MG2 — 2027 YoY</t>
  </si>
  <si>
    <t>MG3 — 2028 YoY</t>
  </si>
  <si>
    <t>MG4 — 2029 YoY</t>
  </si>
  <si>
    <t>MG5 — 2030 YoY</t>
  </si>
  <si>
    <t>MG6 — 2031 YoY</t>
  </si>
  <si>
    <t>MG7 — 2032 YoY</t>
  </si>
  <si>
    <t>MG8 — 2033 YoY</t>
  </si>
  <si>
    <t>Equity output by scenario (live from DCF triangulation)</t>
  </si>
  <si>
    <t>Scenario-Weighted Equity</t>
  </si>
  <si>
    <t>-</t>
  </si>
  <si>
    <t>WACC % (DCF discount rate)</t>
  </si>
  <si>
    <t>Read: Weighted column (F) shows what each driver becomes under ProbWeighted scenario. Active column (J) is what flows into the model right now (per B3 dropdown). Bull−Bear spread (K) flags drivers with high scenario sensitivity. Driver set rebalanced 2026 to 19 drivers: dropped 11 inputs (cohort Y1/Y2 churn, current-phase OpEx %, CSRP, Implied CoE, Brand $, COGS 2026 start, NWC %), added 7 SBC + FCF-conversion drivers (CapEx, Tax, SBC current/terminal/IPO overrides). NWC % dropped because WC&amp;Cash builds bottoms-up from explicit DSO/DIH/DPO.</t>
  </si>
  <si>
    <t>DCF Output Summary — Memo Reference Block</t>
  </si>
  <si>
    <t>Section A: DCF Outputs by Scenario (Live from DCF tab)</t>
  </si>
  <si>
    <t>Unit</t>
  </si>
  <si>
    <t>ProbWeighted (input)</t>
  </si>
  <si>
    <t>Scenario-Wtd (P·DCF)</t>
  </si>
  <si>
    <t>Active (B3)</t>
  </si>
  <si>
    <t>PV of FCF (Active only)</t>
  </si>
  <si>
    <t>$M</t>
  </si>
  <si>
    <t>PV of Terminal Value (Active only)</t>
  </si>
  <si>
    <t>Enterprise Value (Active only)</t>
  </si>
  <si>
    <t>Less: Debt (Active only)</t>
  </si>
  <si>
    <t>Plus: Cash (Active only)</t>
  </si>
  <si>
    <t>Equity Value</t>
  </si>
  <si>
    <t>Real Options Value</t>
  </si>
  <si>
    <t>Fully Diluted Shares</t>
  </si>
  <si>
    <t>M</t>
  </si>
  <si>
    <t>Equity per Share</t>
  </si>
  <si>
    <t>$/sh</t>
  </si>
  <si>
    <t>Equity+Opts per Share</t>
  </si>
  <si>
    <t>Equity vs Series G %</t>
  </si>
  <si>
    <t>%</t>
  </si>
  <si>
    <t>Section B: 19 ProbWeighted Drivers by Scenario (Live from rows 216-235)</t>
  </si>
  <si>
    <t>Read: Section A pulls EV/Equity/per-share by scenario from DCF Section 7 triangulation (canonical snapshot, refreshed via Scenarios tab). Section B shows the 19 ProbWeighted drivers; Weighted column (F) is the input-level blend used to compute ProbWeighted DCF in DCF!C63. Scenario-Wtd (P·DCF) in DCF!C65 runs three full DCFs and weights equity outputs — Jensen gap vs ProbWeighted reflects DCF convexity. Active column (H) reflects current B3 dropdown selection.</t>
  </si>
  <si>
    <t>WHOOP — Member Trajectory Triangulation (Four-Lens Framework)</t>
  </si>
  <si>
    <t>Four independent lenses converge on a 2033 ending member range. Each lens uses a different methodology; convergence is emergent, not curve-fit. Median feeds Trajectory Build (Oura-shape calibrated). Triangulation distance vs live model = audit check (±15% target).</t>
  </si>
  <si>
    <t>1. Member Anchors</t>
  </si>
  <si>
    <t>Bull 18.0M decomposition</t>
  </si>
  <si>
    <t>2025E starting members (M)</t>
  </si>
  <si>
    <t>ARPU ($/yr)</t>
  </si>
  <si>
    <t>Channel</t>
  </si>
  <si>
    <t>2033 Members</t>
  </si>
  <si>
    <t>Series G post-money valuation ($M)</t>
  </si>
  <si>
    <t>Consumer-only ceiling</t>
  </si>
  <si>
    <t>12.0M</t>
  </si>
  <si>
    <t>Median of Apple Watch / Oura / Garmin lenses (consumer-organic)</t>
  </si>
  <si>
    <t>Series G implied $/share ($)</t>
  </si>
  <si>
    <t>Clinical channel pull</t>
  </si>
  <si>
    <t>4.5M</t>
  </si>
  <si>
    <t>RPM-eligible Medicare population (~30M) × ~15% WHOOP capture rate</t>
  </si>
  <si>
    <t>DCF base $/share (live model)</t>
  </si>
  <si>
    <t>Employer health plans</t>
  </si>
  <si>
    <t>1.5M</t>
  </si>
  <si>
    <t>Corporate wellness scaling; Aetna pilot trajectory</t>
  </si>
  <si>
    <t>Total Bull</t>
  </si>
  <si>
    <t>18.0M</t>
  </si>
  <si>
    <t>Reflects healthcare-driven TAM expansion</t>
  </si>
  <si>
    <t>2. Convergence Summary</t>
  </si>
  <si>
    <t>Each lens uses an independent methodology. Convergence is emergent, not curve-fit. Median feeds Trajectory Build. ✓ = within ±15% of median; ⚠ = 15-25%; ✗ = &gt;25%.</t>
  </si>
  <si>
    <t>Methodology</t>
  </si>
  <si>
    <t>TAM 25M × 6%/yr growth × 30% terminal share. Apple-style category-defining product precedent.</t>
  </si>
  <si>
    <t>Lens</t>
  </si>
  <si>
    <t>2033 End (M)</t>
  </si>
  <si>
    <t>Δ vs Median</t>
  </si>
  <si>
    <t>Peloton Connected Fitness subs IPO+10 hypothetical × free-hardware advantage × ARPU drag.</t>
  </si>
  <si>
    <t>Lens A — TAM × Terminal Share</t>
  </si>
  <si>
    <t>Median of three independently-derived comp endpoints (Apple Watch shape / Oura forward-extrap / Garmin timeline-compressed).</t>
  </si>
  <si>
    <t>Lens B — Peloton Stage-Shifted Comp</t>
  </si>
  <si>
    <t>Cumulative S&amp;M $ ÷ weighted CAC, less churn drag. Capital-bounded floor.</t>
  </si>
  <si>
    <t>Lens C — Apple/Oura/Garmin Triangulation</t>
  </si>
  <si>
    <t>COV across the four lenses; flags whether triangulation is tight enough to feed Trajectory Build.</t>
  </si>
  <si>
    <t>Lens D — SAM/SOM Bottoms-Up</t>
  </si>
  <si>
    <t>→ Median across lenses</t>
  </si>
  <si>
    <t>3. Lens A — TAM × Terminal Share</t>
  </si>
  <si>
    <t>Lens character — aggressive, assumption-heavy</t>
  </si>
  <si>
    <t>Premium continuous physiological monitoring at $200-400/yr WTP. Apple-at-30%-smartphone-share precedent supports 25-45% terminal share for category-defining product. Highest output of the four lenses — most upside-leaning by construction.</t>
  </si>
  <si>
    <t>Input</t>
  </si>
  <si>
    <t>Value</t>
  </si>
  <si>
    <t>Note</t>
  </si>
  <si>
    <t>TAM 2025 (M)</t>
  </si>
  <si>
    <t>Premium continuous monitoring; ~130M US adults × $200-400/yr WTP filter ≈ 20-30M globally.</t>
  </si>
  <si>
    <t>mHealth Intelligence (2023). Oura+WHOOP combined ~4.5M paying 2025 = ~18% penetration of WTP filter.</t>
  </si>
  <si>
    <t>TAM growth rate (%/yr)</t>
  </si>
  <si>
    <t xml:space="preserve">Conservative vs broader wearable CAGR 12-16%. </t>
  </si>
  <si>
    <t>MarketsandMarkets ($84.5B→$176.8B, 15.9% CAGR). Grand View Research ($92.9B→$230B by 2033, 12.1% CAGR).</t>
  </si>
  <si>
    <t>Terminal share 2033 (%)</t>
  </si>
  <si>
    <t>Apple precedent: 30% global smartphone share. WHOOP at 25-30% in defined WTP TAM defensible.</t>
  </si>
  <si>
    <t>IDC: Oura already &gt;80% smart ring share (2024). Apple smartphone share precedent for category-defining products.</t>
  </si>
  <si>
    <t>→ Implied 2033 ending (M)</t>
  </si>
  <si>
    <t>= TAM 2025 × (1 + growth)⁸ × terminal share</t>
  </si>
  <si>
    <t>TAM 2033 = 25 × 1.06⁸ ≈ 39.8M.</t>
  </si>
  <si>
    <t>4. Lens B — Peloton Stage-Shifted Comp</t>
  </si>
  <si>
    <t>Lens character — base, structural analogue</t>
  </si>
  <si>
    <t>WHOOP at 2.5M pre-IPO ≈ Peloton at IPO+2 (~2.6M CF subs end-2020). WHOOP 2033 ≈ Peloton IPO+10 hypothetical extrapolation, adjusted for free-hardware advantage and ARPU drag.</t>
  </si>
  <si>
    <t>Peloton 10-K FY2019.</t>
  </si>
  <si>
    <t>Peloton 10-K FY2021.</t>
  </si>
  <si>
    <t>Peloton CF subs at IPO (Sep 2019)</t>
  </si>
  <si>
    <t>10-K FY2019 disclosed Connected Fitness Subscribers.</t>
  </si>
  <si>
    <t>Peloton 10-K FY2023.</t>
  </si>
  <si>
    <t>Peloton CF subs IPO+2 (FY2021)</t>
  </si>
  <si>
    <t>Peak; aligns roughly with WHOOP 2025 anchor of 2.5M.</t>
  </si>
  <si>
    <t>Spec: extrapolated curve.</t>
  </si>
  <si>
    <t>Peloton CF peak (FY2023)</t>
  </si>
  <si>
    <t>Peloton stalled ~3M post-COVID unwind — not a clean 8yr extrapolation, useful floor.</t>
  </si>
  <si>
    <t>Industry data on hardware-cost elasticity in subscription conversion.</t>
  </si>
  <si>
    <t>Stage-shifted base case 8yr ahead (M)</t>
  </si>
  <si>
    <t>Hypothetical Peloton trajectory absent COVID unwind: 4x stage-2 base. Industry S-curve anchored.</t>
  </si>
  <si>
    <t>Peloton ARPU/churn comp; WHOOP retention disclosure.</t>
  </si>
  <si>
    <t>Free-hardware acquisition advantage (×)</t>
  </si>
  <si>
    <t>WHOOP $0 hw vs Peloton $2k bike unlocks step-fn in trial-to-paid; +5-10% sustained gross adds.</t>
  </si>
  <si>
    <t>= 10.7 × 1.08 × 0.97 = 11.21M.</t>
  </si>
  <si>
    <t>Lower ARPU drag (marketing capacity, ×)</t>
  </si>
  <si>
    <t>WHOOP $307 ARPU vs Peloton $500: less CAC headroom but offset by lower churn (12% vs 24%).</t>
  </si>
  <si>
    <t>= stage-shifted base × free-hw advantage × ARPU drag</t>
  </si>
  <si>
    <t>5. Lens C — Comps Triangulation</t>
  </si>
  <si>
    <t>Lens character — base, methodologically strongest (3 independent paths converge within 3%)</t>
  </si>
  <si>
    <t>Three independently-derived 2033 endpoints, each using a different analytical method. Apple Watch shape-projects from a smaller scale-anchored base. Oura forward-extrapolates from current trajectory. Garmin compresses a 12-year timeline to 8 years. Convergence is emergent, not curve-fit.</t>
  </si>
  <si>
    <t>5a. Apple Watch — Shape Projection</t>
  </si>
  <si>
    <t>5b. Oura — Forward Extrapolation</t>
  </si>
  <si>
    <t>5c. Garmin — Timeline Compression</t>
  </si>
  <si>
    <t>Stage-shift WHOOP 2.5M to AW 2017 (10M base), apply AW 8yr multiple, TAM-adjust.</t>
  </si>
  <si>
    <t>Forward-extrapolate WHOOP 2M anchor with Oura-style decel curve (50/40/30/22/17/13/10/8% YoY).</t>
  </si>
  <si>
    <t>Compress Garmin's 12yr to ~8yr (digital CAC), TAM-expand, premium-tier offset.</t>
  </si>
  <si>
    <t>AW base 2017 (M)</t>
  </si>
  <si>
    <t>Counterpoint Research / analyst consensus.</t>
  </si>
  <si>
    <t>WHOOP 2025 anchor (M)</t>
  </si>
  <si>
    <t>Conservative; Series G implies 2.4-2.5M.</t>
  </si>
  <si>
    <t>Garmin yrs to stable wearable subs</t>
  </si>
  <si>
    <t>Garmin Fitness segment scale (2008-2020).</t>
  </si>
  <si>
    <t>AW base 2025 (M)</t>
  </si>
  <si>
    <t>Counterpoint/IDC midpoint of 150-200M cumulative shipments through 2025.</t>
  </si>
  <si>
    <t>8yr compounded multiple</t>
  </si>
  <si>
    <t>= ∏(1+rates) for the 8 YoY values (50/40/30/22/17/13/10/8%).</t>
  </si>
  <si>
    <t>Garmin terminal premium subs (M)</t>
  </si>
  <si>
    <t>Mid-tier wearables active subs base.</t>
  </si>
  <si>
    <t>8yr growth multiple</t>
  </si>
  <si>
    <t>= 170 / 10 = 17x.</t>
  </si>
  <si>
    <t>Compression factor (digital-native)</t>
  </si>
  <si>
    <t>$0 hardware + mandatory sub vs. $300-900 upfront. 80% of Garmin timeline.</t>
  </si>
  <si>
    <t>Stage-matched to AW 2017 (4x scale).</t>
  </si>
  <si>
    <t>TAM expansion factor (2025→2033)</t>
  </si>
  <si>
    <t>Wearable TAM grows ~20% over 8yrs.</t>
  </si>
  <si>
    <t>Raw projected 2033 (M)</t>
  </si>
  <si>
    <t>WHOOP × AW multiple.</t>
  </si>
  <si>
    <t>Premium-tier offset (subset adj)</t>
  </si>
  <si>
    <t>Narrower TAM offset by higher retention. 90% of Garmin terminal.</t>
  </si>
  <si>
    <t>TAM adjustment</t>
  </si>
  <si>
    <t>AW 50% buyers vs WHOOP 5-7%; offset for stickiness.</t>
  </si>
  <si>
    <t>→ Apple endpoint (M)</t>
  </si>
  <si>
    <t>= raw ÷ TAM adj</t>
  </si>
  <si>
    <t>→ Oura endpoint (M)</t>
  </si>
  <si>
    <t>= anchor × 8yr mult</t>
  </si>
  <si>
    <t>→ Garmin endpoint (M)</t>
  </si>
  <si>
    <t>= terminal × TAM × offset</t>
  </si>
  <si>
    <t>5d. Lens C Synthesis</t>
  </si>
  <si>
    <t>Apple</t>
  </si>
  <si>
    <t>Oura</t>
  </si>
  <si>
    <t>Garmin</t>
  </si>
  <si>
    <t>Median</t>
  </si>
  <si>
    <t>Range</t>
  </si>
  <si>
    <t>2033 Endpoint (M)</t>
  </si>
  <si>
    <t>→ Lens C endpoint (M)</t>
  </si>
  <si>
    <t>= median of 3 methods. Range 0.34M (±3%); convergence is emergent.</t>
  </si>
  <si>
    <t>6. Lens D — SAM/SOM Bottoms-Up</t>
  </si>
  <si>
    <t>Lens character — disciplined floor, most defensible</t>
  </si>
  <si>
    <t>TAM → SAM → SOM stack. Most conservative lens (8.39M) by design — disciplined market sizing without comp-borrowed shape assumptions. Acts as floor of the four-lens range, not point estimate.</t>
  </si>
  <si>
    <t>Global TAM — health-conscious consumers (M)</t>
  </si>
  <si>
    <t>Global adults w/ disposable income + health interest.</t>
  </si>
  <si>
    <t>Pew Research / McKinsey wellness reports.</t>
  </si>
  <si>
    <t>SAM — premium continuous-biometric subscribers</t>
  </si>
  <si>
    <t>Variable + brand allocated. P1 ~$200, P2 ~$240, P3 ~$300; weighted by gross-adds shape.</t>
  </si>
  <si>
    <t>7% TAM penetration. Excludes occasional users; targets WTP $25+/mo.</t>
  </si>
  <si>
    <t>SOM share — WHOOP capture</t>
  </si>
  <si>
    <t>Steady-state blended; cohort mix shifts to Y3+ over time.</t>
  </si>
  <si>
    <t>Premium positioning between AW (volume) and Oura (style/wellness).</t>
  </si>
  <si>
    <t>Maturity factor — 2033 penetration of theoretical max</t>
  </si>
  <si>
    <t>Approx midpoint 2.5M start → ~11M end. Penetration ramps; 2033 ~23% of full saturation (2040+).</t>
  </si>
  <si>
    <t>Theoretical max 36.75M (SAM × SOM share) — long-term ceiling, not 2033 expectation.</t>
  </si>
  <si>
    <t>→ Lens D bottoms-up endpoint (M)</t>
  </si>
  <si>
    <t>= SAM × SOM share × maturity factor. Conservative by construction — floor of the four-lens range.</t>
  </si>
  <si>
    <t>= 245 × 15% × 22.8% = 8.379M.</t>
  </si>
  <si>
    <t>7. Composite Span (across all four lenses)</t>
  </si>
  <si>
    <t>Lowest defensible (Lens D — SAM/SOM floor)</t>
  </si>
  <si>
    <t>Disciplined bottoms-up; comp-shape free.</t>
  </si>
  <si>
    <t>Highest defensible (Lens A — TAM × share)</t>
  </si>
  <si>
    <t>Top-down; assumption-heavy ceiling.</t>
  </si>
  <si>
    <t>Most defensible base (lens median)</t>
  </si>
  <si>
    <t>Trajectory Build is calibrated to land here.</t>
  </si>
  <si>
    <t>Span (range across lenses)</t>
  </si>
  <si>
    <t>Span 3.6M = Lens D floor to Lens A ceiling.</t>
  </si>
  <si>
    <t>8. Trajectory Build — Oura-Shape Calibrated to Lens Median</t>
  </si>
  <si>
    <t>Anchors: 2.5M start (2025) → lens median (B20). Shape borrowed from Oura forward-extrapolation (5b): aggressive Y1–2 reflecting unconverted-demand punch (free hardware + GLP-1/CGM/employer wellness tailwinds), decelerating to single-digits as TAM saturates. Per-year rate scaled by k so compounded endpoint matches lens median.</t>
  </si>
  <si>
    <t>Year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</si>
  <si>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</si>
  <si>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</si>
  <si>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</si>
  <si>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</si>
  <si>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</si>
  <si>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</si>
  <si>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</si>
  <si>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</si>
  <si>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</si>
  <si>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CAGR</t>
  </si>
  <si>
    <t>Raw Oura shape (%)</t>
  </si>
  <si>
    <t>Calibration multiplier k</t>
  </si>
  <si>
    <t>Hardcoded multiplier on raw growth rates so compounded endpoint = lens median</t>
  </si>
  <si>
    <t>Members (M), end of year</t>
  </si>
  <si>
    <t>Calibrated YoY %</t>
  </si>
  <si>
    <t>9. Cross-Checks vs Live Model</t>
  </si>
  <si>
    <t>Audit chain: lens median → trajectory build → live Assumptions Base → DCF. Distance metric should be &lt;±15% to confirm triangulation holds.</t>
  </si>
  <si>
    <t>Cross-check</t>
  </si>
  <si>
    <t>Members (M)</t>
  </si>
  <si>
    <t>Live Base (Assumptions!F178)</t>
  </si>
  <si>
    <t>Live model Base scenario, compounded ending.</t>
  </si>
  <si>
    <t>Lens median (B20)</t>
  </si>
  <si>
    <t>Triangulated four-lens median — the target.</t>
  </si>
  <si>
    <t>Trajectory build endpoint (J93)</t>
  </si>
  <si>
    <t>Calibrated endpoint (k=0.9781).</t>
  </si>
  <si>
    <t>→ Distance (Live vs Triangulation)</t>
  </si>
  <si>
    <t>✓ Triangulated within tolerance (target: ±15%).</t>
  </si>
  <si>
    <t>10. Series G Back-Solve Diagnostic</t>
  </si>
  <si>
    <t>What member trajectory does Series G $24.63/sh imply? Compare to four-lens triangulation to see how far above the lens range Series G prices.</t>
  </si>
  <si>
    <t>Series G $/sh</t>
  </si>
  <si>
    <t>From Member Anchors (B9).</t>
  </si>
  <si>
    <t>DCF base $/sh (lens median trajectory)</t>
  </si>
  <si>
    <t>From Member Anchors (B10) — live link to DCF C40.</t>
  </si>
  <si>
    <t>Series G premium to DCF base</t>
  </si>
  <si>
    <t>Series G prices in members beyond the lens range OR upside on margins / pricing / multiples.</t>
  </si>
  <si>
    <t>Implied 2033 members at Series G (proxy)</t>
  </si>
  <si>
    <t>First-order linear scaling: lens median × (Series G / DCF). Approximate — ignores nonlinearity in margin/scale.</t>
  </si>
  <si>
    <t>→ Implied vs Lens A ceiling (max defensible)</t>
  </si>
  <si>
    <t>If positive: Series G prices in members beyond what any lens defends.</t>
  </si>
  <si>
    <t>11. Key Findings (carry to memo)</t>
  </si>
  <si>
    <t>1. Four lenses converge tightly (median 10.92M, COV 14%). Three of four lenses sit within ±3% of the median; only Lens D's bottoms-up SAM/SOM (8.38M) drags the range. Convergence is emergent — each lens uses an independent methodology, none is calibrated to the others.</t>
  </si>
  <si>
    <t>2. Lens C (comps triangulation) is the methodologically strongest single lens. Three sub-methods (Apple Watch shape projection, Oura forward extrapolation, Garmin timeline compression) land within 0.34M (±3%) of each other — the tightest internal consistency of any lens.</t>
  </si>
  <si>
    <t>3. Lens D anchors the bear floor at 8.38M. Disciplined bottoms-up sizing (TAM→SAM→SOM) without comp-borrowed shape. The 14% COV across lenses is wide because Lens D pulls down — not because the upside lenses disagree.</t>
  </si>
  <si>
    <t>4. Trajectory build calibrates exactly to lens median. Oura-shape decel curve scaled by k=0.9781 lands the 8-year compounded endpoint at 10.92M. Implied CAGR 20.2% — aggressive Y1–2 (49%/37%) easing to single-digits Y6–8.</t>
  </si>
  <si>
    <t>5. Live model Base scenario reproduces the lens median within 0.06%. Assumptions D169:D176 retuned to (49%/37%/25%/19%/14%/11%/8%/6%) — the trajectory the model now uses is the trajectory the four lenses triangulate to.</t>
  </si>
  <si>
    <t>6. Series G implies ~15.0M members (proxy, linear scaling) — 26% above Lens A's most aggressive defensible ceiling (11.95M). Series G is not pricing in even the most upside-leaning lens; the gap to the comp set requires upside on margins, pricing, OR member count beyond what any methodology defends.</t>
  </si>
  <si>
    <t>7. Verdict: Member triangulation supports DCF base $17.89/sh. Series G $24.63/sh requires multiple things to break right simultaneously — not a binary member-count argument, but stacked margin + multiple + member upside relative to lens median.</t>
  </si>
  <si>
    <t>Source: Member triangulation built from independent methodologies — mHealth Intelligence (TAM), Counterpoint/IDC (Apple Watch), Pew/McKinsey (SAM/SOM). Trajectory shape borrowed from Oura forward extrapolation. Calibration k solved to land compounded endpoint exactly on lens median.</t>
  </si>
  <si>
    <t>12. Convergence Visualization — Four-Lens Triangulation</t>
  </si>
  <si>
    <t>Stacked column: each lens shown as a column to the median (gold), with the residual above/below in navy/red. Median reference line at 10.92M.</t>
  </si>
  <si>
    <t>To Median</t>
  </si>
  <si>
    <t>Above Median</t>
  </si>
  <si>
    <t>Below Median (shown as deficit)</t>
  </si>
  <si>
    <t>Total (lens output, M)</t>
  </si>
  <si>
    <t>Median (reference)</t>
  </si>
  <si>
    <t>✓ anchor</t>
  </si>
  <si>
    <t>WHOOP — Member Cohort Engine</t>
  </si>
  <si>
    <t>Members in millions; cohort engine drives revenue. 2025 beginning treated as Y3+ legacy block (simplification — see note).</t>
  </si>
  <si>
    <t>Units</t>
  </si>
  <si>
    <t>Historical</t>
  </si>
  <si>
    <t>Phase 1</t>
  </si>
  <si>
    <t>Phase 2</t>
  </si>
  <si>
    <t>Phase 3</t>
  </si>
  <si>
    <t>1. Beginning Members (start of year)</t>
  </si>
  <si>
    <t>Beginning Members (total)</t>
  </si>
  <si>
    <t xml:space="preserve">  of which: Year-1 cohort</t>
  </si>
  <si>
    <t xml:space="preserve">  of which: Year-2 cohort</t>
  </si>
  <si>
    <t xml:space="preserve">  of which: Year-3+ cohort</t>
  </si>
  <si>
    <t>2. Churn Rates (cohort-aged, from Assumptions)</t>
  </si>
  <si>
    <t>Year-1 churn rate</t>
  </si>
  <si>
    <t>Year-2 churn rate</t>
  </si>
  <si>
    <t>Year-3+ churn rate</t>
  </si>
  <si>
    <t>3. Churned Members</t>
  </si>
  <si>
    <t xml:space="preserve">  Y1 churned</t>
  </si>
  <si>
    <t xml:space="preserve">  Y2 churned</t>
  </si>
  <si>
    <t xml:space="preserve">  Y3+ churned</t>
  </si>
  <si>
    <t>Total churned</t>
  </si>
  <si>
    <t>4. Surviving Members (end of year, before new adds)</t>
  </si>
  <si>
    <t xml:space="preserve">  Y1 survivors</t>
  </si>
  <si>
    <t xml:space="preserve">  Y2 survivors</t>
  </si>
  <si>
    <t xml:space="preserve">  Y3+ end state (incl. Y2 graduates)</t>
  </si>
  <si>
    <t>5. New Members (Gross Adds — DERIVED via membership identity)</t>
  </si>
  <si>
    <t>Gross Adds (= Δ Ending + Total Churned)</t>
  </si>
  <si>
    <t>6. Ending &amp; Average Members</t>
  </si>
  <si>
    <t>Ending Members</t>
  </si>
  <si>
    <t>Average Members</t>
  </si>
  <si>
    <t>7. Diagnostics (output, not input)</t>
  </si>
  <si>
    <t>Net Adds (Gross - Churned)</t>
  </si>
  <si>
    <t>Net Member Growth %</t>
  </si>
  <si>
    <t>Blended Annual Churn Rate (output)</t>
  </si>
  <si>
    <t>2025 ending vs Assumptions R3b (consistency)</t>
  </si>
  <si>
    <t>8. S&amp;M Build (Variable + Brand decomposition; member-anchored)</t>
  </si>
  <si>
    <t>Framework: Total S&amp;M = (Gross Adds × Variable CAC) + Brand $. P&amp;L pulls Total. Brand split exposes true variable acquisition economics.</t>
  </si>
  <si>
    <t>#</t>
  </si>
  <si>
    <t>Hist</t>
  </si>
  <si>
    <t>Adds→S&amp;M</t>
  </si>
  <si>
    <t>Rev→Adds</t>
  </si>
  <si>
    <t>Total S&amp;M $ (= Variable + Brand) [P&amp;L feeder]</t>
  </si>
  <si>
    <t>Variable CAC $ (paid acquisition only, excl. brand)</t>
  </si>
  <si>
    <t>$</t>
  </si>
  <si>
    <t xml:space="preserve">  Memo: Total S&amp;M ÷ CAC (legacy diagnostic)</t>
  </si>
  <si>
    <t>TAM Penetration % (diagnostic — flag if &gt;40%)</t>
  </si>
  <si>
    <t>Final Gross Adds (= row 31, derived)</t>
  </si>
  <si>
    <t>Implied S&amp;M % of prior-yr revenue (diagnostic by phase)</t>
  </si>
  <si>
    <t xml:space="preserve">  Memo: 2027→2028 implied step (informational)</t>
  </si>
  <si>
    <t>pp</t>
  </si>
  <si>
    <t xml:space="preserve">  Variable S&amp;M $ (= Gross Adds × Variable CAC)</t>
  </si>
  <si>
    <t xml:space="preserve">  Brand S&amp;M $ (= linearly interp Assumptions!F124→F125)</t>
  </si>
  <si>
    <t>All-in CAC $ (= Total S&amp;M / Gross Adds) [diagnostic]</t>
  </si>
  <si>
    <t>LTV $ (= ARPU × GM% / blended churn)</t>
  </si>
  <si>
    <t>LTV / All-in CAC (≥3x healthy, &lt;2x flag)</t>
  </si>
  <si>
    <t>LTV / Variable CAC (≥5x healthy, what acquisition really earns)</t>
  </si>
  <si>
    <t>9. Guardrails (Layer 5: phase-aware bands &amp; coherence)</t>
  </si>
  <si>
    <t>Implied S&amp;M % within band (P1 35-55%, P2 20-30%, P3 12-18%)</t>
  </si>
  <si>
    <t>✓/⚠/✗</t>
  </si>
  <si>
    <t>2030 ✗ accepted as P2/P3 transition flag — model is authentically between regimes; not a band-design fix. 2033 ⚠ resolved by Brand $ bump to $130M terminal.</t>
  </si>
  <si>
    <t>Variable CAC ≤ 50% × ARPU</t>
  </si>
  <si>
    <t>LTV / All-in CAC ≥ 3.0x</t>
  </si>
  <si>
    <t>LTV / Variable CAC ≥ 5.0x</t>
  </si>
  <si>
    <t>TAM penetration ≤ 45% (hard-cap if breached)</t>
  </si>
  <si>
    <t>Capital coherence: 2026-27 cumul. S&amp;M ≤ $700M Series G</t>
  </si>
  <si>
    <t>Roll-up status (worst across rows 61-65)</t>
  </si>
  <si>
    <t>Triangulation flag (vs Member Thesis median)</t>
  </si>
  <si>
    <t>Δ%</t>
  </si>
  <si>
    <t>Member Trajectory by Scenario — 2025 to 2033</t>
  </si>
  <si>
    <t>Ending members (millions). Base case ties live to Members!D34:L34; Bear/Bull computed from scenario-specific YoY trajectories.</t>
  </si>
  <si>
    <t>Scenario</t>
  </si>
  <si>
    <t>2033 Endpoint</t>
  </si>
  <si>
    <t>Plateau</t>
  </si>
  <si>
    <t>Durable</t>
  </si>
  <si>
    <t>Platform</t>
  </si>
  <si>
    <t xml:space="preserve">chart </t>
  </si>
  <si>
    <t>ARPU — Single-Line Blended Driver (collapsed from 5-component build)</t>
  </si>
  <si>
    <t>Active driver: ARPU tab bottoms-up build. 2025 driver = D32 (year-specific implied: partial Labs, no BP). 2026 driver = D33 (mature build: full Labs + BP at 5% attach). 2027+ grows at R4g. Assumptions!F11 reads from D10. Consistency check at row 38 verifies Members × ARPU ≈ Methodology rev anchor.</t>
  </si>
  <si>
    <t>Blended ARPU (driver)</t>
  </si>
  <si>
    <t xml:space="preserve">  2025 Anchor (Assumptions R4)</t>
  </si>
  <si>
    <t>$/yr</t>
  </si>
  <si>
    <t xml:space="preserve">  Annual growth rate (Assumptions R4g)</t>
  </si>
  <si>
    <t xml:space="preserve">  Blended ARPU</t>
  </si>
  <si>
    <t xml:space="preserve">ARPU Justification </t>
  </si>
  <si>
    <t>Bottom-up reconciliation showing how blended ARPU reflects consumer + B2B mix. Numbers below are reference; active driver is Section 1 R4 above.</t>
  </si>
  <si>
    <t>Consumer per-member ARPU components:</t>
  </si>
  <si>
    <t xml:space="preserve">  Subscription tier-weighted average</t>
  </si>
  <si>
    <t>Tier mix 30/45/25 × $199/$239/$359 = $257; +$1.68 monthly premium</t>
  </si>
  <si>
    <t xml:space="preserve">  Labs ARPU now estimation</t>
  </si>
  <si>
    <t xml:space="preserve">  Accessories ARPU</t>
  </si>
  <si>
    <t xml:space="preserve">  Consumer ARPU (2025)</t>
  </si>
  <si>
    <t>B2B Unite per-seat:</t>
  </si>
  <si>
    <t xml:space="preserve">  Per-seat employer-rate ARPU</t>
  </si>
  <si>
    <t>B2B health platforms with bundled hardware: $200-350; standalone software: $100-180. Estimate $260 mid-range.</t>
  </si>
  <si>
    <t>Mix assumption (% of paying members):</t>
  </si>
  <si>
    <t xml:space="preserve">  Consumer share</t>
  </si>
  <si>
    <t>BMCT estimate: Unite ~20% of recurring revenue</t>
  </si>
  <si>
    <t xml:space="preserve">  Unite share</t>
  </si>
  <si>
    <t xml:space="preserve">  Mix sum check</t>
  </si>
  <si>
    <t>Must = 100%</t>
  </si>
  <si>
    <t>Component</t>
  </si>
  <si>
    <t>Contribution</t>
  </si>
  <si>
    <t>Anchor / Justification</t>
  </si>
  <si>
    <t>Inflation baseline</t>
  </si>
  <si>
    <t>CPI+ baseline; consistent with Base</t>
  </si>
  <si>
    <t>Tier-mix shift to Peak/Life</t>
  </si>
  <si>
    <t>Healthcare-positioning brand effect drives consumer trade-up; Spotify Family/Premium analog</t>
  </si>
  <si>
    <t>Labs / BP-Healthspan attach growth</t>
  </si>
  <si>
    <t>Premium feature monetization; clinical anchor justifies adoption (BP launched Jan 2026)</t>
  </si>
  <si>
    <t>B2B Unite share growth</t>
  </si>
  <si>
    <t>Enterprise health platform scales from 20% → 30% of base; per-seat pricing 4-7x consumer</t>
  </si>
  <si>
    <t>Payer-paid revenue uplift</t>
  </si>
  <si>
    <t>Direct healthcare reimbursement contribution; weighted across eligible-member share × payer ARPU lift</t>
  </si>
  <si>
    <t>Consistency Check: Members × ARPU = Revenue</t>
  </si>
  <si>
    <t xml:space="preserve">  2025 Avg Members × Blended ARPU</t>
  </si>
  <si>
    <t>Scenario ARPU Build — Asymmetric Growth Discipline</t>
  </si>
  <si>
    <t>Bear/Base anchored to inflation only; Bull lifts only because healthcare reimbursement materializes (ARPU = consequence of scenario, not independent dial).</t>
  </si>
  <si>
    <t>Growth</t>
  </si>
  <si>
    <t>2025 ARPU</t>
  </si>
  <si>
    <t>2033 ARPU</t>
  </si>
  <si>
    <t>$/Month '33</t>
  </si>
  <si>
    <t>Δ vs CPI</t>
  </si>
  <si>
    <t>Bull Decomposition — 6.0% = Sum of Five Anchored Mechanisms</t>
  </si>
  <si>
    <t>Bull ARPU growth is the CONSEQUENCE of healthcare reimbursement materialization, not an independent dial. Each component anchored to a commercial mechanism.</t>
  </si>
  <si>
    <t>Justification</t>
  </si>
  <si>
    <t>CPI+ baseline; consistent with Base case anchor</t>
  </si>
  <si>
    <t>Tier-mix shift to Peak / Life</t>
  </si>
  <si>
    <t>Healthcare-positioning brand effect drives consumer trade-up (Spotify Family/Premium analog)</t>
  </si>
  <si>
    <t>Premium feature monetization (BP launched Jan 2026; clinical anchor justifies adoption)</t>
  </si>
  <si>
    <t>Enterprise platform scales from 20% → 30% of base; per-seat pricing 4-7x consumer</t>
  </si>
  <si>
    <t>Direct reimbursement contribution (eligible-member share × payer ARPU lift)</t>
  </si>
  <si>
    <t>Total Bull ARPU Growth</t>
  </si>
  <si>
    <t>Matches Bull driver (Assumptions!E149) — mechanism-by-mechanism reconciliation</t>
  </si>
  <si>
    <t>Sanity Check — $437 Bull Endpoint vs Reference Points</t>
  </si>
  <si>
    <t>Bull 2033 ARPU of $437/yr = $36.39/month. Sits between current Peak ($33) and Life ($49) consumer tiers.</t>
  </si>
  <si>
    <t>Reference Point</t>
  </si>
  <si>
    <t>$/Month</t>
  </si>
  <si>
    <t>$/Year</t>
  </si>
  <si>
    <t>vs Bull</t>
  </si>
  <si>
    <t>Comment</t>
  </si>
  <si>
    <t>WHOOP One (current)</t>
  </si>
  <si>
    <t>Entry tier; Bull implies 21% lift over 8 years</t>
  </si>
  <si>
    <t>WHOOP Peak (current mid-tier)</t>
  </si>
  <si>
    <t>Bull endpoint implies durable mix shift toward Peak/Life</t>
  </si>
  <si>
    <t>WHOOP Life (current top tier)</t>
  </si>
  <si>
    <t>Already exceeds Bull — plausible if Life mix grows materially</t>
  </si>
  <si>
    <t>Peloton All-Access</t>
  </si>
  <si>
    <t>Connected-fitness benchmark — exceeds Bull endpoint</t>
  </si>
  <si>
    <t>Oura Ring (membership)</t>
  </si>
  <si>
    <t>Pure software — bounds the floor, not a direct comp</t>
  </si>
  <si>
    <t>Bull 2033 ARPU (model)</t>
  </si>
  <si>
    <t>—</t>
  </si>
  <si>
    <t>Between Peak and Life tiers; achievable via healthcare uplift</t>
  </si>
  <si>
    <t>WHOOP — Revenue Build-Up</t>
  </si>
  <si>
    <t>$M unless noted; Calendar Year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</si>
  <si>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</si>
  <si>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</si>
  <si>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</si>
  <si>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</si>
  <si>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</si>
  <si>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</si>
  <si>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</si>
  <si>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</si>
  <si>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</si>
  <si>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</si>
  <si>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1. Member Economics (linked from Members tab)</t>
  </si>
  <si>
    <t>Beginning Members</t>
  </si>
  <si>
    <t>Gross Adds</t>
  </si>
  <si>
    <t>Churned Members</t>
  </si>
  <si>
    <t>Avg Members</t>
  </si>
  <si>
    <t>Blended Annual Churn (output)</t>
  </si>
  <si>
    <t>2. ARPU (linked from ARPU tab)</t>
  </si>
  <si>
    <t>Blended ARPU</t>
  </si>
  <si>
    <t>3. Revenue Build</t>
  </si>
  <si>
    <t>Recognized Revenue (Total)</t>
  </si>
  <si>
    <t>Memo: Δ Deferred Rev Balance (flows to NWC, not P&amp;L)</t>
  </si>
  <si>
    <t>YoY Revenue Growth</t>
  </si>
  <si>
    <t>4. Bookings Reconciliation</t>
  </si>
  <si>
    <t>Implied Bookings (End × ARPU)</t>
  </si>
  <si>
    <t>Bookings/Revenue Ratio (memo: Ending × ARPU vs Avg × ARPU)</t>
  </si>
  <si>
    <t>2025 Recognized vs Assumptions F12 (consistency)</t>
  </si>
  <si>
    <t>WHOOP — Projected Income Statement</t>
  </si>
  <si>
    <t>$M; Calendar Year; Scenario per Assumptions toggle</t>
  </si>
  <si>
    <t>Calibration items: see notes on F31 (2027 dip), L23 (S&amp;M architecture). Margin tapers and NOL wired; refer to CalibrationLog for status.</t>
  </si>
  <si>
    <t>Revenue</t>
  </si>
  <si>
    <t>Total Revenue</t>
  </si>
  <si>
    <t>← From Revenue Build tab</t>
  </si>
  <si>
    <t>YoY Growth</t>
  </si>
  <si>
    <t>Cost of Revenue</t>
  </si>
  <si>
    <t>Total COGS (Blended COGS% × Revenue, linearly interpolated)</t>
  </si>
  <si>
    <t xml:space="preserve">  Hardware COGS (MEMO ONLY — embedded in blended COGS%; used for WC inventory only)</t>
  </si>
  <si>
    <t>Total COGS (= row 12)</t>
  </si>
  <si>
    <t>Gross Profit</t>
  </si>
  <si>
    <t>Gross Margin</t>
  </si>
  <si>
    <t>Operating Expenses</t>
  </si>
  <si>
    <t>R&amp;D</t>
  </si>
  <si>
    <t xml:space="preserve">  R&amp;D % Revenue</t>
  </si>
  <si>
    <t>← From Assumptions C7/C8</t>
  </si>
  <si>
    <t>Sales &amp; Marketing</t>
  </si>
  <si>
    <t xml:space="preserve">  S&amp;M % Revenue</t>
  </si>
  <si>
    <t>← From Assumptions C9/C10</t>
  </si>
  <si>
    <t>General &amp; Administrative</t>
  </si>
  <si>
    <t xml:space="preserve">  G&amp;A % Revenue</t>
  </si>
  <si>
    <t>← From Assumptions C11/C12</t>
  </si>
  <si>
    <t>Stock-Based Compensation</t>
  </si>
  <si>
    <t xml:space="preserve">  SBC % Revenue</t>
  </si>
  <si>
    <t>← From Assumptions C13</t>
  </si>
  <si>
    <t>Total OpEx</t>
  </si>
  <si>
    <t>Profitability</t>
  </si>
  <si>
    <t>EBITDA</t>
  </si>
  <si>
    <t>EBITDA Margin</t>
  </si>
  <si>
    <t>EBIT / Operating Income</t>
  </si>
  <si>
    <t>Operating Margin</t>
  </si>
  <si>
    <t>Rule of 40 Score</t>
  </si>
  <si>
    <t>= Revenue Growth % + EBITDA Margin %</t>
  </si>
  <si>
    <t>Below the Line</t>
  </si>
  <si>
    <t>Interest Income / (Expense)</t>
  </si>
  <si>
    <t>Pre-Tax Income</t>
  </si>
  <si>
    <t>Taxes</t>
  </si>
  <si>
    <t>Net Income</t>
  </si>
  <si>
    <t>Net Margin</t>
  </si>
  <si>
    <t>NOL Carryforward Schedule (post-TCJA, 80% utilization cap)</t>
  </si>
  <si>
    <t>Beginning NOL Balance</t>
  </si>
  <si>
    <t xml:space="preserve">  + Current Year Loss Added (if pretax &lt; 0)</t>
  </si>
  <si>
    <t xml:space="preserve">  − NOL Utilized Against Current Income</t>
  </si>
  <si>
    <t>Ending NOL Balance</t>
  </si>
  <si>
    <t>WHOOP — FCF</t>
  </si>
  <si>
    <t>Free cash flow build. ΔNWC sourced from WC &amp; Cash tab (detailed deferred-rev schedule).</t>
  </si>
  <si>
    <t>1. EBIT to NOPAT</t>
  </si>
  <si>
    <t>EBIT</t>
  </si>
  <si>
    <t>= P&amp;L EBIT (row 33)</t>
  </si>
  <si>
    <t>Less: Cash taxes on EBIT</t>
  </si>
  <si>
    <t>= P&amp;L Cash Taxes (row 40), tax-affected at effective rate</t>
  </si>
  <si>
    <t>NOPAT</t>
  </si>
  <si>
    <t>= EBIT − Cash Taxes</t>
  </si>
  <si>
    <t>2. NOPAT to Unlevered FCF</t>
  </si>
  <si>
    <t>Plus: D&amp;A</t>
  </si>
  <si>
    <t>= Revenue × D&amp;A % (Assumptions F52)</t>
  </si>
  <si>
    <t>Less: CapEx</t>
  </si>
  <si>
    <t>= −(Revenue × CapEx %) (Assumptions F48)</t>
  </si>
  <si>
    <t>Less: Change in NWC</t>
  </si>
  <si>
    <t>= From WC &amp; Cash tab (Section 3, Total ΔNWC)</t>
  </si>
  <si>
    <t>Note: SBC is REAL COST in P&amp;L — do NOT add back</t>
  </si>
  <si>
    <t>Per methodology Sec 6 — SBC stays in P&amp;L as cash-equivalent expense</t>
  </si>
  <si>
    <t>Unlevered Free Cash Flow</t>
  </si>
  <si>
    <t>= NOPAT + D&amp;A + CapEx + ΔNWC</t>
  </si>
  <si>
    <t>3. FCF Diagnostics</t>
  </si>
  <si>
    <t>FCF Margin %</t>
  </si>
  <si>
    <t>FCF / Revenue</t>
  </si>
  <si>
    <t>Rule of 40 (Growth + FCF Margin)</t>
  </si>
  <si>
    <t>Revenue Growth % + FCF Margin %</t>
  </si>
  <si>
    <t>WHOOP — Working Capital &amp; Cash Roll-Forward</t>
  </si>
  <si>
    <t>$M; pre-IPO (no debt service / dividends / buybacks). Replaces FCF-tab ΔNWC plug with explicit WC build.</t>
  </si>
  <si>
    <t>Detailed WC schedule wired into FCF tab as of this session. DCF EV impact: +$813M.</t>
  </si>
  <si>
    <t>1. Drivers</t>
  </si>
  <si>
    <t>Avg months remaining on annual sub (deferred rev)</t>
  </si>
  <si>
    <t>mo</t>
  </si>
  <si>
    <t>Inventory days (gross adds device cost)</t>
  </si>
  <si>
    <t>days</t>
  </si>
  <si>
    <t>Accounts payable days (% of total COGS)</t>
  </si>
  <si>
    <t>Other NWC (% of revenue)</t>
  </si>
  <si>
    <t>Pre-existing cash balance (start 2025)</t>
  </si>
  <si>
    <t>2024 Deferred Revenue Balance</t>
  </si>
  <si>
    <t>Series G proceeds (closed Mar 2026)</t>
  </si>
  <si>
    <t>2. Working Capital Balances (Liabilities = Source / Assets = Use)</t>
  </si>
  <si>
    <t>Deferred Revenue (= End Members × ARPU × mo/12)</t>
  </si>
  <si>
    <t>Inventory (= ~45 days of NEXT-yr hardware COGS)</t>
  </si>
  <si>
    <t>Accounts Payable (= ~18 days of total COGS)</t>
  </si>
  <si>
    <t>Other NWC (= 1.5% of revenue)</t>
  </si>
  <si>
    <t>3. Change in WC (positive = cash source)</t>
  </si>
  <si>
    <t>Δ Deferred Revenue (liability ↑ = source)</t>
  </si>
  <si>
    <t>Δ Inventory (asset ↑ = use)</t>
  </si>
  <si>
    <t>Δ Accounts Payable (liability ↑ = source)</t>
  </si>
  <si>
    <t>Δ Other NWC (asset ↑ = use)</t>
  </si>
  <si>
    <t>Total Δ NWC (cash impact)</t>
  </si>
  <si>
    <t>4. Cash Roll-Forward (pre-IPO; no debt service / dividends / buybacks)</t>
  </si>
  <si>
    <t>Beginning Cash</t>
  </si>
  <si>
    <t xml:space="preserve">  + Series G proceeds</t>
  </si>
  <si>
    <t xml:space="preserve">  + Unlevered Free Cash Flow (FCF tab)</t>
  </si>
  <si>
    <t>Ending Cash</t>
  </si>
  <si>
    <t>WHOOP — Bottom-Up WACC Build (Justification)</t>
  </si>
  <si>
    <t>Cross-check on Damodaran sector approach used in Assumptions!F74. Methodology: 3Y weekly Bloomberg-adjusted betas + Oura tender-anchored liquidity premium. Pure justification — does NOT feed DCF.</t>
  </si>
  <si>
    <t>Source: research/wacc-bottom-up-build.md (May 5, 2026). Replaces 5Y monthly + Hiive premium methodology.</t>
  </si>
  <si>
    <t>Executive Summary</t>
  </si>
  <si>
    <t>• Bottom-up bucket-median unlevered betas (Bloomberg-adj, 3Y weekly): B1 = 1.01, B2 = 1.00 (ex-PTON), B3 = 0.92. Tight clustering.</t>
  </si>
  <si>
    <t>• WHOOP blended βᵤ = 0.95–0.99 across Bear/Base/Bull; Damodaran sector blended = 0.81–0.85. Delta narrowed from +0.40 (5Y monthly) to +0.10–0.18.</t>
  </si>
  <si>
    <t>• Revenue-weighted ERP = 4.61% Base (vs. pure US 4.46%); +11bps from ~42% intl mix.</t>
  </si>
  <si>
    <t>• Liquidity premium = +2.0pp anchored to Oura Jan 2026 tender at 25% discount to Series E (Oct 2025); replaces prior +5pp Hiive figure.</t>
  </si>
  <si>
    <t>• Bottom-up WACC ~11.6% Base vs. Damodaran sector ~10.4% Base — two methods converge within ~1pp. Triangulation finding.</t>
  </si>
  <si>
    <t>§1. Per-Comp Inputs &amp; Hamada Unlevered Betas</t>
  </si>
  <si>
    <t>3Y weekly OLS regression vs. ^GSPC, 157 obs (May 2023 – May 2026). Bloomberg adj: β_adj = (2/3)×β_raw + (1/3)×1.0. Hamada: βᵤ = βL / [1 + (1−t)×(D/E)].</t>
  </si>
  <si>
    <t>Comp</t>
  </si>
  <si>
    <t>Bucket</t>
  </si>
  <si>
    <t>β_raw</t>
  </si>
  <si>
    <t>β_adj</t>
  </si>
  <si>
    <t>R²</t>
  </si>
  <si>
    <t>Mkt Cap ($M)</t>
  </si>
  <si>
    <t>Debt ($M)</t>
  </si>
  <si>
    <t>Cash ($M)</t>
  </si>
  <si>
    <t>D/E</t>
  </si>
  <si>
    <t>ETR (3Y agg)</t>
  </si>
  <si>
    <t>Marg Tax</t>
  </si>
  <si>
    <t>Tax Used</t>
  </si>
  <si>
    <t>βᵤ (adj)</t>
  </si>
  <si>
    <t>βᵤ (raw chk)</t>
  </si>
  <si>
    <t>Garmin (GRMN)</t>
  </si>
  <si>
    <t>B1 Hardware</t>
  </si>
  <si>
    <t>Peloton (PTON)</t>
  </si>
  <si>
    <t>B2 Sub (distressed)</t>
  </si>
  <si>
    <t>n/m</t>
  </si>
  <si>
    <t>Spotify (SPOT)</t>
  </si>
  <si>
    <t>B2 Sub (mature)</t>
  </si>
  <si>
    <t>Dexcom (DXCM)</t>
  </si>
  <si>
    <t>B3 Health Data</t>
  </si>
  <si>
    <t>ResMed (RMD)</t>
  </si>
  <si>
    <t>Masimo (MASI)</t>
  </si>
  <si>
    <t>iRhythm (IRTC)</t>
  </si>
  <si>
    <t>R² caveat: range 5.7% (IRTC) to 21.6% (GRMN) — standard error on each β ~±0.20–0.30. Bucket medians of 4 names (B3) more robust than singletons.</t>
  </si>
  <si>
    <t>§2. Bucket Median Unlevered Betas</t>
  </si>
  <si>
    <t>Comps</t>
  </si>
  <si>
    <t>Median βᵤ (incl PTON)</t>
  </si>
  <si>
    <t>Median βᵤ (ex-PTON)</t>
  </si>
  <si>
    <t>Min</t>
  </si>
  <si>
    <t>Max</t>
  </si>
  <si>
    <t>GRMN</t>
  </si>
  <si>
    <t>B2 Subscription</t>
  </si>
  <si>
    <t>PTON, SPOT</t>
  </si>
  <si>
    <t>DXCM, RMD, MASI, IRTC</t>
  </si>
  <si>
    <t>Notes:</t>
  </si>
  <si>
    <t xml:space="preserve">  • B2 ex-PTON is primary anchor; PTON's Hamada output contaminated by distressed-equity dynamics (D/E 0.89, levered β 1.86 adj).</t>
  </si>
  <si>
    <t xml:space="preserve">  • B3 4-comp median robust to outliers — anchored by RMD (0.95) and MASI (0.88) as middle two; DXCM (1.01) and IRTC (0.77) are bookends.</t>
  </si>
  <si>
    <t>§3. Damodaran Sector Cross-Check (Jan 2026)</t>
  </si>
  <si>
    <t>Bottom-up βᵤ (ex-PTON)</t>
  </si>
  <si>
    <t>Damodaran Sector</t>
  </si>
  <si>
    <t>Sector βᵤ</t>
  </si>
  <si>
    <t># Firms</t>
  </si>
  <si>
    <t>Delta</t>
  </si>
  <si>
    <t>5Y mo Delta (prior)</t>
  </si>
  <si>
    <t>Electronics (Consumer &amp; Office)</t>
  </si>
  <si>
    <t>Software (Entertainment)</t>
  </si>
  <si>
    <t>HC Info &amp; Tech</t>
  </si>
  <si>
    <t>Convergence finding: under 3Y weekly methodology, bucket betas converge to within ±0.10 of Damodaran sector medians. Idiosyncratic events filtered out (IRTC 2021 CMS, PTON 2021 collapse); Bloomberg adjustment shrinks toward 1.0.</t>
  </si>
  <si>
    <t>§4. WHOOP Re-Levered Beta (zero debt → β_L = βᵤ)</t>
  </si>
  <si>
    <t>Bucket weights pulled live from Assumptions!C84:E86 (Bear/Base/Bull). Damodaran sector blended sourced from Assumptions!C71:E71.</t>
  </si>
  <si>
    <t>B1 Wt</t>
  </si>
  <si>
    <t>B2 Wt</t>
  </si>
  <si>
    <t>B3 Wt</t>
  </si>
  <si>
    <t>B1 βᵤ</t>
  </si>
  <si>
    <t>B2 βᵤ (ex-PTON)</t>
  </si>
  <si>
    <t>B3 βᵤ</t>
  </si>
  <si>
    <t>Blended βᵤ (BU)</t>
  </si>
  <si>
    <t>Damodaran βᵤ</t>
  </si>
  <si>
    <t>Blended βᵤ (PTON-incl)</t>
  </si>
  <si>
    <t>Bear (40/40/20)</t>
  </si>
  <si>
    <t>Base (20/40/40)</t>
  </si>
  <si>
    <t>Bull (10/30/60)</t>
  </si>
  <si>
    <t>Bloomberg adjustment effect on WHOOP-blended is trivial (&lt;0.02) since blend is already centered near 1.0. Remaining +0.10 to +0.18 vs. Damodaran reflects genuine WHOOP-comp-specific premium over broad sector medians.</t>
  </si>
  <si>
    <t>Note: Damodaran βᵤ in Assumptions!C71:E71 is bucket-weighted (Bear 0.85/Base 0.83/Bull 0.81 — higher β = more bearish, i.e. B1-heavy hardware mix). Bottom-up bucket-weighted output uses identical weights, so deltas are consistent across all three scenarios.</t>
  </si>
  <si>
    <t>§5. Revenue-Weighted ERP</t>
  </si>
  <si>
    <t>WHOOP intl mix ~42% (per stress-test). Intl blend: 50% UK/EU developed, 30% Asia developed, 20% other/GCC.</t>
  </si>
  <si>
    <t>Country ERPs (Damodaran Jan 2026)</t>
  </si>
  <si>
    <t>ERP</t>
  </si>
  <si>
    <t xml:space="preserve">  US</t>
  </si>
  <si>
    <t xml:space="preserve">  UK / EU developed avg</t>
  </si>
  <si>
    <t xml:space="preserve">  Asia developed avg (JP/AU/SG)</t>
  </si>
  <si>
    <t xml:space="preserve">  Other / GCC / emerging</t>
  </si>
  <si>
    <t>Blended International ERP</t>
  </si>
  <si>
    <t>Sensitivity: Intl revenue weight</t>
  </si>
  <si>
    <t>Intl Wt</t>
  </si>
  <si>
    <t>US Contrib</t>
  </si>
  <si>
    <t>Intl Contrib</t>
  </si>
  <si>
    <t>Blended ERP</t>
  </si>
  <si>
    <t>Conservative</t>
  </si>
  <si>
    <t>Base case</t>
  </si>
  <si>
    <t>Aggressive</t>
  </si>
  <si>
    <t>Net effect: +11-19bp vs. pure US ERP. Most intl revenue is developed-market with ERPs near US base — token adjustment, not a swing factor.</t>
  </si>
  <si>
    <t>§6. Liquidity Premium — Oura Tender Anchor</t>
  </si>
  <si>
    <t>Oura Jan 2026 tender priced at 25% discount to Oct 2025 Series E (~3-month gap → minimal stale-pricing decay; close to pure DLOM for high-quality wearable comp on credible IPO path).</t>
  </si>
  <si>
    <t>Translation: DLOM → WACC add-on</t>
  </si>
  <si>
    <t>Public-comp WACC base (Damodaran sector)</t>
  </si>
  <si>
    <t>Terminal growth (g)</t>
  </si>
  <si>
    <t>Public (r − g)</t>
  </si>
  <si>
    <t>DLOM scenario</t>
  </si>
  <si>
    <t>DLOM %</t>
  </si>
  <si>
    <t>PV haircut</t>
  </si>
  <si>
    <t>(r−g) ratio</t>
  </si>
  <si>
    <t>New (r−g)</t>
  </si>
  <si>
    <t>Implied add-on</t>
  </si>
  <si>
    <t>Optimistic (shorter time-to-IPO)</t>
  </si>
  <si>
    <t>Base (Oura tender)</t>
  </si>
  <si>
    <t>Conservative (Oura + WHOOP-specific)</t>
  </si>
  <si>
    <t>Recommended liquidity premium</t>
  </si>
  <si>
    <t>Bottom-up + Oura</t>
  </si>
  <si>
    <t>Existing model (Assumptions!F73)</t>
  </si>
  <si>
    <t>Why not Hiive (-39 to -51%)? Hiive prices common (subordinated to $291M preference stack), captures secondary-market valuation skepticism (not pure DLOM), and reflects thin order-book depth. Oura tender = company-organized, structured price = controlled signal.</t>
  </si>
  <si>
    <t>Oura's +2.0pp ratifies the existing 1.5% practitioner midpoint with a market anchor.</t>
  </si>
  <si>
    <t>§7. Synthesis WACC: Bottom-Up vs. Damodaran Sector</t>
  </si>
  <si>
    <t>Cost of Equity = WACC (zero debt). Build A = current model approach (Assumptions). Build B = bottom-up justification (this tab).</t>
  </si>
  <si>
    <t>Build A: Damodaran Sector</t>
  </si>
  <si>
    <t>Build B: Bottom-Up + Oura</t>
  </si>
  <si>
    <t>Delta (Base)</t>
  </si>
  <si>
    <t>Risk-free rate (10Y UST)</t>
  </si>
  <si>
    <t>Unlevered Beta (= levered, no debt)</t>
  </si>
  <si>
    <t>Size Premium (CRSP Decile 3)</t>
  </si>
  <si>
    <t>Liquidity Premium (Oura-anchored vs. CSRP)</t>
  </si>
  <si>
    <t>Implied WACC</t>
  </si>
  <si>
    <t>Decomposition of Build B − Build A delta (Base case)</t>
  </si>
  <si>
    <t xml:space="preserve">  Beta upgrade (0.83 → 0.97)</t>
  </si>
  <si>
    <t xml:space="preserve">  ERP revenue-weighting (4.50% → 4.60%)</t>
  </si>
  <si>
    <t xml:space="preserve">  Liquidity premium (CSRP 2.00% → Oura 2.00%)</t>
  </si>
  <si>
    <t xml:space="preserve">  Total</t>
  </si>
  <si>
    <t>Triangulation: Build A (10.85% Base, current model) and Build B (~11.6% Base, this tab) converge within ~0.7-0.8pp — two independent methods landing close gives the IC committee triangulation confidence. The +0.7pp delta is essentially the bottom-up beta premium (+0.65pp); ERP and liquidity rounding effects are trivial.</t>
  </si>
  <si>
    <t>Bottoms-Up WACC — By Scenario</t>
  </si>
  <si>
    <t>CAPM build from raw market data. Bucket-weighted βᵤ, revenue-weighted ERP (42% intl mix), Oura-tender-anchored liquidity premium.</t>
  </si>
  <si>
    <t>Source / Anchor</t>
  </si>
  <si>
    <t>Bloomberg, May 2026</t>
  </si>
  <si>
    <t>Bucket-weighted βᵤ</t>
  </si>
  <si>
    <t>Median of bucket comp betas × scenario weights (see bottom panel)</t>
  </si>
  <si>
    <t>Revenue-weighted ERP</t>
  </si>
  <si>
    <t xml:space="preserve">  β × ERP contribution</t>
  </si>
  <si>
    <t>Size premium (CRSP Decile 3)</t>
  </si>
  <si>
    <t>Liquidity premium (Oura-anchored)</t>
  </si>
  <si>
    <t>WACC</t>
  </si>
  <si>
    <t>Bucket-Weighted Unlevered Beta — Industry Mix by Scenario</t>
  </si>
  <si>
    <t>Public-comp WACC base for Oura translation — if 11% used vs 10%, +2pp → +1.8pp</t>
  </si>
  <si>
    <t>Documented; the 10% base is itself the Damodaran sector output</t>
  </si>
  <si>
    <t>Three industry buckets, each with median βᵤ from comparable public peers. Scenario weights reflect business-mix evolution — Bull = healthcare-heavy.</t>
  </si>
  <si>
    <t>βᵤ (median)</t>
  </si>
  <si>
    <t>Bear wt.</t>
  </si>
  <si>
    <t>Base wt.</t>
  </si>
  <si>
    <t>Bull wt.</t>
  </si>
  <si>
    <t>Comp Set</t>
  </si>
  <si>
    <t>Consumer hardware</t>
  </si>
  <si>
    <t>Garmin, GoPro, Sonos</t>
  </si>
  <si>
    <t>Consumer subscription</t>
  </si>
  <si>
    <t>Spotify, Strava (PTON excluded as outlier)</t>
  </si>
  <si>
    <t>Health data / medtech</t>
  </si>
  <si>
    <t>Dexcom, ResMed, Masimo, iRhythm</t>
  </si>
  <si>
    <t>Blended βᵤ</t>
  </si>
  <si>
    <t>→</t>
  </si>
  <si>
    <t>Flows to top panel βᵤ row</t>
  </si>
  <si>
    <t>Per-Comp Beta Build — Raw → Adjusted → Unlevered</t>
  </si>
  <si>
    <t>Raw β = OLS slope (3Y weekly vs S&amp;P 500).  Adj β = (2/3)·Raw + (1/3)·1.0 (Bloomberg mean reversion).  Unlevered β = Adj β / [1 + (1−t)·(D/E)] (Hamada).</t>
  </si>
  <si>
    <t>β Raw</t>
  </si>
  <si>
    <t>β Adj</t>
  </si>
  <si>
    <t>Tax</t>
  </si>
  <si>
    <t>βᵤ</t>
  </si>
  <si>
    <t>Hardware (B1)</t>
  </si>
  <si>
    <t>Subscription (B2)</t>
  </si>
  <si>
    <t>Subscription (B2, excl.)</t>
  </si>
  <si>
    <t>Health Data (B3)</t>
  </si>
  <si>
    <t>Bucket Medians (used)</t>
  </si>
  <si>
    <t>B1 / B2 / B3</t>
  </si>
  <si>
    <t>B1 →</t>
  </si>
  <si>
    <t>B2 →</t>
  </si>
  <si>
    <t>B3 →</t>
  </si>
  <si>
    <t>WHOOP — Discounted Cash Flow</t>
  </si>
  <si>
    <t>1. Cash Flow &amp; Discounting</t>
  </si>
  <si>
    <t>Revenue (memo)</t>
  </si>
  <si>
    <t>← From P&amp;L tab</t>
  </si>
  <si>
    <t>← From FCF tab (single source of truth)</t>
  </si>
  <si>
    <t>← From Assumptions F74</t>
  </si>
  <si>
    <t>Discount Period (mid-year)</t>
  </si>
  <si>
    <t>yrs</t>
  </si>
  <si>
    <t>Mid-year convention</t>
  </si>
  <si>
    <t>Discount Factor</t>
  </si>
  <si>
    <t>PV of Unlevered FCF</t>
  </si>
  <si>
    <t>= UFCF / (1+WACC)^period</t>
  </si>
  <si>
    <t>2. Terminal Value</t>
  </si>
  <si>
    <t>Terminal Year Revenue</t>
  </si>
  <si>
    <t>Terminal Year EBITDA</t>
  </si>
  <si>
    <t>Terminal Year FCF</t>
  </si>
  <si>
    <t>Exit Multiple (EV/Revenue)</t>
  </si>
  <si>
    <t>← From Assumptions F78</t>
  </si>
  <si>
    <t>Terminal Value (Exit Multiple)</t>
  </si>
  <si>
    <t>Terminal Value (Gordon Growth)</t>
  </si>
  <si>
    <t>Gordon: =FCF × (1+g) / (WACC − g)</t>
  </si>
  <si>
    <t>TV Method Divergence</t>
  </si>
  <si>
    <t>If &gt;25%, an assumption is inconsistent</t>
  </si>
  <si>
    <t>Selected Terminal Value</t>
  </si>
  <si>
    <t>TV as % of Total EV</t>
  </si>
  <si>
    <t>If &gt;75%, explicit forecast doing too little</t>
  </si>
  <si>
    <t>3. Enterprise Value Summary</t>
  </si>
  <si>
    <t>Sum of PV of FCFs (2026-2033)</t>
  </si>
  <si>
    <t>Enterprise Value (DCF Base)</t>
  </si>
  <si>
    <t>4. Equity Bridge</t>
  </si>
  <si>
    <t>~$0 (minimal)</t>
  </si>
  <si>
    <t>$600-800M est. post-Series G</t>
  </si>
  <si>
    <t>Fully Diluted Shares (M)</t>
  </si>
  <si>
    <t>~900M (PremierAlts est.)</t>
  </si>
  <si>
    <t>Equity Value per Share</t>
  </si>
  <si>
    <t>5. Real Options (Additive — healthcare pathway only)</t>
  </si>
  <si>
    <t>Healthcare option — Bear scenario range ($M)</t>
  </si>
  <si>
    <t>← Probability × Payoff from Assumptions</t>
  </si>
  <si>
    <t>Healthcare option — Bull scenario range ($M)</t>
  </si>
  <si>
    <t>Healthcare option — active scenario ($M)</t>
  </si>
  <si>
    <t>Expected Option Value</t>
  </si>
  <si>
    <t>Total EV (DCF + Options)</t>
  </si>
  <si>
    <t>6. Scenario Comparison vs Series G — Equity Value Basis</t>
  </si>
  <si>
    <t>DCF Base Case Equity Value</t>
  </si>
  <si>
    <t>DCF + Options Equity Value</t>
  </si>
  <si>
    <t>DCF Premium / (Discount) to Series G</t>
  </si>
  <si>
    <t>Base case = 'WHOOP executes plan'</t>
  </si>
  <si>
    <t>DCF + Options Premium / (Discount) to Series G</t>
  </si>
  <si>
    <t>Options = 'Healthcare reimbursement pathway materializes (probability-weighted, 15-25%)'</t>
  </si>
  <si>
    <t>7. Probability-Weighting Diagnostics — Input vs Scenario Weighting Triangulation</t>
  </si>
  <si>
    <t>Diagnostic block compares input-level weighting (ProbWeighted scenario) vs. scenario-level weighting (independent DCF runs combined). Jensen gap = E[DCF(inputs)] vs P_w · DCF(scenario). Static snapshot — refreshed after bottom-up WACC rewire + shares-out update to 410M. Toggle Assumptions!B3 and refresh manually after material input changes.</t>
  </si>
  <si>
    <t>DCF EV ($M)</t>
  </si>
  <si>
    <t>Bear (after R79 bug fix)</t>
  </si>
  <si>
    <t>ProbWeighted (input-level)</t>
  </si>
  <si>
    <t>Scenario-weighted bookend (P_Bear=20%, P_Base=50%, P_Bull=30%)</t>
  </si>
  <si>
    <t>Jensen Gap Analysis (scenario-weighted minus input-weighted)</t>
  </si>
  <si>
    <t>EV gap ($M)</t>
  </si>
  <si>
    <t>EV gap (%)</t>
  </si>
  <si>
    <t>Interpretation:</t>
  </si>
  <si>
    <t xml:space="preserve">  • Positive gap = DCF is convex in inputs; ProbWeighted UNDERSTATES true E[EV]. Use scenario-weighted as upper anchor.</t>
  </si>
  <si>
    <t xml:space="preserve">  • Negative gap = DCF is concave; ProbWeighted OVERSTATES. Use input-weighted as conservative anchor.</t>
  </si>
  <si>
    <t xml:space="preserve">  • Headline = ProbWeighted (row 63). Bookend = scenario-weighted (row 65). Memo should cite both with the gap as the dispersion story.</t>
  </si>
  <si>
    <t xml:space="preserve">  • Snapshot manually refreshed via validation pass; rerun if any of the 20 ProbWeighted-eligible inputs change materially. Last refresh: ProbWeighted equity = $8,091M (post-rebalance to 20-driver set: dropped 10 low-impact inputs, added 7 SBC/CapEx/NWC/Tax drivers).</t>
  </si>
  <si>
    <t>WHOOP — Real Options (Healthcare Pathway)</t>
  </si>
  <si>
    <t>Single-gate decision tree on reimbursable healthcare platform thesis. Class anchor: Lecture 3B (Arundel) — probability-weighted call option on uncertain future cash flows. Decision tree EV; underlying not tradable, so not Black-Scholes. Same economic logic as Arundel sequel rights.</t>
  </si>
  <si>
    <t>Section 1 — The Binary Gate</t>
  </si>
  <si>
    <t>Question: Does WHOOP become a reimbursable healthcare platform within decision window?</t>
  </si>
  <si>
    <t>Probability healthcare materializes</t>
  </si>
  <si>
    <t>Probability of failure / indefinite stall</t>
  </si>
  <si>
    <t>Section 2 — Revenue Impact if Materialized</t>
  </si>
  <si>
    <t>(Computed three times: Bear / Base / Bull scenarios)</t>
  </si>
  <si>
    <t>2033 ending members (M)</t>
  </si>
  <si>
    <t>× Eligibility % (qualifying conditions)</t>
  </si>
  <si>
    <t>= Eligible members (M)</t>
  </si>
  <si>
    <t>× Payer-paid annual ARPU ($/member)</t>
  </si>
  <si>
    <t>= Incremental annual revenue at maturity ($M)</t>
  </si>
  <si>
    <t>× Healthcare-anchored multiple (x revenue)</t>
  </si>
  <si>
    <t>= Incremental EV at exercise ($M) — undiscounted</t>
  </si>
  <si>
    <t>Section 3 — Discounting and Probability Weighting</t>
  </si>
  <si>
    <t>Years to exercise</t>
  </si>
  <si>
    <t>Discount factor (1/(1+WACC)^t)</t>
  </si>
  <si>
    <t>Discounted incremental EV ($M)</t>
  </si>
  <si>
    <t>× Probability of materialization</t>
  </si>
  <si>
    <t>= Expected option value ($M)</t>
  </si>
  <si>
    <t>= Expected option value ($B)</t>
  </si>
  <si>
    <t>Section 4 — Active Scenario Output</t>
  </si>
  <si>
    <t>Active scenario</t>
  </si>
  <si>
    <t>Expected option value (active scenario, $M)</t>
  </si>
  <si>
    <t>Expected option value (active scenario, $B)</t>
  </si>
  <si>
    <t>Scenario-weighted Expected Option Value (across-scenario, $M)</t>
  </si>
  <si>
    <t>= P_Bear×Bear + P_Base×Base + P_Bull×Bull on B31:D31. Two-layer probability: each scenario already weights by P(materialize) at row 30; this layer weights ACROSS scenarios at the 20/50/30 macro split. Not double-counting — they compound. Asymmetric vs DCF approach: option inputs are coupled at scenario level (eligibility, ARPU, multiple, timing, materialize-prob all move together), so input-weighting cross-scenario would be incoherent. Scenario-weighted is the only valid cross-scenario aggregation for the option.</t>
  </si>
  <si>
    <t>Scenario-weighted Expected Option Value ($B)</t>
  </si>
  <si>
    <t>Section 5 — Justification (memo, not driver)</t>
  </si>
  <si>
    <t>Honest read on what supports each input. Cite specific comparables and signals.</t>
  </si>
  <si>
    <t>Probability anchor (RO1 — 15/20/25%)</t>
  </si>
  <si>
    <t>iRhythm pathway: FDA-cleared cardiac monitoring, took 7+ years from approval to stable national CMS reimbursement. Stock dropped 83% during journey. Base rate evidence for consumer→medical transitions: low and slow.</t>
  </si>
  <si>
    <t>Dexcom pathway: 15+ year ongoing reimbursement expansion from initial Type 1 diabetes coverage. Each new indication requires separate CMS review.</t>
  </si>
  <si>
    <t>WHOOP-specific positive signals: CMS Innovation Center Access Program selection (Apr 13, 2026); Abbott + Mayo Clinic as Series G investors; FDA-cleared ECG already shipping; BP Insights with FDA wellness exemptions (Jan 2026).</t>
  </si>
  <si>
    <t>WHOOP-specific gaps: zero CPT codes filed; no clinical trial data validating diagnostic claims; no disclosed Abbott/Mayo deliverables; no payer revenue projections.</t>
  </si>
  <si>
    <t>Probability range 15-25% reflects: (a) credible signals justify above pure base rate, (b) absence of clinical/regulatory milestones bounds upside.</t>
  </si>
  <si>
    <t>Eligibility anchor (RO2 — 30/40/45%)</t>
  </si>
  <si>
    <t>~40% of US adults have cardiometabolic risk factors (CDC: 47% HTN, 38% pre-diabetes, 9-12% AFib risk in over-65s, 30% sleep disorders).</t>
  </si>
  <si>
    <t>WHOOP user base premium-skewed (high health engagement); plausibly overrepresents diagnosable risk factors.</t>
  </si>
  <si>
    <t>Range 30-45%: bear conservative (only severe cases qualify); bull at calibrated upper end (was 50% wide, tightened to 45% — broad screening eligibility but stops short of aggressive).</t>
  </si>
  <si>
    <t>Payer ARPU anchor (RO3 — $200/$300/$350)</t>
  </si>
  <si>
    <t>Dexcom CGM: $4,000-6,000/yr per patient (critical care, requires continuous use). Far higher than WHOOP applicable.</t>
  </si>
  <si>
    <t>Apple Watch + Aetna pilot programs: $50-300/yr per covered member range. Closer comparable for non-critical-care monitoring.</t>
  </si>
  <si>
    <t>Range $200-350/yr reflects WHOOP positioning: continuous monitoring without critical-care necessity. Subscription-premium model, not per-event billing. Tight bull at $350 (was $400 wide) — within Aetna pilot upper bound.</t>
  </si>
  <si>
    <t>Multiple anchor (RO4 — 5.0x/6.0x/6.0x)</t>
  </si>
  <si>
    <t>Bucket-3 medtech: Dexcom 5.0x, ResMed 6.0x, Masimo 6.4x, iRhythm 5.6x revenue. Median 5.8x.</t>
  </si>
  <si>
    <t>Healthcare option valued as incremental revenue stream at medtech-pure multiple, not blended. Range 5.0-6.0x reflects bucket-3 dispersion. Tight bull at 6.0x (was 7.0x wide) — honest for option-on-incremental-revenue without proven economics.</t>
  </si>
  <si>
    <t>Timing anchor (RO5 — 7/5/4 years)</t>
  </si>
  <si>
    <t>iRhythm: 7+ years from FDA clearance to stable national CMS reimbursement.</t>
  </si>
  <si>
    <t>CMS Innovation Center Access Program: accelerated pathway designed for 3-5 year horizons (vs. standard 7-10).</t>
  </si>
  <si>
    <t>Bear 7yr / Base 5yr / Bull 4yr reflects: bear tracks iRhythm precedent; base assumes Innovation Center delivers acceleration; bull assumes parallel pathway development plus first-mover momentum.</t>
  </si>
  <si>
    <t>BULL TIMING ELEVATED — 4 years is below ANY consumer→medical historical precedent. Justification REQUIRES three things to all break right: (1) CMS Innovation Center Access Program pathway materially accelerates standard 7-10yr CMS review; (2) WHOOP files ≥1 CPT code with clinical trial data within 18 months of Series G close; (3) Abbott or Mayo collaboration produces co-published validation study by Year 2. If any single condition fails, default to Base 5yr or Bear 7yr. Probability of all three = ~25% (= P_Bull anchor). Timing IS the binding lever — 1 extra year → multiplicative discount drag of (1+WACC)^1 ≈ 11% reduction in option PV per year delay.</t>
  </si>
  <si>
    <t>Section 6 — Other Options Treatment (memo)</t>
  </si>
  <si>
    <t>The original cluster framework included international, B2B Unite, women's health, and glucose. These are NOT separately valued in the new architecture. Where each lives now:</t>
  </si>
  <si>
    <t>International expansion: 43% of revenue already in base case (Assumptions R11). Incremental upside captured in Bull scenario revenue growth assumptions.</t>
  </si>
  <si>
    <t>B2B Unite: ~20% of recurring revenue, included in blended ARPU + member base post-ARPU-cleanup. Incremental enterprise penetration captured in Bull mix-shift assumptions.</t>
  </si>
  <si>
    <t>Women's health: framed as engagement/retention lever, not new revenue category. Captured in churn assumptions (Year 1-2 cohort retention) where relevant.</t>
  </si>
  <si>
    <t>Glucose: explicitly $0 contribution. Zero evidence of progress; physics problem unsolved by Apple/Samsung despite $1B+ investment. Mentioned in slide notes as 'free call option' without numerical contribution.</t>
  </si>
  <si>
    <t>If audience asks 'why not value these separately': these options either (a) generate revenue already partially in base case, leading to double-counting risk, OR (b) lack any sourced evidence base for probability/payoff inputs. Healthcare is the only option with both signal AND comparable structure (iRhythm).</t>
  </si>
  <si>
    <t>Section 5b — Reviewer pushback responses (memo)</t>
  </si>
  <si>
    <t>Three points addressed in committee feedback. Read alongside Sections 5 + 7 for full picture.</t>
  </si>
  <si>
    <t>Pushback 1 — "Bull case is consumer-driven, not healthcare-driven"</t>
  </si>
  <si>
    <t>Acknowledged. Bull case member growth (MG1-MG8 in Assumptions row 169-176) is justified by Series G capital deployment and brand step-function (Peloton-stage IPO mechanics) — NOT by reimbursement assumption. Bull DCF reaches $19.88B equity / $48.49/sh on consumer-only thesis. Healthcare option is layered ON TOP, not embedded IN, the consumer Bull. The two are independent paths: consumer base materializes through ad spend, athlete partnerships, brand awareness; healthcare path materializes through CMS/CPT/clinical work. Conflating them inflates probability — the model treats them as separate (DCF runs on consumer assumptions; option valued discretely; scenario-weighted EV adds them).</t>
  </si>
  <si>
    <t>Within-Scenario EV ($M)</t>
  </si>
  <si>
    <t>Macro Weight</t>
  </si>
  <si>
    <t>Contribution ($M)</t>
  </si>
  <si>
    <t>% of Total</t>
  </si>
  <si>
    <t>Pushback 2 — "You're already getting an implicit option premium in the comps multiple"</t>
  </si>
  <si>
    <t>Partly fair. Consumer wearables comps trade at 3-5x revenue; bucket-3 medtech (Dexcom/ResMed/Masimo/iRhythm) at 5.0-6.4x. WHOOP's blended comp implies the market already prices SOME healthcare optionality — estimating this premium at +0.5-1.0x revenue (= roughly $220-440M EV at 2033 revenue of $3.7B and 12% probability-weighted discount). Recommend interpreting the explicit option value (B36 Base $940M / B38 Scen-Wtd $1,286M) as the FULL PV of the medical pathway, with the comps premium as a CHECK rather than additive layer. If sensitive to double-counting, conservative read: option value PROVES IN at $700-1,000M after netting estimated multiple premium. Memo recommendation: present option value as standalone module; let reader subtract comps premium if they believe it's already priced.</t>
  </si>
  <si>
    <t>Scenario-Weighted Total</t>
  </si>
  <si>
    <t>Pushback 3 — "What if the medical pathway doesn't materialize — are you overpaying for ARPU?"</t>
  </si>
  <si>
    <t>Defensible. Consumer ARPU ($338/yr at 2033, blended consumer + B2B) is the primary subscription revenue — NOT contingent on payer reimbursement. WHOOP currently bills $200-300/yr direct-to-consumer at scale. Even if zero medical revenue ever materializes (P(materialize)=0%), the consumer ARPU remains intact. The healthcare option is upside ON TOP of consumer ARPU, not a substitute. The only ARPU at risk is incremental medical-bill ARPU ($200-350/yr from RO3) which only flows in scenarios where the option triggers. Bear case ($164M option) effectively models the "medical doesn't materialize" outcome — still positive because even probability-weighted at 15% × $1.07B intrinsic = $164M residual.</t>
  </si>
  <si>
    <t>Block B — Total Option Value at Varying Macro Probability Weights ($M)</t>
  </si>
  <si>
    <t>5×5 grid: rows = P_Bear, columns = P_Bull. P_Base = 1 - P_Bear - P_Bull. Yellow center = current 20/50/30 macro weights ($1.29B). Cells where P_Bear+P_Bull ≥ 1 return #N/A (invalid).</t>
  </si>
  <si>
    <t>P_Bear ↓ / P_Bull →</t>
  </si>
  <si>
    <t>Floor / Range / Lever Analysis</t>
  </si>
  <si>
    <t>Min option value (most conservative)</t>
  </si>
  <si>
    <t>P_Bear=30%, P_Bull=10% (extreme bearish weights)</t>
  </si>
  <si>
    <t>Max option value (most aggressive)</t>
  </si>
  <si>
    <t>P_Bear=10%, P_Bull=50% (extreme bullish weights)</t>
  </si>
  <si>
    <t>Range (max - min)</t>
  </si>
  <si>
    <t>Sensitivity to P_Bull (10→50pp shift, holding P_Bear=20%)</t>
  </si>
  <si>
    <t>$ per 10pp P_Bull shift — dominant lever</t>
  </si>
  <si>
    <t>Sensitivity to P_Bear (10→30pp shift, holding P_Bull=30%)</t>
  </si>
  <si>
    <t>$ per 10pp P_Bear shift — secondary lever</t>
  </si>
  <si>
    <t>Read</t>
  </si>
  <si>
    <t>WHOOP — Public Comp Triangulation (Three-Thesis Framework)</t>
  </si>
  <si>
    <t>Comps grouped by what WHOOP would *become* under each thesis (Failed Pivot / Subscription Executed / Healthcare Platform). Within each thesis comps share economic structure; across theses they don't — so we don't average across them. Composite span feeds Football Field. Oura shown as parallel reference, never blended. Garmin reclassified as form factor reference, doesn't anchor any thesis.</t>
  </si>
  <si>
    <t>1. WHOOP Inputs</t>
  </si>
  <si>
    <t>Recognized revenue (2025, $M)</t>
  </si>
  <si>
    <t>Bookings run-rate ($M)</t>
  </si>
  <si>
    <t>Gross margin (model 2026E)</t>
  </si>
  <si>
    <t>Implied gross profit — recognized basis</t>
  </si>
  <si>
    <t>Implied gross profit — bookings basis</t>
  </si>
  <si>
    <t>LTM bookings growth</t>
  </si>
  <si>
    <t>NTM growth (model)</t>
  </si>
  <si>
    <t>Series G mark ($M)</t>
  </si>
  <si>
    <t>2. Master Comp Table</t>
  </si>
  <si>
    <t>Multiples per spec (May 5, 2026 refresh). Tier T1=direct comp parallel ref, T2=structural analogue thesis anchor, T3=boundary marker thesis anchor, T4=historical footnote. Thesis tag drives which bracket each comp anchors.</t>
  </si>
  <si>
    <t>Ticker</t>
  </si>
  <si>
    <t>Thesis</t>
  </si>
  <si>
    <t>EV/Rev NTM</t>
  </si>
  <si>
    <t>EV/GP NTM</t>
  </si>
  <si>
    <t>NTM Growth</t>
  </si>
  <si>
    <t>EV/Rev / Growth</t>
  </si>
  <si>
    <t>Peloton</t>
  </si>
  <si>
    <t>PTON</t>
  </si>
  <si>
    <t>T3</t>
  </si>
  <si>
    <t>1 — Failed Pivot</t>
  </si>
  <si>
    <t>Hardware-sub failed pivot. Bear floor.</t>
  </si>
  <si>
    <t>Sonos</t>
  </si>
  <si>
    <t>SONO</t>
  </si>
  <si>
    <t>Consumer durable in revenue decline.</t>
  </si>
  <si>
    <t>GoPro</t>
  </si>
  <si>
    <t>GPRO</t>
  </si>
  <si>
    <t>Failed subscription pivot, terminal decline.</t>
  </si>
  <si>
    <t>Spotify</t>
  </si>
  <si>
    <t>SPOT</t>
  </si>
  <si>
    <t>T2</t>
  </si>
  <si>
    <t>2 — Subscription Executed</t>
  </si>
  <si>
    <t>Mature pure subscription. Profitability proof drove +116% multiple expansion 3yr.</t>
  </si>
  <si>
    <t>Roku</t>
  </si>
  <si>
    <t>ROKU</t>
  </si>
  <si>
    <t>Platform with hardware as CAC, profitability inflection.</t>
  </si>
  <si>
    <t>Dexcom</t>
  </si>
  <si>
    <t>DXCM</t>
  </si>
  <si>
    <t>3 — Healthcare Platform</t>
  </si>
  <si>
    <t>FDA-cleared CGM, reimbursed. Compressed -67% from 13.8x in 2023.</t>
  </si>
  <si>
    <t>iRhythm</t>
  </si>
  <si>
    <t>IRTC</t>
  </si>
  <si>
    <t>Cardiac monitoring, CMS-reimbursed. Closest pathway analog. Compressed -51% from peak.</t>
  </si>
  <si>
    <t>ResMed</t>
  </si>
  <si>
    <t>RMD</t>
  </si>
  <si>
    <t>Sleep apnea, reimbursed, mature.</t>
  </si>
  <si>
    <t>Masimo</t>
  </si>
  <si>
    <t>MASI</t>
  </si>
  <si>
    <t>Hospital monitoring, sensor-first.</t>
  </si>
  <si>
    <t>Form factor ref — not anchored</t>
  </si>
  <si>
    <t>Diversified hardware conglomerate. WHOOP isn't fundamentally hardware. Reference only.</t>
  </si>
  <si>
    <t>(private)</t>
  </si>
  <si>
    <t>T1</t>
  </si>
  <si>
    <t>Parallel ref — never blended</t>
  </si>
  <si>
    <t>Only direct comp; private. Same Gornall/Strebulaev critique applies as Series G.</t>
  </si>
  <si>
    <t>Fitbit (IPO 2015)</t>
  </si>
  <si>
    <t>FIT</t>
  </si>
  <si>
    <t>T4</t>
  </si>
  <si>
    <t>Historical footnote</t>
  </si>
  <si>
    <t>Peak public-market mark before category compression.</t>
  </si>
  <si>
    <t>Fitbit (Google acquire 2021)</t>
  </si>
  <si>
    <t>Strategic exit; revenue-declining at sale.</t>
  </si>
  <si>
    <t>3. Thesis Summary — Bracketed Implied WHOOP Valuations</t>
  </si>
  <si>
    <t>Three theses about what WHOOP becomes. Within each, comps share economic structure; across theses they don't. Each bracket shows EV/Rev and EV/GP ranges and computes 4 implied-EV variants × WHOOP financials.</t>
  </si>
  <si>
    <t>Thesis 1 — Failed Pivot (Bear)</t>
  </si>
  <si>
    <t>Anchors: Peloton, Sonos, GoPro. Question: what if WHOOP fails to defend subscription economics and reverts to hardware-dependent revenue?</t>
  </si>
  <si>
    <t>Implied EV ($M):</t>
  </si>
  <si>
    <t xml:space="preserve">  Recognized × EV/Rev</t>
  </si>
  <si>
    <t xml:space="preserve">  Bookings × EV/Rev</t>
  </si>
  <si>
    <t xml:space="preserve">  Recognized GP × EV/GP</t>
  </si>
  <si>
    <t xml:space="preserve">  Bookings GP × EV/GP</t>
  </si>
  <si>
    <t>Thesis 2 — Subscription Executed (Base)</t>
  </si>
  <si>
    <t>Anchors: Spotify, Roku. Question: what if WHOOP becomes a premium consumer subscription business at scale? EV/GP is the more analytically relevant multiple here — normalizes WHOOP's GM advantage (75% vs Spotify 32% / Roku 44%).</t>
  </si>
  <si>
    <t>Thesis 3 — Healthcare Platform (Bull / Optionality)</t>
  </si>
  <si>
    <t>Anchors: Dexcom, iRhythm, ResMed, Masimo. Question: what if WHOOP becomes a reimbursable health-data platform with FDA/CMS pathway success? Note multiples have de-rated -51 to -67% from 2023 peaks — bull case more constrained than 2023 multiples would suggest.</t>
  </si>
  <si>
    <t>4. Composite Span (across all theses)</t>
  </si>
  <si>
    <t>Lowest defensible (Bear, recognized basis)</t>
  </si>
  <si>
    <t>Highest defensible (Sub Executed, bookings GP × EV/GP)</t>
  </si>
  <si>
    <t>Most defensible base (T2 median, recognized GP × EV/GP)</t>
  </si>
  <si>
    <t>Series G mark</t>
  </si>
  <si>
    <t>5. Oura — Private Market Category Reference (parallel, never blended)</t>
  </si>
  <si>
    <t>Oura at 13x recognized is a private-market data point on category pricing. Comparison flips between EV/Rev and EV/GP — real analytical content.</t>
  </si>
  <si>
    <t>Oura TEV ($M)</t>
  </si>
  <si>
    <t>Oura TTM revenue ($M)</t>
  </si>
  <si>
    <t>Oura EV/Rev</t>
  </si>
  <si>
    <t>Oura EV/GP (est. 50% GM)</t>
  </si>
  <si>
    <t>WHOOP at Series G — EV/Rev (recognized)</t>
  </si>
  <si>
    <t>WHOOP at Series G — EV/GP (recognized)</t>
  </si>
  <si>
    <t>WHOOP higher than Oura on EV/Rev, lower on EV/GP. Margin advantage flips it. Both private marks reflect rich category pricing.</t>
  </si>
  <si>
    <t>6. Series G Implied Multiples — Back-Solve Diagnostic</t>
  </si>
  <si>
    <t>What multiple does Series G $10.1B imply on each thesis basis? Compare to thesis medians to see how far above the comp set Series G sits.</t>
  </si>
  <si>
    <t>Series G implied</t>
  </si>
  <si>
    <t>T1 median</t>
  </si>
  <si>
    <t>T2 median</t>
  </si>
  <si>
    <t>T3 median</t>
  </si>
  <si>
    <t>Premium (Series G vs T2 median)</t>
  </si>
  <si>
    <t>Three-Thesis Comp Bracketing — Why Public Multiples Undershoot Series G</t>
  </si>
  <si>
    <t>WHOOP's four commercial vectors (consumer hardware, subscription, health data, B2B) don't fit one bucket. Three theses bracket the range; spread is the analytical content.</t>
  </si>
  <si>
    <t>EV/Rev</t>
  </si>
  <si>
    <t>EV/GP</t>
  </si>
  <si>
    <t>Implied EV</t>
  </si>
  <si>
    <t>Commentary</t>
  </si>
  <si>
    <t>T1: Failed Pivot</t>
  </si>
  <si>
    <t>PTON, SONO, GPRO</t>
  </si>
  <si>
    <t>Consumer hardware floor; assumes WHOOP fails subscription transition</t>
  </si>
  <si>
    <t>T2: Subscription Executed</t>
  </si>
  <si>
    <t>SPOT, ROKU</t>
  </si>
  <si>
    <t>Most defensible: WHOOP is a durable consumer subscription</t>
  </si>
  <si>
    <t>T3: Healthcare Platform</t>
  </si>
  <si>
    <t>DXCM, IRTC, RMD, MASI</t>
  </si>
  <si>
    <t>Reimbursed-revenue ceiling; assumes healthcare positioning materializes</t>
  </si>
  <si>
    <t>Series G mark (Mar 2026)</t>
  </si>
  <si>
    <t>Abbott / Mayo / growth</t>
  </si>
  <si>
    <t>Sophisticated capital prices ~2.8x the T2 (subscription) median</t>
  </si>
  <si>
    <t>Implied WHOOP EV — Composite Span (EV/Rev and EV/GP both applied)</t>
  </si>
  <si>
    <t>Recognized Revenue $520.6M  |  Gross Profit $390.5M @ 75% GM  (both live-linked)</t>
  </si>
  <si>
    <t>EV/Rev Implied</t>
  </si>
  <si>
    <t>EV/GP Implied</t>
  </si>
  <si>
    <t>Midpoint</t>
  </si>
  <si>
    <t>Range Span</t>
  </si>
  <si>
    <t>Midpoint vs SerG</t>
  </si>
  <si>
    <t>• Even T3 healthcare-platform midpoint prices WHOOP well below Series G — no public bucket reaches $10.1B</t>
  </si>
  <si>
    <t>• T2 (subscription executed) midpoint is the most defensible public-comp anchor; gap to Series G quantifies the structural premium</t>
  </si>
  <si>
    <t>• The undershoot IS the thesis — comp methodology can't price platform companies before the platform thesis is publicly visible (a16z American Dynamism)</t>
  </si>
  <si>
    <t>• Series G investors implicitly price WHOOP at a multiple of T2 — sophisticated capital captures the gap public comps cannot see</t>
  </si>
  <si>
    <t>Midpoint EV ($M)</t>
  </si>
  <si>
    <t>Series G (March 2026)</t>
  </si>
  <si>
    <t>WHOOP — Precedent Transactions</t>
  </si>
  <si>
    <t>2020-2026; $500M+ EV preferred; All USD</t>
  </si>
  <si>
    <t>Acquirer / Target</t>
  </si>
  <si>
    <t>EV ($B)</t>
  </si>
  <si>
    <t>LTM Rev ($B)</t>
  </si>
  <si>
    <t>Regime</t>
  </si>
  <si>
    <t>Strategic Rationale</t>
  </si>
  <si>
    <t>Google / Fitbit</t>
  </si>
  <si>
    <t>Jan 2021</t>
  </si>
  <si>
    <t>ZIRP-peak</t>
  </si>
  <si>
    <t>B1</t>
  </si>
  <si>
    <t>Wearable data acquisition; failed sub pivot</t>
  </si>
  <si>
    <t>Lululemon / Mirror</t>
  </si>
  <si>
    <t>Jul 2020</t>
  </si>
  <si>
    <t>B2</t>
  </si>
  <si>
    <t>Connected fitness content; 89% write-off</t>
  </si>
  <si>
    <t>Teladoc / Livongo</t>
  </si>
  <si>
    <t>Oct 2020</t>
  </si>
  <si>
    <t>Cross</t>
  </si>
  <si>
    <t>Digital health mega-deal; massive write-down</t>
  </si>
  <si>
    <t>Microsoft / Nuance</t>
  </si>
  <si>
    <t>Mar 2022</t>
  </si>
  <si>
    <t>Transition</t>
  </si>
  <si>
    <t>Healthcare AI voice/NLP platform</t>
  </si>
  <si>
    <t>Masimo / Sound United</t>
  </si>
  <si>
    <t>Apr 2022</t>
  </si>
  <si>
    <t>Consumer audio pivot; $675M value destruction</t>
  </si>
  <si>
    <t>CVS / Signify Health</t>
  </si>
  <si>
    <t>Sep 2022</t>
  </si>
  <si>
    <t>B3</t>
  </si>
  <si>
    <t>Home health + value-based care platform</t>
  </si>
  <si>
    <t>Amazon / One Medical</t>
  </si>
  <si>
    <t>Feb 2023</t>
  </si>
  <si>
    <t>Primary care distribution; strategic access play</t>
  </si>
  <si>
    <t>J&amp;J / Shockwave Medical</t>
  </si>
  <si>
    <t>May 2024</t>
  </si>
  <si>
    <t>Current</t>
  </si>
  <si>
    <t>OUTLIER: IVL synergies drove 2x+ peer median</t>
  </si>
  <si>
    <t>BSci / Axonics</t>
  </si>
  <si>
    <t>Nov 2024</t>
  </si>
  <si>
    <t>Neuromodulation bolt-on</t>
  </si>
  <si>
    <t>Stryker / Inari Medical</t>
  </si>
  <si>
    <t>Feb 2025</t>
  </si>
  <si>
    <t>Venous thromboembolism devices</t>
  </si>
  <si>
    <t>Danaher / Masimo</t>
  </si>
  <si>
    <t>Feb 2026</t>
  </si>
  <si>
    <t>Patient monitoring platform; pending close</t>
  </si>
  <si>
    <t>Summary by Regime &amp; Bucket</t>
  </si>
  <si>
    <t>Current-regime B3 medtech: 6.6-10.1x (median ~8.5x)</t>
  </si>
  <si>
    <t>Connected fitness deals: uniformly value-destructive</t>
  </si>
  <si>
    <t>Implied WHOOP range: $5-8B (control premium embedded; Series G is minority)</t>
  </si>
  <si>
    <t>WHOOP — Cap Table &amp; Waterfall</t>
  </si>
  <si>
    <t>Sources: Pitchbook + Cap IQ; BUILD WATERFALL FORMULAS</t>
  </si>
  <si>
    <t>Round</t>
  </si>
  <si>
    <t>Amount ($M)</t>
  </si>
  <si>
    <t>Post-Money ($B)</t>
  </si>
  <si>
    <t>Price/Share ($)</t>
  </si>
  <si>
    <t>Shares (M)</t>
  </si>
  <si>
    <t>Ownership %</t>
  </si>
  <si>
    <t>Pref Terms</t>
  </si>
  <si>
    <t>Lead Investor(s)</t>
  </si>
  <si>
    <t>Seed</t>
  </si>
  <si>
    <t>2012</t>
  </si>
  <si>
    <t>1x non-part.</t>
  </si>
  <si>
    <t>DraftKings founders</t>
  </si>
  <si>
    <t>Series A</t>
  </si>
  <si>
    <t>Sep 2014</t>
  </si>
  <si>
    <t>Accomplice, Mousse Partners</t>
  </si>
  <si>
    <t>Series B</t>
  </si>
  <si>
    <t>Sep 2016</t>
  </si>
  <si>
    <t>Foundry Group</t>
  </si>
  <si>
    <t>Series C</t>
  </si>
  <si>
    <t>Oct 2018</t>
  </si>
  <si>
    <t>IVP</t>
  </si>
  <si>
    <t>Series D</t>
  </si>
  <si>
    <t>Series E</t>
  </si>
  <si>
    <t>Aug 2021</t>
  </si>
  <si>
    <t>SoftBank Vision Fund 2</t>
  </si>
  <si>
    <t>Series F</t>
  </si>
  <si>
    <t>Mezz/Bridge</t>
  </si>
  <si>
    <t>2022-2024</t>
  </si>
  <si>
    <t>Various</t>
  </si>
  <si>
    <t>5 interim rounds (VC + debt)</t>
  </si>
  <si>
    <t>Series G</t>
  </si>
  <si>
    <t>Mar 2026</t>
  </si>
  <si>
    <t>Collaborative Fund</t>
  </si>
  <si>
    <t>Total Equity Raised:</t>
  </si>
  <si>
    <t>Key Metrics</t>
  </si>
  <si>
    <t>Authorized Preferred Shares</t>
  </si>
  <si>
    <t>537.9M</t>
  </si>
  <si>
    <t>Pitchbook</t>
  </si>
  <si>
    <t>Outstanding Common Shares</t>
  </si>
  <si>
    <t>361.2M</t>
  </si>
  <si>
    <t>Fully Diluted Shares (est.)</t>
  </si>
  <si>
    <t>~900M</t>
  </si>
  <si>
    <t>PremierAlts/Forge</t>
  </si>
  <si>
    <t>Option Pool (est.)</t>
  </si>
  <si>
    <t>~10-15% of FD</t>
  </si>
  <si>
    <t>Inferred from gap; FLAGGED_GAP</t>
  </si>
  <si>
    <t>All Preferences</t>
  </si>
  <si>
    <t>1x non-participating pari passu</t>
  </si>
  <si>
    <t>Total Liquidation Preference</t>
  </si>
  <si>
    <t>~$1.03B (floor)</t>
  </si>
  <si>
    <t>Sum of equity raised × 1x</t>
  </si>
  <si>
    <t>Waterfall at Exit Scenarios (BUILD FORMULAS)</t>
  </si>
  <si>
    <t>Bear ($5B)</t>
  </si>
  <si>
    <t>Base ($10B)</t>
  </si>
  <si>
    <t>Bull ($20B)</t>
  </si>
  <si>
    <t>Total Exit Proceeds</t>
  </si>
  <si>
    <t>Less: Liquidation Preferences</t>
  </si>
  <si>
    <t>Remaining for Pro-Rata</t>
  </si>
  <si>
    <t>Preferred Conversion Check (convert or take pref?)</t>
  </si>
  <si>
    <t>Common Share Proceeds</t>
  </si>
  <si>
    <t>Common Value per Share</t>
  </si>
  <si>
    <t>Preferred Value per Share</t>
  </si>
  <si>
    <t>Founder Equity Value (est. 12-18% FD)</t>
  </si>
  <si>
    <t>WHOOP — Valuation Football Field</t>
  </si>
  <si>
    <t>Multi-method synthesis. Each method shown with low/base/high EV. Per-share converts via Assumptions F62 (debt), F63 (cash), F55 (FD shares).</t>
  </si>
  <si>
    <t>Low EV ($B)</t>
  </si>
  <si>
    <t>Base EV ($B)</t>
  </si>
  <si>
    <t>High EV ($B)</t>
  </si>
  <si>
    <t>Low $/sh</t>
  </si>
  <si>
    <t>Base $/sh</t>
  </si>
  <si>
    <t>High $/sh</t>
  </si>
  <si>
    <t>Weight</t>
  </si>
  <si>
    <t>Wtd Base</t>
  </si>
  <si>
    <t>1. Intrinsic DCF (base case, no options)</t>
  </si>
  <si>
    <t>DCF!C60:C62 (Equity, Bear/Base/Bull)</t>
  </si>
  <si>
    <t>Bear/Base/Bull DCF Equity sourced from DCF triangulation rows 60-62 (the canonical 4-scenario snapshot, refreshed by validation pass). Replaces prior dependency on Sensitivity!B44:D44 (WACC × Exit Multiple grid endpoints) which was a static slice and got out of sync with the DCF as inputs evolved. Single source of truth: DCF tab Section 7.</t>
  </si>
  <si>
    <t>1b. DCF + Real Options (excluded — see RealOptions tab note)</t>
  </si>
  <si>
    <t>DCF!D60:D62 (Equity + Real Options)</t>
  </si>
  <si>
    <t>Equity + Real Options sourced directly from DCF!D60:D62. Real options layer (RealOptions!B32:D32) is already baked into the DCF triangulation Equity+Opts column so no double-add needed. Was previously =C6 + RealOptions!B32; now decoupled from row 6 chain so any drift is caught.</t>
  </si>
  <si>
    <t>1c. ProbWeighted DCF (input-level, no options)</t>
  </si>
  <si>
    <t>DCF!C63 (input-weighted single run)</t>
  </si>
  <si>
    <t>ProbWeighted DCF range = three weight schemes (Pessimistic 35/50/15, Neutral 20/50/30, Optimistic 15/45/40). Each is an input-level ProbWeighted run with that weight scheme. Low = Pessimistic (highest Bear weight), High = Optimistic (highest Bull weight). Captures the range of conservative-anchor estimates under reasonable conviction shifts.</t>
  </si>
  <si>
    <t>1d. Scenario-Weighted DCF (P·DCF, no options)</t>
  </si>
  <si>
    <t>Scenarios!E16:E18 (P·DCF across weight schemes)</t>
  </si>
  <si>
    <t>Scenario-Weighted (P·DCF) range = scenario-level weighted equity across three weight schemes (Pessimistic/Neutral/Optimistic). Computed from the live Bear/Base/Bull equity in DCF!C60:C62 weighted by row-2 schemes. Upper anchor for triangulation under perfect cross-input correlation.</t>
  </si>
  <si>
    <t>2. Public Comps (three-thesis bracketing)</t>
  </si>
  <si>
    <t>Comps tab (three-thesis brackets)</t>
  </si>
  <si>
    <t>Three-thesis bracketing. Composite span $0.7B-$9.4B; T2 base anchor $4.0B (recognized GP × EV/GP). Implies Series G priced for bull case across drivers.</t>
  </si>
  <si>
    <t>Not yet populated</t>
  </si>
  <si>
    <t>Skipped per session decision. 5-10% memo weight max per methodology.</t>
  </si>
  <si>
    <t>DCF C58</t>
  </si>
  <si>
    <t>Series G $10.1B post-money mark, March 2026. Single point, not derived value.</t>
  </si>
  <si>
    <t>Assumptions C94/D94/E94 (Reference Class)</t>
  </si>
  <si>
    <t>Reference-class step-up methodology: Bear/Base/Bull = 25th/50th/75th percentile of last-private→IPO valuation step-up across 5 comparable consumer/health platform IPOs (Peloton, Oscar, GoPro, Hims, Allbirds). Replaces prior IRR-backsolve method which was mechanically tethered to Series G. Empirical anchor; full reference class data in rows 42-70 below.</t>
  </si>
  <si>
    <t>Weight Check</t>
  </si>
  <si>
    <t>= Σ(weight × base EV) per method</t>
  </si>
  <si>
    <t>Premium / (Discount) to Series G</t>
  </si>
  <si>
    <t>Positive = methods support a higher mark; negative = Series G is rich.</t>
  </si>
  <si>
    <t>Method Range Summary</t>
  </si>
  <si>
    <t>Lowest method base</t>
  </si>
  <si>
    <t>Highest method base</t>
  </si>
  <si>
    <t>Range across methods</t>
  </si>
  <si>
    <t>Memo Read</t>
  </si>
  <si>
    <t>Chart Data (helper table for visual)</t>
  </si>
  <si>
    <t>Range (visible bar)</t>
  </si>
  <si>
    <t>Base marker</t>
  </si>
  <si>
    <t>5. Implied IPO Range</t>
  </si>
  <si>
    <t>Weighted Avg</t>
  </si>
  <si>
    <t>1b. DCF + Real Options (excluded)</t>
  </si>
  <si>
    <t>Reference Class — Private-to-IPO Step-Up Analysis</t>
  </si>
  <si>
    <t>Empirical step-ups for 6 consumer/health platform IPOs; replaces 25% IRR assumption with observed distribution. USD billions unless noted.</t>
  </si>
  <si>
    <t>Company</t>
  </si>
  <si>
    <t>Last Private Round</t>
  </si>
  <si>
    <t>Round Date</t>
  </si>
  <si>
    <t>Post-Money</t>
  </si>
  <si>
    <t>IPO Date</t>
  </si>
  <si>
    <t>IPO Val.</t>
  </si>
  <si>
    <t>Months</t>
  </si>
  <si>
    <t>Step-Up</t>
  </si>
  <si>
    <t>Ann. IRR</t>
  </si>
  <si>
    <t>Connected fitness subscription — closest WHOOP analog</t>
  </si>
  <si>
    <t>Fitbit</t>
  </si>
  <si>
    <t>OUTLIER — last private round was tiny relative to IPO; exclude from median</t>
  </si>
  <si>
    <t>Oscar Health</t>
  </si>
  <si>
    <t>Digital health / insurtech — same Series G stage as WHOOP</t>
  </si>
  <si>
    <t>Foxconn corp minority</t>
  </si>
  <si>
    <t>Consumer wearable hardware — closest bucket-1 analog</t>
  </si>
  <si>
    <t>Hims &amp; Hers</t>
  </si>
  <si>
    <t>Consumer health subscription — SPAC vehicle (not traditional IPO)</t>
  </si>
  <si>
    <t>Allbirds</t>
  </si>
  <si>
    <t>DTC consumer brand</t>
  </si>
  <si>
    <t>Summary Statistics</t>
  </si>
  <si>
    <t>Median (all 6 comps)</t>
  </si>
  <si>
    <t>Mean (all 6 comps)</t>
  </si>
  <si>
    <t>Median (ex-Fitbit outlier)</t>
  </si>
  <si>
    <t>25th percentile (ex-Fitbit)</t>
  </si>
  <si>
    <t>75th percentile (ex-Fitbit)</t>
  </si>
  <si>
    <t>Implied WHOOP IPO Valuation (Series G $10.10B × Step-Up)</t>
  </si>
  <si>
    <t>Series G Anchor ($B)</t>
  </si>
  <si>
    <t>Step-Up Applied</t>
  </si>
  <si>
    <t>Implied IPO EV ($B)</t>
  </si>
  <si>
    <t>vs Current Backsolve ($12.6B)</t>
  </si>
  <si>
    <t>Bear  (25th percentile, 1.31x)</t>
  </si>
  <si>
    <t>Base  (median ex-Fitbit, 1.45x)</t>
  </si>
  <si>
    <t>Bull   (75th percentile, 1.95x)</t>
  </si>
  <si>
    <t>Methodology Notes</t>
  </si>
  <si>
    <t>1. Replaces the assumed 25% IRR target in the original 'Implied IPO Range' backsolve with the empirical distribution of last-private → IPO step-ups for reference-class consumer/health platform companies.</t>
  </si>
  <si>
    <t>2. Fitbit excluded from median because its 'last private round' (Aug 2013) was small (~$300M) and far pre-platform; not representative of a Series G stage anchor.</t>
  </si>
  <si>
    <t>3. SPACs (Hims) and traditional IPOs (Peloton, Oscar, GoPro, Allbirds) treated equivalently — both represent first liquid public price.</t>
  </si>
  <si>
    <t>4. Median time-to-IPO ex-Fitbit ≈ 18-22 months, consistent with original 12-18mo assumption. Median annualized IRR ≈ 24-25%, validating the IRR assumption but anchoring it empirically.</t>
  </si>
  <si>
    <t>5. To replace assumption-based IPO range in Assumptions!C93:E93, link those cells to D61:D63 here. Doing this would shift the football field weighted average upward (currently $8.78B).</t>
  </si>
  <si>
    <t>WHOOP — Scenario Summary</t>
  </si>
  <si>
    <t>Scenario EV by method (live links). Probability Weight Sensitivity tests how the weighted-average EV moves under different conviction schemes. ProbWeighted (input-level) shown alongside scenario-weighted (P·DCF) to expose the Jensen gap.</t>
  </si>
  <si>
    <t>Bear ($M)</t>
  </si>
  <si>
    <t>Base ($M)</t>
  </si>
  <si>
    <t>Bull ($M)</t>
  </si>
  <si>
    <t>ProbWeighted ($M)</t>
  </si>
  <si>
    <t>1. Intrinsic DCF (Equity Value)</t>
  </si>
  <si>
    <t>Equity values from DCF triangulation block (rows 60-63). Live snapshot.</t>
  </si>
  <si>
    <t xml:space="preserve">  + Real Options (excluded from valuation)</t>
  </si>
  <si>
    <t>Includes healthcare reimbursement option (binary gate). Real options scenario-aligned.</t>
  </si>
  <si>
    <t>2. Trading Comps (3-bucket EV)</t>
  </si>
  <si>
    <t>Three-thesis bracketing (Failed Pivot / Subscription / Healthcare). Cross-thesis blending not meaningful — ProbWeighted not applicable.</t>
  </si>
  <si>
    <t>Skipped per session decision. 5-10% memo weight max.</t>
  </si>
  <si>
    <t>Single point (constant across scenarios). Mar 2026 mark.</t>
  </si>
  <si>
    <t>Back-solve from $10.1B ÷ (1−illiquidity) ÷ (1−IPO discount). Bear=highest discounts, lowest implied.</t>
  </si>
  <si>
    <t>Probability Weight Sensitivity — DCF Equity ($M)</t>
  </si>
  <si>
    <t>Tests three conviction schemes against both methods. Scenario-weighted = P_Bear·Bear + P_Base·Base + P_Bull·Bull (joint correlation). ProbWeighted = read from DCF!C63 with row-2 weights set to scheme (input independence). Difference = Jensen gap.</t>
  </si>
  <si>
    <t>Bear Wt</t>
  </si>
  <si>
    <t>Base Wt</t>
  </si>
  <si>
    <t>Bull Wt</t>
  </si>
  <si>
    <t>Weighted EV ($B)</t>
  </si>
  <si>
    <t>Pessimistic</t>
  </si>
  <si>
    <t>Weight Scheme</t>
  </si>
  <si>
    <t>Scenario-Wtd Equity</t>
  </si>
  <si>
    <t>ProbWeighted Equity</t>
  </si>
  <si>
    <t>Jensen Gap</t>
  </si>
  <si>
    <t>Pessimistic (high Bear weight)</t>
  </si>
  <si>
    <t>Neutral (current base case)</t>
  </si>
  <si>
    <t>Optimistic (high Bull weight)</t>
  </si>
  <si>
    <t>Read: Even under Pessimistic weights (35/50/15), scenario-weighted Equity exceeds ProbWeighted by ~$2.0B (Jensen gap). Under Optimistic weights, gap widens to ~$5.5B as Bull's joint upside dominates. Series G premium/discount column shows scenario-weighted hits the mark only under Neutral or Optimistic schemes — Pessimistic implies $2B+ haircut to Series G.</t>
  </si>
  <si>
    <t>WHOOP — Sensitivity Analysis</t>
  </si>
  <si>
    <t>Grid 1: WACC × Exit Multiple → Enterprise Value ($B)</t>
  </si>
  <si>
    <t>WACC ↓ / Exit Mult (EV/Rev) →</t>
  </si>
  <si>
    <t>Grid 2: WACC × Terminal Growth (Gordon Method) → Enterprise Value ($B)</t>
  </si>
  <si>
    <t>WACC ↓ / Terminal Growth →</t>
  </si>
  <si>
    <t>Grid 3: Beta × CSRP → Top-Down WACC (CAPM, Methodology Sec 8)</t>
  </si>
  <si>
    <t>Beta ↓ / CSRP →</t>
  </si>
  <si>
    <t>Grid 3b: Same Beta × CSRP applied to DCF (top-down WACC) → EV ($B) at base 3.5x exit</t>
  </si>
  <si>
    <t>Summary — Equity Value per Share Range</t>
  </si>
  <si>
    <t>Per Share Range ($)</t>
  </si>
  <si>
    <t>Grid 1: WACC × Exit Multiple</t>
  </si>
  <si>
    <t>Grid 2: WACC × Terminal Growth (Gordon)</t>
  </si>
  <si>
    <t>Grid 3b: Beta × CSRP → EV</t>
  </si>
  <si>
    <t>5. Y3+ Churn Cohort Sensitivity (Item 5)</t>
  </si>
  <si>
    <t>Tests Y3+ churn assumption (Assumptions!F21 Base = 12%) at 8%/10%/12%/14%/16%. The 2025 free-hardware pivot removed hardware sunk-cost stickiness — historical retention curves no longer cleanly extrapolate. This is the single biggest swing factor on terminal value because Y3+ is the dominant cohort by 2033.</t>
  </si>
  <si>
    <t>Y3+ Churn</t>
  </si>
  <si>
    <t>Blended Churn (steady-state)</t>
  </si>
  <si>
    <t>LTV ($)</t>
  </si>
  <si>
    <t>LTV/All-in CAC</t>
  </si>
  <si>
    <t>2033 Members (M)</t>
  </si>
  <si>
    <t>Δ vs Base</t>
  </si>
  <si>
    <t>2033 Revenue ($M)</t>
  </si>
  <si>
    <t>Implied Equity/Share</t>
  </si>
  <si>
    <t>Super-bull (Spotify-like)</t>
  </si>
  <si>
    <t>Bull (improvement)</t>
  </si>
  <si>
    <t>Base (current)</t>
  </si>
  <si>
    <t>Bear (degradation)</t>
  </si>
  <si>
    <t>Severe bear</t>
  </si>
  <si>
    <t>Note: Grids 1-3b use single-method TV (Exit Mult OR Gordon). Live DCF blends both at 50/50, yielding intermediate EV. Don't expect Grid base cells to tie to DCF!C32 — they show methodology dispersion, not central case.</t>
  </si>
  <si>
    <t>Y3+ churn is the single biggest swing on terminal equity. Moving from 8% → 12% (Spotify-like → mid-Peloton) costs $5.56/share, or ~20% of base equity. The 2025 free-hardware pivot removed hardware sunk-cost stickiness — historical retention curves don't extrapolate.</t>
  </si>
  <si>
    <t>Bear thesis</t>
  </si>
  <si>
    <t>Recommended: revise Bear case Y3+ churn from 12% to 14% (severe-bear). Bear/Base/Bull spans at 14%/8%/5% = wider, more honest range than current 12%/8%/5%. The Bear case should be a thesis about the world (free-hw pivot fails to lock retention), not a 1.5x multiplier on Base.</t>
  </si>
  <si>
    <t>6. Probability Weighting Sensitivity — ProbWeighted Equity ($M)</t>
  </si>
  <si>
    <t>Tests robustness of input-weighted equity to choice of probability weights. P_Base = 1 − P_Bear − P_Bull. Yellow = base case (P_Bear=20%, P_Bull=30%, P_Base=50%). Cell value = P_Bear×Bear_Equity + P_Base×Base_Equity + P_Bull×Bull_Equity, where Bear/Base/Bull equities pull live from DCF!C60:C62. NOTE: This grid uses scenario-weighted decomposition (linear approximation); true input-weighted equity (DCF!C63 = $7,962M) differs by Jensen gap.</t>
  </si>
  <si>
    <t>7. Members Lens — Triangulating Bottom-Up Members to DCF Equity ($/Share)</t>
  </si>
  <si>
    <t>Tests sensitivity of DCF equity to 2033 ending member count. Yellow = base case (Members!L34 = 10.92M). Block A holds 2033 FCF margin constant at base; Block B couples margin to scale (±60 bps per ±10% members) reflecting fixed-cost leverage. EV scales with terminal-year FCF; equity bridge held constant.</t>
  </si>
  <si>
    <t>Lens / Scenario</t>
  </si>
  <si>
    <t>Block A: Margin Constant</t>
  </si>
  <si>
    <t>Block B: Margin Coupled</t>
  </si>
  <si>
    <t>Coupling Δ ($/sh)</t>
  </si>
  <si>
    <t>$/Share (Coupled)</t>
  </si>
  <si>
    <t>Lens D — Bottoms-up cohort</t>
  </si>
  <si>
    <t>Stress — Below median</t>
  </si>
  <si>
    <t>BASE — Lens B/C median (live)</t>
  </si>
  <si>
    <t>Lens A — TAM × Penetration</t>
  </si>
  <si>
    <t>Stretch — Above lenses</t>
  </si>
  <si>
    <t>Bull — Hypergrowth</t>
  </si>
  <si>
    <t>Methodology footnote</t>
  </si>
  <si>
    <t>Approximation: EV scales with terminal-year FCF (preserves ≈78% TV-weight in base DCF). Revenue-per-member held at 2033 base of $338/yr (= DCF!K8 / Members!L34). Equity bridge held constant ($10M debt, $730M cash, 410M FD shares). Margin coupling rate of 60 bps per 10% members is a midpoint estimate — implied operating leverage from the model's 2026–2033 FCF margin expansion (10%→21%) running ~150 bps/yr against ~30%/yr member growth. Coupling is symmetric (linear); real-world margin compression at low membership is likely steeper (convex). Block B should be read as 'best estimate of coupled outcome' not a worst case.</t>
  </si>
  <si>
    <t>WHOOP — Diagnostic Checks</t>
  </si>
  <si>
    <t>Automated integrity checks per methodology Sec 9. ANY red FAIL must be resolved before output is trusted.</t>
  </si>
  <si>
    <t>Computed</t>
  </si>
  <si>
    <t>Threshold</t>
  </si>
  <si>
    <t>1. Members × ARPU ≈ Revenue (2025)</t>
  </si>
  <si>
    <t>&lt;5%</t>
  </si>
  <si>
    <t>Avg members × blended ARPU should reconcile to consumer revenue</t>
  </si>
  <si>
    <t>2. S&amp;M coverage: Members.S&amp;M$ ≤ P&amp;L.S&amp;M (2026)</t>
  </si>
  <si>
    <t>&lt;$1M</t>
  </si>
  <si>
    <t>P&amp;L S&amp;M = Members.row 46 (single source); should match exactly</t>
  </si>
  <si>
    <t>3. Comp bucket weights sum = 100%</t>
  </si>
  <si>
    <t>=100%</t>
  </si>
  <si>
    <t>B1+B2+B3 weights must total 1.0</t>
  </si>
  <si>
    <t>4. TV &lt; 75% of total EV (DCF)</t>
  </si>
  <si>
    <t>&lt;75%</t>
  </si>
  <si>
    <t>Methodology Sec 4: TV &gt;75% means explicit forecast doing too little</t>
  </si>
  <si>
    <t>5. Exit Multiple ↔ Gordon TV divergence</t>
  </si>
  <si>
    <t>&lt;25%</t>
  </si>
  <si>
    <t>Methodology Sec 4: divergence &gt;25% means assumption inconsistency</t>
  </si>
  <si>
    <t>6. Real options probability sum = 100%</t>
  </si>
  <si>
    <t>Materialize + fail must = 1.0 (binary gate, by construction). Updated post-RO redesign — was cluster sum (success/mixed/failure).</t>
  </si>
  <si>
    <t>7. WACC &gt; Perpetuity growth (Gordon validity)</t>
  </si>
  <si>
    <t>&gt;0%</t>
  </si>
  <si>
    <t>Required for Gordon Growth perpetuity to converge; safer if &gt;3pp</t>
  </si>
  <si>
    <t>8. Gross adds vs historical peak (any year)</t>
  </si>
  <si>
    <t>&lt;2.0x</t>
  </si>
  <si>
    <t>Methodology Sec 9: peak gross adds shouldn't exceed 2x base year</t>
  </si>
  <si>
    <t>9. Rule of 40 ≥ 20 by Phase 3</t>
  </si>
  <si>
    <t>≥20</t>
  </si>
  <si>
    <t>Min Rule of 40 across 2031-2033 forecast</t>
  </si>
  <si>
    <t>10. ARPU Justification consistency</t>
  </si>
  <si>
    <t>✓ or ⚠</t>
  </si>
  <si>
    <t>Verifies blended ARPU anchor is within ±10% of bottom-up justification</t>
  </si>
  <si>
    <t>11. Rule of 40 ≤ 50 sustained (terminal sanity)</t>
  </si>
  <si>
    <t>≤ 50</t>
  </si>
  <si>
    <t>Max Rule of 40 across 2031-2033 terminal window. Above 50 sustained at maturity = aggressive margin stack — review terminal assumptions per remediation spec.</t>
  </si>
  <si>
    <t>12. ProbWeighted weights sum = 100%</t>
  </si>
  <si>
    <t>Summary</t>
  </si>
  <si>
    <t>Total checks</t>
  </si>
  <si>
    <t>Research File Index</t>
  </si>
  <si>
    <t>File</t>
  </si>
  <si>
    <t>Contents</t>
  </si>
  <si>
    <t>Session</t>
  </si>
  <si>
    <t>research/whoop-research-brief.md</t>
  </si>
  <si>
    <t>Structured research brief</t>
  </si>
  <si>
    <t>S0</t>
  </si>
  <si>
    <t>research/whoop-pitchbook-data.md</t>
  </si>
  <si>
    <t>Pitchbook: cap table, funding, financials</t>
  </si>
  <si>
    <t>research/whoop-capiq-data.md</t>
  </si>
  <si>
    <t>Cap IQ: dilution waterfall, investors</t>
  </si>
  <si>
    <t>research/oura-pitchbook-data.md</t>
  </si>
  <si>
    <t>Oura private comp profile ($11B)</t>
  </si>
  <si>
    <t>research/peloton-10k-analysis.md</t>
  </si>
  <si>
    <t>Peloton deep dive (revenue, margins, subs)</t>
  </si>
  <si>
    <t>research/web-research-sweep.md</t>
  </si>
  <si>
    <t>Market data, Forge, Garmin, Strava</t>
  </si>
  <si>
    <t>research/revenue-bookings-reconciliation.md</t>
  </si>
  <si>
    <t>$1.1B bookings vs revenue, ARPU, churn grids</t>
  </si>
  <si>
    <t>research/investor-deep-research.md</t>
  </si>
  <si>
    <t>Series G investor analysis</t>
  </si>
  <si>
    <t>research/stress-test-international-revenue.md</t>
  </si>
  <si>
    <t>60% intl claim verification</t>
  </si>
  <si>
    <t>research/stress-test-revenue-reconciliation.md</t>
  </si>
  <si>
    <t>Revenue stress test (base: $650M)</t>
  </si>
  <si>
    <t>research/comp-dexcom-dxcm.md</t>
  </si>
  <si>
    <t>Dexcom 10-K (5yr financials)</t>
  </si>
  <si>
    <t>research/comp-garmin-grmn.md</t>
  </si>
  <si>
    <t>Garmin 10-K (5yr, 5 segments)</t>
  </si>
  <si>
    <t>research/comp-resmed-rmd.md</t>
  </si>
  <si>
    <t>ResMed 10-K (connected device + SaaS)</t>
  </si>
  <si>
    <t>research/comp-masimo-masi.md</t>
  </si>
  <si>
    <t>Masimo 10-K (Danaher deal, Sound United)</t>
  </si>
  <si>
    <t>research/comp-irhythm-irtc.md</t>
  </si>
  <si>
    <t>iRhythm 10-K (cardiac wearable + SaaS)</t>
  </si>
  <si>
    <t>research/comp-spotify-spot.md</t>
  </si>
  <si>
    <t>Spotify 20-F (751M MAU, profitability inflection)</t>
  </si>
  <si>
    <t>research/comp-peloton-pton.md</t>
  </si>
  <si>
    <t>Peloton comp profile (trading multiples)</t>
  </si>
  <si>
    <t>research/comp-trading-multiples-summary.md</t>
  </si>
  <si>
    <t>Master multiples + bucket analysis</t>
  </si>
  <si>
    <t>research/damodaran-wacc-inputs.md</t>
  </si>
  <si>
    <t>ERP 4.23%, betas, risk-free 4.3%</t>
  </si>
  <si>
    <t>research/comp-historical-multiples-v19.md</t>
  </si>
  <si>
    <t>3yr time variance: DXCM 13.8x→5.0x</t>
  </si>
  <si>
    <t>research/peloton-10k-gaps.md</t>
  </si>
  <si>
    <t>S&amp;M/G&amp;A split (XBRL), SBC history</t>
  </si>
  <si>
    <t>research/secondary-market-pricing.md</t>
  </si>
  <si>
    <t>Forge/Hiive/EquityZen, DLOM analysis</t>
  </si>
  <si>
    <t>research/precedent-transactions.md</t>
  </si>
  <si>
    <t>14 deals, 3-bucket M&amp;A analysis</t>
  </si>
  <si>
    <t>Web Sources (this build)</t>
  </si>
  <si>
    <t>Used For</t>
  </si>
  <si>
    <t>URL / Reference</t>
  </si>
  <si>
    <t>Date Accessed</t>
  </si>
  <si>
    <t>BusinessWire (WHOOP press release)</t>
  </si>
  <si>
    <t>Advanced Labs pricing: $199/$349/$599 (1/2/4 tests/yr); 350K waitlist on launch</t>
  </si>
  <si>
    <t>businesswire.com/news/home/20250930178710/</t>
  </si>
  <si>
    <t>Sept 30, 2025 launch</t>
  </si>
  <si>
    <t>Boston Globe</t>
  </si>
  <si>
    <t>Women's blood test add-on $299; 150% YoY women membership growth; staff +75%</t>
  </si>
  <si>
    <t>bostonglobe.com/2026/03/10/business/whoop-299-blood-testing-service-women/</t>
  </si>
  <si>
    <t>WHOOP Membership page</t>
  </si>
  <si>
    <t>Tier pricing: One ~$199, Peak ~$239-279, Life ~$359; BP &amp; Healthspan bundled in Peak/Life</t>
  </si>
  <si>
    <t>whoop.com/us/en/membership/</t>
  </si>
  <si>
    <t>WHOOP BP Insights page</t>
  </si>
  <si>
    <t>BP Insights bundled in Peak &amp; Life (NOT separate paid feature)</t>
  </si>
  <si>
    <t>whoop.com/us/en/thelocker/blood-pressure-insights/</t>
  </si>
  <si>
    <t>Bloomberg</t>
  </si>
  <si>
    <t>May 2025 hardware launch: WHOOP 5.0 + WHOOP MG (medical grade); subscription from $199</t>
  </si>
  <si>
    <t>bloomberg.com/news/features/2025-05-08/review-whoop-5-0-whoop-mg</t>
  </si>
  <si>
    <t>TechCrunch</t>
  </si>
  <si>
    <t>Function Health $500/yr quarterly (comp price point); Fountain Life $20K/yr</t>
  </si>
  <si>
    <t>techcrunch.com/2025/09/30/whoop-opens-its-blood-testing-service/</t>
  </si>
  <si>
    <t>WHOOP Valuation — Calibration &amp; Open Items Log</t>
  </si>
  <si>
    <t>Items deferred for next session. Each is non-blocking but should be addressed before relying on numbers for IC/memo. Sorted by priority.</t>
  </si>
  <si>
    <t>Tab</t>
  </si>
  <si>
    <t>Cell / Area</t>
  </si>
  <si>
    <t>Issue</t>
  </si>
  <si>
    <t>Suggested fix</t>
  </si>
  <si>
    <t>Priority</t>
  </si>
  <si>
    <t>DCF</t>
  </si>
  <si>
    <t>C30</t>
  </si>
  <si>
    <t>TV divergence 55% (Exit Mult $16.1B vs Gordon $9.1B); methodology threshold 25%</t>
  </si>
  <si>
    <t>Lower exit mult to ~3.0x for Gordon equivalence, OR accept divergence as bull bias on terminal multiple compression</t>
  </si>
  <si>
    <t>Open</t>
  </si>
  <si>
    <t>C33</t>
  </si>
  <si>
    <t>TV is 85% of total EV; methodology threshold 75%; explicit forecast doing only 15% of work</t>
  </si>
  <si>
    <t>Tighten R&amp;D/G&amp;A tapers (raises FCF in forecast period), OR extend horizon from 8 to 10 years</t>
  </si>
  <si>
    <t>P&amp;L</t>
  </si>
  <si>
    <t>L31</t>
  </si>
  <si>
    <t>Margin tapers calibrated against bucket-3 peer benchmarks. R&amp;D scenarios spread (Bear 12% / Base 15% / Bull 18%) reflect platform thesis. G&amp;A 13/11/9 per Dexcom/ResMed anchors. SBC restructured: now interpolates from F47 (current) to F48 (terminal), 14%→8% Base. Terminal EBITDA: 36% → 33%.</t>
  </si>
  <si>
    <t>DONE — Assumptions C40/D40/E40 (R&amp;D), C46/D46/E46 (G&amp;A), C47-E47 (SBC current), C48-E48 (SBC terminal, NEW row inserted). P&amp;L row 26 SBC formula updated to interpolate.</t>
  </si>
  <si>
    <t>Done</t>
  </si>
  <si>
    <t>RESOLVED</t>
  </si>
  <si>
    <t>D38</t>
  </si>
  <si>
    <t>Interest income wired — prior-yr cash × yield (Assumptions F66, 3.5% base). 2026-2033 NI uplift ~$300M cumulative. Non-circular: does NOT flow into UFCF.</t>
  </si>
  <si>
    <t>DONE — P&amp;L D38:L38 wired to WC &amp; Cash row 32 × Assumptions F66</t>
  </si>
  <si>
    <t>F31</t>
  </si>
  <si>
    <t>2027 EBITDA margin dips 22→12% from gross adds bulge (1.24M units → hardware COGS spike)</t>
  </si>
  <si>
    <t>Smooth Members E50:F50 to even gross adds across Phase 1, OR accept as Phase 1 deployment shape</t>
  </si>
  <si>
    <t>L23</t>
  </si>
  <si>
    <t>S&amp;M as % current revenue runs 16-20% vs methodology stated 30%</t>
  </si>
  <si>
    <t>Architecture-driven gap from prior-yr-rev basis. Either restate methodology, OR raise Members S&amp;M phase % inputs</t>
  </si>
  <si>
    <t>D40</t>
  </si>
  <si>
    <t>NOL carryforward wired — P&amp;L rows 44-48. Begin/Add/Util/End schedule with 80% TCJA utilization cap. Self-balancing: any future losses auto-flow to NOL pool.</t>
  </si>
  <si>
    <t>DONE — P&amp;L D40:L40 tax formula updated to MAX(0, Pretax − NOL_Util) × 23%. 2026/2027 NI uplift modest (~$14M, $7M) at current pretax.</t>
  </si>
  <si>
    <t>Revenue Build</t>
  </si>
  <si>
    <t>Row 19</t>
  </si>
  <si>
    <t>$528M 2025 revenue vs $650M methodology target; gap is Unite B2B + Coach</t>
  </si>
  <si>
    <t>Add Unite B2B as separate revenue line on Revenue Build (Path C). $80-120M anchor.</t>
  </si>
  <si>
    <t>ARPU</t>
  </si>
  <si>
    <t>D34</t>
  </si>
  <si>
    <t>Derived ARPU $278 vs methodology anchor $338 (-17.7% gap)</t>
  </si>
  <si>
    <t>Largely resolved by Unite B2B path above. Revisit anchor language in methodology after.</t>
  </si>
  <si>
    <t>Linked</t>
  </si>
  <si>
    <t>FCF</t>
  </si>
  <si>
    <t>L17</t>
  </si>
  <si>
    <t>FCF margin 19% in 2033, ~5pp below methodology terminal prior of 25-28%</t>
  </si>
  <si>
    <t>Will resolve when EBITDA tapers tightened (linked to L31). Or lower CapEx % from 4% to 3%.</t>
  </si>
  <si>
    <t>Open Tabs / Builds Pending</t>
  </si>
  <si>
    <t>Balance Sheet</t>
  </si>
  <si>
    <t>Not yet built. Unlocks interest income wiring, NWC validation, cash build through forecast.</t>
  </si>
  <si>
    <t>Next</t>
  </si>
  <si>
    <t>Three grids built and live: WACC × Exit Mult, WACC × Terminal Growth (Gordon), Beta × CSRP → EV. Per-share range $14.8-33.7 across method combinations.</t>
  </si>
  <si>
    <t>Football Field</t>
  </si>
  <si>
    <t>Multi-method synthesis live with chart visualization. 5 methods wired to live sources. Weighted avg $8.6B / $22.75 per share, ~14.5% below Series G. Range bar chart added at A29 helper table; Series G $10.1B reference line overlay. Methods range $4.4B (forward comps) to $14.0B (IPO range).</t>
  </si>
  <si>
    <t>DONE — Football Field tab fully wired. All cells formula-driven from DCF / Sensitivity / Comps / Assumptions / RealOptions.</t>
  </si>
  <si>
    <t>Three-bucket framework wired. Per-comp data placeholder (verify vs SEC/Bloomberg). Bucket summary stats (median + range), implied valuation table by scenario, dual back-solve (naive vs growth-adjusted) all live. Implied EVs: Bear $4.7B, Base $5.4B, Bull $6.3B vs Series G $10.1B.</t>
  </si>
  <si>
    <t>DONE — Comps tab fully wired. Data placeholder; refresh with current trading multiples before relying on output.</t>
  </si>
  <si>
    <t>WIRED (data needs refresh)</t>
  </si>
  <si>
    <t>Precedents</t>
  </si>
  <si>
    <t>Tab exists; needs deals populated per Assumptions Sec 8.</t>
  </si>
  <si>
    <t>Later</t>
  </si>
  <si>
    <t>ΔNWC</t>
  </si>
  <si>
    <t>FCF row 15</t>
  </si>
  <si>
    <t>FCF tab now uses detailed WC schedule (was 8% plug). DCF EV +$813M to $9.54B; per share +$1.98 to $24.95.</t>
  </si>
  <si>
    <t>DONE — FCF!D15:L15 wired to 'WC &amp; Cash'!D25:L25</t>
  </si>
  <si>
    <t>Framing</t>
  </si>
  <si>
    <t>Cover B56:B58, DCF A55</t>
  </si>
  <si>
    <t>Discussed and decided: bucket-3 weight is expressed via 4.5x exit multiple (50% compressed from B3 ~9x), NOT via P&amp;L margin compression. Base case 33% terminal EBITDA reflects WHOOP's natural subscription economics if executed. Real options carry the bucket-3-becoming-true upside as separate value source. No double-counting risk verified.</t>
  </si>
  <si>
    <t>DONE — Framing documented on Cover B56:B58 and DCF A55. Base case held; options held. No further OpEx changes.</t>
  </si>
  <si>
    <t>Real Options</t>
  </si>
  <si>
    <t>RealOptions C5:D7</t>
  </si>
  <si>
    <t>Cluster probabilities (18/45/37) and values ($5.5/$2.5/$0.75B) are methodology-anchored priors, NOT derived from research. Highest-leverage, lowest-rigor input. $2.4B option value swings $1.5-3.5B across reasonable probability ranges. The +18% premium of DCF+Options to Series G is sensitive to this judgment.</t>
  </si>
  <si>
    <t>Acknowledged in memo as judgment input. Notes added to RealOptions C5:D7 and A18:A22. No model change; flagged for memo discussion of sensitivity.</t>
  </si>
  <si>
    <t>Memo flag</t>
  </si>
  <si>
    <t>DOCUMENTED</t>
  </si>
  <si>
    <t>Layer 6: EBITDA Remediation</t>
  </si>
  <si>
    <t>Assumptions</t>
  </si>
  <si>
    <t>D125, C125, E125 (Brand $); D40/C40/E40 (R&amp;D term); D48/C48/E48 (SBC term); Checks!A15:E15 (R40 ≤50)</t>
  </si>
  <si>
    <t>Pre-fix terminal EBITDA 43.7% / Rule of 40 = 55 sustained — indefensible vs peer benchmarks (Adobe peak 52, ServiceNow peak 55, best-in-class sustained 45-50). Spec attributed inflation to 4 levers; trace showed 1 lever (S&amp;M architecture) was real, 1 (COGS hardware bug) was not real (hardware already in blended COGS%, model is more conservative than bottoms-up by ~$285M at terminal), and 2 (R&amp;D, SBC terminals) were calibration-low.</t>
  </si>
  <si>
    <t>DONE — (1) Lifted Brand $ terminal D125 $130→$335M Base / C125 $50→$210M Bear / E125 $150→$420M Bull. Members tab Variable+Brand architecture structurally produced sub-Spotify S&amp;M%-of-rev at terminal; brand line scales independently of decelerating gross adds. Now hits S&amp;M 15.0% of 2033 rev (vs 10.3% pre-fix). (2) R&amp;D terminal +1pp each scenario (12→13% Bear, 15→16% Base, 18→19% Bull). (3) SBC terminal +3pp Base / +3pp Bear / +2pp Bull (8→11% Base, 10→13% Bear, 6→8% Bull). (4) Skipped spec Item 2 (Hardware COGS bug) — not a bug; row 12 blended COGS% already captures sub delivery + hardware giveaway per B151/B152 notes. Terminal GM stays 80%, defensible. (5) Added Checks!row 15 ‘Rule of 40 ≤ 50 sustained’ guardrail across 2031-2033 terminal window. Result: terminal EBITDA 38.0% (vs 43.7% pre-fix, -5.7pp), terminal R40 = 49.3 (just under 50 threshold, PASS). Below spec’s ~30% target by ~5pp, but spec’s target was contingent on a GM haircut (75-76%) that proved unwarranted on architectural inspection.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</si>
</sst>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7" formatCode="&quot;$&quot;#,##0.00_);\(&quot;$&quot;#,##0.00\)"/>
    <numFmt numFmtId="164" formatCode="0.0%"/>
    <numFmt numFmtId="165" formatCode="\$#,##0"/>
    <numFmt numFmtId="166" formatCode="0.0\x"/>
    <numFmt numFmtId="167" formatCode="0.0"/>
    <numFmt numFmtId="168" formatCode="\$#,##0.00"/>
    <numFmt numFmtId="169" formatCode="0.0&quot;x&quot;"/>
    <numFmt numFmtId="170" formatCode="0.00&quot;x&quot;"/>
    <numFmt numFmtId="171" formatCode="&quot;$&quot;#,##0"/>
    <numFmt numFmtId="172" formatCode="0.0%;\(0.0%\);\-"/>
    <numFmt numFmtId="173" formatCode="&quot;$&quot;#,##0;\(&quot;$&quot;#,##0\);\-"/>
    <numFmt numFmtId="174" formatCode="0.0;\(0.0\);\-"/>
    <numFmt numFmtId="175" formatCode="0.000"/>
    <numFmt numFmtId="176" formatCode="&quot;$&quot;#,##0.00"/>
    <numFmt numFmtId="177" formatCode="0.00%;\(0.00%\);\-"/>
    <numFmt numFmtId="178" formatCode="&quot;$&quot;0.00"/>
    <numFmt numFmtId="179" formatCode="&quot;$&quot;0.00&quot;B&quot;"/>
    <numFmt numFmtId="180" formatCode="#,##0.00;\(#,##0.00\);\-"/>
    <numFmt numFmtId="181" formatCode="0%;\(0%\);\-"/>
    <numFmt numFmtId="182" formatCode="\+0.0%;\-0.0%"/>
    <numFmt numFmtId="183" formatCode="0.00&quot;x&quot;;\(0.00&quot;x&quot;\);\-"/>
    <numFmt numFmtId="184" formatCode="\+0.0%;\-0.0%;\-"/>
    <numFmt numFmtId="185" formatCode="\+0.00;\-0.00;0.00"/>
    <numFmt numFmtId="186" formatCode="\+0.000;\-0.000;0.000"/>
    <numFmt numFmtId="187" formatCode="\+0.00%;\-0.00%;0.00%"/>
    <numFmt numFmtId="188" formatCode="0.00&quot;M&quot;"/>
    <numFmt numFmtId="189" formatCode="0.0&quot;M&quot;"/>
    <numFmt numFmtId="190" formatCode="0.0000"/>
    <numFmt numFmtId="191" formatCode="\+0.0%;\-0.0%;0.0%"/>
    <numFmt numFmtId="192" formatCode="0&quot;x&quot;"/>
    <numFmt numFmtId="193" formatCode="0,000"/>
    <numFmt numFmtId="194" formatCode="yyyy\-mm\-dd"/>
    <numFmt numFmtId="195" formatCode="\+&quot;$&quot;#,##0;\-&quot;$&quot;#,##0;0"/>
    <numFmt numFmtId="196" formatCode="&quot;$&quot;#,##0.0"/>
    <numFmt numFmtId="197" formatCode="0.00\x"/>
    <numFmt numFmtId="198" formatCode="\+&quot;$&quot;#,##0;\-&quot;$&quot;#,##0;\-"/>
    <numFmt numFmtId="199" formatCode="\+0.0%\ &quot;of Series G&quot;"/>
    <numFmt numFmtId="200" formatCode="&quot;$&quot;#,##0.00&quot; B&quot;"/>
    <numFmt numFmtId="201" formatCode="&quot;$&quot;0"/>
    <numFmt numFmtId="202" formatCode="\+0%;\-0%;0%"/>
    <numFmt numFmtId="203" formatCode="&quot;$&quot;#,##0&quot; M&quot;"/>
  </numFmts>
  <fonts count="185">
    <font>
      <sz val="11"/>
      <color theme="1"/>
      <name val="Calibri"/>
      <family val="2"/>
      <scheme val="minor"/>
    </font>
    <font>
      <b/>
      <sz val="24"/>
      <name val="Calibri"/>
      <family val="2"/>
    </font>
    <font>
      <sz val="16"/>
      <color rgb="FF666666"/>
      <name val="Calibri"/>
      <family val="2"/>
    </font>
    <font>
      <sz val="11"/>
      <color rgb="FF666666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CC0000"/>
      <name val="Calibri"/>
      <family val="2"/>
    </font>
    <font>
      <i/>
      <sz val="9"/>
      <color rgb="FF666666"/>
      <name val="Calibri"/>
      <family val="2"/>
    </font>
    <font>
      <b/>
      <sz val="14"/>
      <color rgb="FF000000"/>
      <name val="Calibri"/>
      <family val="2"/>
    </font>
    <font>
      <i/>
      <sz val="9"/>
      <color rgb="FF999999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C00000"/>
      <name val="Calibri"/>
      <family val="2"/>
    </font>
    <font>
      <b/>
      <sz val="11"/>
      <color rgb="FFFFFFFF"/>
      <name val="Calibri"/>
      <family val="2"/>
      <scheme val="minor"/>
    </font>
    <font>
      <sz val="9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8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i/>
      <sz val="10"/>
      <color rgb="FF666666"/>
      <name val="Calibri"/>
      <family val="2"/>
    </font>
    <font>
      <b/>
      <i/>
      <sz val="9"/>
      <color rgb="FF666666"/>
      <name val="Calibri"/>
      <family val="2"/>
    </font>
    <font>
      <i/>
      <sz val="10"/>
      <color rgb="FF999999"/>
      <name val="Calibri"/>
      <family val="2"/>
    </font>
    <font>
      <b/>
      <sz val="10"/>
      <color rgb="FF0000FF"/>
      <name val="Calibri"/>
      <family val="2"/>
    </font>
    <font>
      <i/>
      <sz val="9"/>
      <color rgb="FF999999"/>
      <name val="Calibri"/>
      <family val="2"/>
      <scheme val="minor"/>
    </font>
    <font>
      <b/>
      <i/>
      <sz val="10"/>
      <color rgb="FFC00000"/>
      <name val="Calibri"/>
      <family val="2"/>
    </font>
    <font>
      <sz val="11"/>
      <color rgb="FF806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3"/>
      <color rgb="FFFFFFFF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i/>
      <sz val="9"/>
      <color rgb="FF006100"/>
      <name val="Calibri"/>
      <family val="2"/>
      <scheme val="minor"/>
    </font>
    <font>
      <i/>
      <sz val="9"/>
      <color rgb="FF806000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b/>
      <i/>
      <sz val="10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sz val="10"/>
      <color rgb="FF666666"/>
      <name val="Calibri"/>
      <family val="2"/>
      <scheme val="minor"/>
    </font>
    <font>
      <i/>
      <sz val="10"/>
      <color rgb="FF999999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666666"/>
      <name val="Calibri"/>
      <family val="2"/>
    </font>
    <font>
      <i/>
      <sz val="11"/>
      <color theme="1"/>
      <name val="Calibri"/>
      <family val="2"/>
      <scheme val="minor"/>
    </font>
    <font>
      <b/>
      <sz val="10"/>
      <color rgb="FF008000"/>
      <name val="Calibri"/>
      <family val="2"/>
    </font>
    <font>
      <b/>
      <sz val="14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FFFFFF"/>
      <name val="Calibri"/>
      <family val="2"/>
    </font>
    <font>
      <i/>
      <sz val="10"/>
      <color rgb="FFFFFFFF"/>
      <name val="Calibri"/>
      <family val="2"/>
    </font>
    <font>
      <sz val="10"/>
      <color rgb="FFFFC000"/>
      <name val="Calibri"/>
      <family val="2"/>
    </font>
    <font>
      <b/>
      <i/>
      <sz val="12"/>
      <color rgb="FFFFFFFF"/>
      <name val="Calibri"/>
      <family val="2"/>
    </font>
    <font>
      <b/>
      <i/>
      <sz val="11"/>
      <color rgb="FF0000FF"/>
      <name val="Calibri"/>
      <family val="2"/>
      <scheme val="minor"/>
    </font>
    <font>
      <b/>
      <i/>
      <sz val="10"/>
      <color rgb="FF666666"/>
      <name val="Calibri"/>
      <family val="2"/>
      <scheme val="minor"/>
    </font>
    <font>
      <b/>
      <i/>
      <sz val="10"/>
      <color rgb="FF999999"/>
      <name val="Calibri"/>
      <family val="2"/>
      <scheme val="minor"/>
    </font>
    <font>
      <b/>
      <sz val="9"/>
      <color rgb="FF595959"/>
      <name val="Calibri"/>
      <family val="2"/>
      <scheme val="minor"/>
    </font>
    <font>
      <sz val="9"/>
      <color rgb="FF595959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b/>
      <sz val="14"/>
      <color rgb="FFFFFFFF"/>
      <name val="Calibri"/>
      <family val="2"/>
    </font>
    <font>
      <b/>
      <i/>
      <sz val="9"/>
      <color rgb="FF595959"/>
      <name val="Calibri"/>
      <family val="2"/>
    </font>
    <font>
      <i/>
      <sz val="9"/>
      <color rgb="FFC00000"/>
      <name val="Calibri"/>
      <family val="2"/>
      <scheme val="minor"/>
    </font>
    <font>
      <b/>
      <i/>
      <sz val="10"/>
      <color rgb="FF999999"/>
      <name val="Calibri"/>
      <family val="2"/>
    </font>
    <font>
      <b/>
      <i/>
      <sz val="9"/>
      <color rgb="FF999999"/>
      <name val="Calibri"/>
      <family val="2"/>
    </font>
    <font>
      <i/>
      <sz val="10"/>
      <color rgb="FF000000"/>
      <name val="Calibri"/>
      <family val="2"/>
    </font>
    <font>
      <i/>
      <sz val="10"/>
      <color rgb="FF595959"/>
      <name val="Calibri"/>
      <family val="2"/>
    </font>
    <font>
      <b/>
      <i/>
      <sz val="10"/>
      <color theme="1"/>
      <name val="Calibri"/>
      <family val="2"/>
      <scheme val="minor"/>
    </font>
    <font>
      <i/>
      <sz val="9"/>
      <color rgb="FF595959"/>
      <name val="Calibri"/>
      <family val="2"/>
    </font>
    <font>
      <i/>
      <sz val="10"/>
      <color rgb="FF404040"/>
      <name val="Calibri"/>
      <family val="2"/>
    </font>
    <font>
      <i/>
      <sz val="10"/>
      <color rgb="FFA6A6A6"/>
      <name val="Calibri"/>
      <family val="2"/>
      <scheme val="minor"/>
    </font>
    <font>
      <b/>
      <i/>
      <sz val="10"/>
      <color rgb="FF666666"/>
      <name val="Calibri"/>
      <family val="2"/>
    </font>
    <font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i/>
      <sz val="10"/>
      <color rgb="FF404040"/>
      <name val="Calibri"/>
      <family val="2"/>
    </font>
    <font>
      <sz val="9"/>
      <color rgb="FF0000FF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806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0"/>
      <color rgb="FF806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theme="1"/>
      <name val="Calibri"/>
      <family val="2"/>
    </font>
    <font>
      <i/>
      <sz val="9"/>
      <color rgb="FFC00000"/>
      <name val="Calibri"/>
      <family val="2"/>
    </font>
    <font>
      <b/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i/>
      <sz val="10"/>
      <color rgb="FF404040"/>
      <name val="Calibri"/>
      <family val="2"/>
      <scheme val="minor"/>
    </font>
    <font>
      <i/>
      <sz val="10"/>
      <color rgb="FF808080"/>
      <name val="Calibri"/>
      <family val="2"/>
    </font>
    <font>
      <i/>
      <sz val="9"/>
      <color rgb="FFC0504D"/>
      <name val="Calibri"/>
      <family val="2"/>
    </font>
    <font>
      <b/>
      <i/>
      <sz val="10"/>
      <color rgb="FF808080"/>
      <name val="Calibri"/>
      <family val="2"/>
    </font>
    <font>
      <i/>
      <sz val="10"/>
      <color theme="1"/>
      <name val="Calibri"/>
      <family val="2"/>
    </font>
    <font>
      <b/>
      <sz val="12"/>
      <color rgb="FFFFFFFF"/>
      <name val="Calibri"/>
      <family val="2"/>
    </font>
    <font>
      <i/>
      <sz val="10"/>
      <color rgb="FF008000"/>
      <name val="Calibri"/>
      <family val="2"/>
    </font>
    <font>
      <i/>
      <sz val="9"/>
      <color rgb="FFFFFFFF"/>
      <name val="Calibri"/>
      <family val="2"/>
      <scheme val="minor"/>
    </font>
    <font>
      <i/>
      <sz val="8"/>
      <color rgb="FF5959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i/>
      <sz val="9"/>
      <color rgb="FF2E7D32"/>
      <name val="Calibri"/>
      <family val="2"/>
      <scheme val="minor"/>
    </font>
    <font>
      <b/>
      <sz val="10"/>
      <color rgb="FF2E7D32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0"/>
      <color rgb="FF595959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i/>
      <sz val="11"/>
      <color rgb="FF666666"/>
      <name val="Calibri"/>
      <family val="2"/>
    </font>
    <font>
      <i/>
      <sz val="11"/>
      <color rgb="FF999999"/>
      <name val="Calibri"/>
      <family val="2"/>
    </font>
    <font>
      <b/>
      <i/>
      <sz val="10"/>
      <color rgb="FF595959"/>
      <name val="Calibri"/>
      <family val="2"/>
    </font>
    <font>
      <b/>
      <sz val="11"/>
      <color rgb="FF0000FF"/>
      <name val="Calibri"/>
      <family val="2"/>
    </font>
    <font>
      <i/>
      <sz val="10"/>
      <color rgb="FF7F6000"/>
      <name val="Calibri"/>
      <family val="2"/>
      <scheme val="minor"/>
    </font>
    <font>
      <b/>
      <i/>
      <sz val="10"/>
      <color rgb="FF44444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9"/>
      <color rgb="FFA6A6A6"/>
      <name val="Calibri"/>
      <family val="2"/>
      <scheme val="minor"/>
    </font>
    <font>
      <sz val="9"/>
      <color rgb="FF999999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1"/>
      <color rgb="FFFFFFFF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b/>
      <i/>
      <sz val="10"/>
      <color rgb="FF808080"/>
      <name val="Calibri"/>
    </font>
    <font>
      <i/>
      <sz val="10"/>
      <color rgb="FF808080"/>
      <name val="Calibri"/>
    </font>
    <font>
      <sz val="10"/>
      <color rgb="FF0000FF"/>
      <name val="Calibri"/>
    </font>
    <font>
      <sz val="9"/>
      <color rgb="FF595959"/>
      <name val="Calibri"/>
    </font>
    <font>
      <i/>
      <sz val="9"/>
      <color rgb="FF808080"/>
      <name val="Calibri"/>
    </font>
    <font>
      <b/>
      <sz val="11"/>
      <color theme="1"/>
      <name val="Calibri"/>
    </font>
    <font>
      <b/>
      <sz val="12"/>
      <color rgb="FFFFFFFF"/>
      <name val="Calibri"/>
    </font>
    <font>
      <sz val="10"/>
      <color rgb="FF1F3864"/>
      <name val="Calibri"/>
      <family val="2"/>
      <scheme val="minor"/>
    </font>
    <font>
      <b/>
      <sz val="11"/>
      <color rgb="FFC00000"/>
      <name val="Calibri"/>
    </font>
    <font>
      <sz val="11"/>
      <color rgb="FF0000FF"/>
      <name val="Calibri"/>
    </font>
    <font>
      <sz val="10"/>
      <color rgb="FFC00000"/>
      <name val="Calibri"/>
    </font>
    <font>
      <b/>
      <sz val="11"/>
      <color rgb="FF1F3864"/>
      <name val="Calibri"/>
    </font>
    <font>
      <b/>
      <sz val="11"/>
      <color rgb="FF0000FF"/>
      <name val="Calibri"/>
    </font>
    <font>
      <b/>
      <sz val="11"/>
      <color rgb="FF008000"/>
      <name val="Calibri"/>
    </font>
    <font>
      <sz val="10"/>
      <color rgb="FF008000"/>
      <name val="Calibri"/>
    </font>
    <font>
      <b/>
      <sz val="10"/>
      <color rgb="FF008000"/>
      <name val="Calibri"/>
    </font>
    <font>
      <sz val="11"/>
      <color theme="1"/>
      <name val="Calibri"/>
    </font>
    <font>
      <b/>
      <sz val="12"/>
      <color rgb="FF008000"/>
      <name val="Calibri"/>
    </font>
    <font>
      <b/>
      <i/>
      <sz val="9"/>
      <color rgb="FF595959"/>
      <name val="Calibri"/>
    </font>
    <font>
      <b/>
      <sz val="10"/>
      <color rgb="FFC00000"/>
      <name val="Calibri"/>
    </font>
    <font>
      <b/>
      <i/>
      <sz val="12"/>
      <color rgb="FFFFFFFF"/>
      <name val="Calibri"/>
    </font>
    <font>
      <sz val="10"/>
      <color rgb="FF595959"/>
      <name val="Calibri"/>
    </font>
    <font>
      <i/>
      <sz val="10"/>
      <color rgb="FF595959"/>
      <name val="Calibri"/>
    </font>
    <font>
      <b/>
      <sz val="12"/>
      <color theme="1"/>
      <name val="Calibri"/>
    </font>
    <font>
      <b/>
      <sz val="12"/>
      <color rgb="FFC00000"/>
      <name val="Calibri"/>
    </font>
    <font>
      <b/>
      <sz val="12"/>
      <color rgb="FF1F3864"/>
      <name val="Calibri"/>
    </font>
    <font>
      <b/>
      <sz val="11"/>
      <color rgb="FF595959"/>
      <name val="Calibri"/>
    </font>
    <font>
      <i/>
      <sz val="10"/>
      <color rgb="FF909090"/>
      <name val="Calibri"/>
    </font>
    <font>
      <i/>
      <sz val="10"/>
      <color theme="1"/>
      <name val="Calibri"/>
    </font>
    <font>
      <b/>
      <sz val="9"/>
      <color rgb="FF595959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0F8"/>
        <bgColor indexed="64"/>
      </patternFill>
    </fill>
    <fill>
      <patternFill patternType="solid">
        <fgColor rgb="FF5B7FB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D9E2F3"/>
        <bgColor indexed="64"/>
      </patternFill>
    </fill>
  </fills>
  <borders count="13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medium">
        <color auto="1"/>
      </top>
      <bottom style="thin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BFBFBF"/>
      </bottom>
      <diagonal/>
    </border>
    <border>
      <left/>
      <right style="thin">
        <color auto="1"/>
      </right>
      <top style="medium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medium">
        <color auto="1"/>
      </bottom>
      <diagonal/>
    </border>
    <border>
      <left/>
      <right style="thin">
        <color auto="1"/>
      </right>
      <top style="thin">
        <color rgb="FFBFBFBF"/>
      </top>
      <bottom style="medium">
        <color auto="1"/>
      </bottom>
      <diagonal/>
    </border>
    <border>
      <left style="thin">
        <color auto="1"/>
      </left>
      <right/>
      <top style="thin">
        <color rgb="FFBFBFBF"/>
      </top>
      <bottom/>
      <diagonal/>
    </border>
    <border>
      <left/>
      <right style="thin">
        <color auto="1"/>
      </right>
      <top style="thin">
        <color rgb="FFBFBFBF"/>
      </top>
      <bottom/>
      <diagonal/>
    </border>
    <border>
      <left style="thin">
        <color auto="1"/>
      </left>
      <right/>
      <top style="medium">
        <color rgb="FFBFBFBF"/>
      </top>
      <bottom style="medium">
        <color rgb="FFBFBFBF"/>
      </bottom>
      <diagonal/>
    </border>
    <border>
      <left/>
      <right style="thin">
        <color auto="1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auto="1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ck">
        <color rgb="FF2F5496"/>
      </left>
      <right/>
      <top/>
      <bottom/>
      <diagonal/>
    </border>
    <border>
      <left/>
      <right/>
      <top style="medium">
        <color rgb="FF2F5496"/>
      </top>
      <bottom/>
      <diagonal/>
    </border>
    <border>
      <left style="thick">
        <color rgb="FF2F5496"/>
      </left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/>
      <bottom/>
      <diagonal/>
    </border>
    <border>
      <left style="thin">
        <color rgb="FF1F3864"/>
      </left>
      <right/>
      <top/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/>
      <bottom/>
      <diagonal/>
    </border>
    <border>
      <left style="medium">
        <color rgb="FF1F3864"/>
      </left>
      <right style="thin">
        <color rgb="FF1F3864"/>
      </right>
      <top/>
      <bottom style="medium">
        <color rgb="FF1F38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1F3864"/>
      </top>
      <bottom style="thin">
        <color rgb="FF1F3864"/>
      </bottom>
      <diagonal/>
    </border>
    <border>
      <left/>
      <right style="thin">
        <color rgb="FFBFBFBF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F38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/>
      <diagonal/>
    </border>
    <border>
      <left style="thin">
        <color auto="1"/>
      </left>
      <right style="thin">
        <color rgb="FFD0D0D0"/>
      </right>
      <top/>
      <bottom style="thin">
        <color rgb="FFD0D0D0"/>
      </bottom>
      <diagonal/>
    </border>
    <border>
      <left style="thin">
        <color auto="1"/>
      </left>
      <right/>
      <top style="thin">
        <color rgb="FF000000"/>
      </top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000000"/>
      </top>
      <bottom style="medium">
        <color rgb="FF000000"/>
      </bottom>
      <diagonal/>
    </border>
    <border>
      <left style="thin">
        <color rgb="FFD0D0D0"/>
      </left>
      <right/>
      <top style="thin">
        <color rgb="FF000000"/>
      </top>
      <bottom style="medium">
        <color rgb="FF000000"/>
      </bottom>
      <diagonal/>
    </border>
    <border>
      <left style="thin">
        <color rgb="FFD0D0D0"/>
      </left>
      <right/>
      <top style="thin">
        <color rgb="FFD0D0D0"/>
      </top>
      <bottom/>
      <diagonal/>
    </border>
  </borders>
  <cellStyleXfs count="1">
    <xf numFmtId="0" fontId="0" fillId="0" borderId="0"/>
  </cellStyleXfs>
  <cellXfs count="1592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2" fillId="0" borderId="0" xfId="0" applyFont="1"/>
    <xf numFmtId="3" fontId="5" fillId="0" borderId="0" xfId="0" applyNumberFormat="1" applyFont="1"/>
    <xf numFmtId="167" fontId="5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5" fontId="5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2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168" fontId="5" fillId="6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8" fontId="7" fillId="5" borderId="0" xfId="0" applyNumberFormat="1" applyFont="1" applyFill="1" applyAlignment="1">
      <alignment horizontal="right" vertical="center"/>
    </xf>
    <xf numFmtId="164" fontId="20" fillId="0" borderId="0" xfId="0" applyNumberFormat="1" applyFont="1" applyAlignment="1">
      <alignment horizontal="right"/>
    </xf>
    <xf numFmtId="171" fontId="20" fillId="8" borderId="0" xfId="0" applyNumberFormat="1" applyFont="1" applyFill="1" applyAlignment="1">
      <alignment horizontal="right"/>
    </xf>
    <xf numFmtId="0" fontId="22" fillId="0" borderId="0" xfId="0" applyFont="1"/>
    <xf numFmtId="171" fontId="20" fillId="0" borderId="0" xfId="0" applyNumberFormat="1" applyFont="1" applyAlignment="1">
      <alignment horizontal="right"/>
    </xf>
    <xf numFmtId="1" fontId="20" fillId="8" borderId="0" xfId="0" applyNumberFormat="1" applyFont="1" applyFill="1" applyAlignment="1">
      <alignment horizontal="right"/>
    </xf>
    <xf numFmtId="172" fontId="22" fillId="0" borderId="0" xfId="0" applyNumberFormat="1" applyFont="1" applyAlignment="1">
      <alignment horizontal="right"/>
    </xf>
    <xf numFmtId="0" fontId="27" fillId="0" borderId="0" xfId="0" applyFont="1"/>
    <xf numFmtId="171" fontId="27" fillId="0" borderId="0" xfId="0" applyNumberFormat="1" applyFont="1"/>
    <xf numFmtId="171" fontId="27" fillId="9" borderId="0" xfId="0" applyNumberFormat="1" applyFont="1" applyFill="1"/>
    <xf numFmtId="0" fontId="31" fillId="0" borderId="0" xfId="0" applyFont="1"/>
    <xf numFmtId="173" fontId="8" fillId="0" borderId="0" xfId="0" applyNumberFormat="1" applyFont="1"/>
    <xf numFmtId="173" fontId="7" fillId="0" borderId="0" xfId="0" applyNumberFormat="1" applyFont="1"/>
    <xf numFmtId="173" fontId="0" fillId="0" borderId="0" xfId="0" applyNumberFormat="1"/>
    <xf numFmtId="173" fontId="5" fillId="0" borderId="0" xfId="0" applyNumberFormat="1" applyFont="1"/>
    <xf numFmtId="172" fontId="8" fillId="0" borderId="0" xfId="0" applyNumberFormat="1" applyFont="1"/>
    <xf numFmtId="49" fontId="31" fillId="0" borderId="0" xfId="0" applyNumberFormat="1" applyFont="1" applyAlignment="1">
      <alignment horizontal="right"/>
    </xf>
    <xf numFmtId="49" fontId="33" fillId="0" borderId="0" xfId="0" applyNumberFormat="1" applyFont="1" applyAlignment="1">
      <alignment horizontal="right"/>
    </xf>
    <xf numFmtId="10" fontId="8" fillId="0" borderId="0" xfId="0" applyNumberFormat="1" applyFont="1"/>
    <xf numFmtId="0" fontId="35" fillId="0" borderId="0" xfId="0" applyFont="1"/>
    <xf numFmtId="0" fontId="27" fillId="0" borderId="0" xfId="0" quotePrefix="1" applyFont="1"/>
    <xf numFmtId="0" fontId="48" fillId="12" borderId="1" xfId="0" applyFont="1" applyFill="1" applyBorder="1" applyAlignment="1">
      <alignment horizontal="center"/>
    </xf>
    <xf numFmtId="0" fontId="28" fillId="0" borderId="0" xfId="0" applyFont="1"/>
    <xf numFmtId="0" fontId="17" fillId="0" borderId="0" xfId="0" applyFont="1" applyAlignment="1">
      <alignment wrapText="1"/>
    </xf>
    <xf numFmtId="0" fontId="48" fillId="12" borderId="0" xfId="0" applyFont="1" applyFill="1"/>
    <xf numFmtId="0" fontId="4" fillId="12" borderId="0" xfId="0" applyFont="1" applyFill="1" applyAlignment="1">
      <alignment horizontal="center" vertical="center"/>
    </xf>
    <xf numFmtId="173" fontId="5" fillId="0" borderId="0" xfId="0" applyNumberFormat="1" applyFont="1" applyAlignment="1">
      <alignment horizontal="right" vertical="center"/>
    </xf>
    <xf numFmtId="173" fontId="7" fillId="0" borderId="0" xfId="0" applyNumberFormat="1" applyFont="1" applyAlignment="1">
      <alignment horizontal="right" vertical="center"/>
    </xf>
    <xf numFmtId="0" fontId="7" fillId="6" borderId="0" xfId="0" applyFont="1" applyFill="1"/>
    <xf numFmtId="0" fontId="7" fillId="6" borderId="0" xfId="0" applyFont="1" applyFill="1" applyAlignment="1">
      <alignment horizontal="left" vertical="center" wrapText="1"/>
    </xf>
    <xf numFmtId="0" fontId="15" fillId="6" borderId="0" xfId="0" applyFont="1" applyFill="1"/>
    <xf numFmtId="173" fontId="5" fillId="6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/>
    <xf numFmtId="0" fontId="19" fillId="8" borderId="0" xfId="0" applyFont="1" applyFill="1"/>
    <xf numFmtId="173" fontId="20" fillId="8" borderId="0" xfId="0" applyNumberFormat="1" applyFont="1" applyFill="1" applyAlignment="1">
      <alignment horizontal="right"/>
    </xf>
    <xf numFmtId="0" fontId="21" fillId="8" borderId="0" xfId="0" applyFont="1" applyFill="1"/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3" fontId="20" fillId="0" borderId="0" xfId="0" applyNumberFormat="1" applyFont="1" applyAlignment="1">
      <alignment horizontal="right"/>
    </xf>
    <xf numFmtId="173" fontId="19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 vertical="center"/>
    </xf>
    <xf numFmtId="173" fontId="26" fillId="0" borderId="0" xfId="0" applyNumberFormat="1" applyFont="1"/>
    <xf numFmtId="0" fontId="0" fillId="9" borderId="0" xfId="0" applyFill="1"/>
    <xf numFmtId="0" fontId="55" fillId="0" borderId="0" xfId="0" applyFont="1"/>
    <xf numFmtId="171" fontId="5" fillId="0" borderId="0" xfId="0" applyNumberFormat="1" applyFont="1"/>
    <xf numFmtId="171" fontId="4" fillId="0" borderId="0" xfId="0" applyNumberFormat="1" applyFont="1"/>
    <xf numFmtId="164" fontId="4" fillId="0" borderId="0" xfId="0" applyNumberFormat="1" applyFont="1"/>
    <xf numFmtId="0" fontId="60" fillId="0" borderId="0" xfId="0" applyFont="1"/>
    <xf numFmtId="2" fontId="27" fillId="0" borderId="0" xfId="0" applyNumberFormat="1" applyFont="1"/>
    <xf numFmtId="176" fontId="0" fillId="0" borderId="0" xfId="0" applyNumberFormat="1"/>
    <xf numFmtId="0" fontId="27" fillId="8" borderId="0" xfId="0" quotePrefix="1" applyFont="1" applyFill="1"/>
    <xf numFmtId="171" fontId="27" fillId="8" borderId="0" xfId="0" applyNumberFormat="1" applyFont="1" applyFill="1"/>
    <xf numFmtId="179" fontId="27" fillId="8" borderId="0" xfId="0" applyNumberFormat="1" applyFont="1" applyFill="1"/>
    <xf numFmtId="171" fontId="8" fillId="0" borderId="0" xfId="0" applyNumberFormat="1" applyFont="1"/>
    <xf numFmtId="171" fontId="61" fillId="0" borderId="0" xfId="0" applyNumberFormat="1" applyFont="1"/>
    <xf numFmtId="169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24" xfId="0" applyBorder="1"/>
    <xf numFmtId="0" fontId="19" fillId="0" borderId="22" xfId="0" applyFont="1" applyBorder="1"/>
    <xf numFmtId="0" fontId="19" fillId="0" borderId="24" xfId="0" applyFont="1" applyBorder="1"/>
    <xf numFmtId="0" fontId="19" fillId="0" borderId="22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171" fontId="25" fillId="0" borderId="23" xfId="0" applyNumberFormat="1" applyFont="1" applyBorder="1" applyAlignment="1">
      <alignment horizontal="right"/>
    </xf>
    <xf numFmtId="171" fontId="20" fillId="0" borderId="25" xfId="0" applyNumberFormat="1" applyFont="1" applyBorder="1" applyAlignment="1">
      <alignment horizontal="right"/>
    </xf>
    <xf numFmtId="164" fontId="25" fillId="0" borderId="25" xfId="0" applyNumberFormat="1" applyFont="1" applyBorder="1" applyAlignment="1">
      <alignment horizontal="right"/>
    </xf>
    <xf numFmtId="171" fontId="19" fillId="0" borderId="25" xfId="0" applyNumberFormat="1" applyFont="1" applyBorder="1" applyAlignment="1">
      <alignment horizontal="right"/>
    </xf>
    <xf numFmtId="9" fontId="20" fillId="0" borderId="25" xfId="0" applyNumberFormat="1" applyFont="1" applyBorder="1" applyAlignment="1">
      <alignment horizontal="right"/>
    </xf>
    <xf numFmtId="171" fontId="20" fillId="0" borderId="27" xfId="0" applyNumberFormat="1" applyFont="1" applyBorder="1" applyAlignment="1">
      <alignment horizontal="right"/>
    </xf>
    <xf numFmtId="2" fontId="0" fillId="9" borderId="0" xfId="0" applyNumberFormat="1" applyFill="1"/>
    <xf numFmtId="0" fontId="19" fillId="9" borderId="0" xfId="0" applyFont="1" applyFill="1"/>
    <xf numFmtId="0" fontId="66" fillId="0" borderId="0" xfId="0" applyFont="1"/>
    <xf numFmtId="0" fontId="19" fillId="9" borderId="17" xfId="0" applyFont="1" applyFill="1" applyBorder="1"/>
    <xf numFmtId="0" fontId="19" fillId="0" borderId="17" xfId="0" applyFont="1" applyBorder="1"/>
    <xf numFmtId="0" fontId="65" fillId="18" borderId="28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center"/>
    </xf>
    <xf numFmtId="0" fontId="65" fillId="18" borderId="29" xfId="0" applyFont="1" applyFill="1" applyBorder="1" applyAlignment="1">
      <alignment horizontal="left"/>
    </xf>
    <xf numFmtId="0" fontId="19" fillId="9" borderId="30" xfId="0" applyFont="1" applyFill="1" applyBorder="1"/>
    <xf numFmtId="0" fontId="19" fillId="9" borderId="3" xfId="0" applyFont="1" applyFill="1" applyBorder="1"/>
    <xf numFmtId="0" fontId="66" fillId="9" borderId="3" xfId="0" applyFont="1" applyFill="1" applyBorder="1"/>
    <xf numFmtId="0" fontId="19" fillId="9" borderId="32" xfId="0" applyFont="1" applyFill="1" applyBorder="1"/>
    <xf numFmtId="0" fontId="19" fillId="9" borderId="33" xfId="0" applyFont="1" applyFill="1" applyBorder="1"/>
    <xf numFmtId="0" fontId="19" fillId="0" borderId="38" xfId="0" applyFont="1" applyBorder="1"/>
    <xf numFmtId="0" fontId="19" fillId="0" borderId="39" xfId="0" applyFont="1" applyBorder="1"/>
    <xf numFmtId="0" fontId="66" fillId="0" borderId="39" xfId="0" applyFont="1" applyBorder="1"/>
    <xf numFmtId="0" fontId="19" fillId="9" borderId="35" xfId="0" applyFont="1" applyFill="1" applyBorder="1"/>
    <xf numFmtId="0" fontId="19" fillId="9" borderId="36" xfId="0" applyFont="1" applyFill="1" applyBorder="1"/>
    <xf numFmtId="0" fontId="66" fillId="9" borderId="36" xfId="0" applyFont="1" applyFill="1" applyBorder="1"/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9" borderId="33" xfId="0" applyFont="1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170" fontId="20" fillId="9" borderId="0" xfId="0" applyNumberFormat="1" applyFont="1" applyFill="1" applyAlignment="1">
      <alignment horizontal="right"/>
    </xf>
    <xf numFmtId="169" fontId="20" fillId="9" borderId="0" xfId="0" applyNumberFormat="1" applyFont="1" applyFill="1" applyAlignment="1">
      <alignment horizontal="right"/>
    </xf>
    <xf numFmtId="9" fontId="20" fillId="9" borderId="0" xfId="0" applyNumberFormat="1" applyFont="1" applyFill="1" applyAlignment="1">
      <alignment horizontal="right"/>
    </xf>
    <xf numFmtId="2" fontId="19" fillId="9" borderId="0" xfId="0" applyNumberFormat="1" applyFont="1" applyFill="1" applyAlignment="1">
      <alignment horizontal="right"/>
    </xf>
    <xf numFmtId="170" fontId="20" fillId="0" borderId="0" xfId="0" applyNumberFormat="1" applyFont="1" applyAlignment="1">
      <alignment horizontal="right"/>
    </xf>
    <xf numFmtId="169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170" fontId="20" fillId="9" borderId="33" xfId="0" applyNumberFormat="1" applyFont="1" applyFill="1" applyBorder="1" applyAlignment="1">
      <alignment horizontal="right"/>
    </xf>
    <xf numFmtId="169" fontId="20" fillId="9" borderId="33" xfId="0" applyNumberFormat="1" applyFont="1" applyFill="1" applyBorder="1" applyAlignment="1">
      <alignment horizontal="right"/>
    </xf>
    <xf numFmtId="9" fontId="20" fillId="9" borderId="33" xfId="0" applyNumberFormat="1" applyFont="1" applyFill="1" applyBorder="1" applyAlignment="1">
      <alignment horizontal="right"/>
    </xf>
    <xf numFmtId="2" fontId="19" fillId="9" borderId="33" xfId="0" applyNumberFormat="1" applyFont="1" applyFill="1" applyBorder="1" applyAlignment="1">
      <alignment horizontal="right"/>
    </xf>
    <xf numFmtId="170" fontId="20" fillId="0" borderId="39" xfId="0" applyNumberFormat="1" applyFont="1" applyBorder="1" applyAlignment="1">
      <alignment horizontal="right"/>
    </xf>
    <xf numFmtId="169" fontId="20" fillId="0" borderId="39" xfId="0" applyNumberFormat="1" applyFont="1" applyBorder="1" applyAlignment="1">
      <alignment horizontal="right"/>
    </xf>
    <xf numFmtId="9" fontId="20" fillId="0" borderId="39" xfId="0" applyNumberFormat="1" applyFont="1" applyBorder="1" applyAlignment="1">
      <alignment horizontal="right"/>
    </xf>
    <xf numFmtId="2" fontId="19" fillId="0" borderId="39" xfId="0" applyNumberFormat="1" applyFont="1" applyBorder="1" applyAlignment="1">
      <alignment horizontal="right"/>
    </xf>
    <xf numFmtId="170" fontId="20" fillId="9" borderId="36" xfId="0" applyNumberFormat="1" applyFont="1" applyFill="1" applyBorder="1" applyAlignment="1">
      <alignment horizontal="right"/>
    </xf>
    <xf numFmtId="169" fontId="20" fillId="9" borderId="36" xfId="0" applyNumberFormat="1" applyFont="1" applyFill="1" applyBorder="1" applyAlignment="1">
      <alignment horizontal="right"/>
    </xf>
    <xf numFmtId="9" fontId="20" fillId="9" borderId="36" xfId="0" applyNumberFormat="1" applyFont="1" applyFill="1" applyBorder="1" applyAlignment="1">
      <alignment horizontal="right"/>
    </xf>
    <xf numFmtId="2" fontId="19" fillId="9" borderId="36" xfId="0" applyNumberFormat="1" applyFont="1" applyFill="1" applyBorder="1" applyAlignment="1">
      <alignment horizontal="right"/>
    </xf>
    <xf numFmtId="0" fontId="19" fillId="0" borderId="0" xfId="0" applyFont="1" applyAlignment="1">
      <alignment horizontal="right"/>
    </xf>
    <xf numFmtId="170" fontId="20" fillId="9" borderId="3" xfId="0" applyNumberFormat="1" applyFont="1" applyFill="1" applyBorder="1" applyAlignment="1">
      <alignment horizontal="right"/>
    </xf>
    <xf numFmtId="0" fontId="19" fillId="9" borderId="3" xfId="0" applyFont="1" applyFill="1" applyBorder="1" applyAlignment="1">
      <alignment horizontal="right"/>
    </xf>
    <xf numFmtId="0" fontId="63" fillId="9" borderId="20" xfId="0" applyFont="1" applyFill="1" applyBorder="1" applyAlignment="1">
      <alignment wrapText="1"/>
    </xf>
    <xf numFmtId="0" fontId="63" fillId="0" borderId="20" xfId="0" applyFont="1" applyBorder="1" applyAlignment="1">
      <alignment wrapText="1"/>
    </xf>
    <xf numFmtId="0" fontId="63" fillId="9" borderId="34" xfId="0" applyFont="1" applyFill="1" applyBorder="1" applyAlignment="1">
      <alignment wrapText="1"/>
    </xf>
    <xf numFmtId="0" fontId="63" fillId="0" borderId="40" xfId="0" applyFont="1" applyBorder="1" applyAlignment="1">
      <alignment wrapText="1"/>
    </xf>
    <xf numFmtId="0" fontId="63" fillId="9" borderId="37" xfId="0" applyFont="1" applyFill="1" applyBorder="1" applyAlignment="1">
      <alignment wrapText="1"/>
    </xf>
    <xf numFmtId="0" fontId="63" fillId="9" borderId="31" xfId="0" applyFont="1" applyFill="1" applyBorder="1" applyAlignment="1">
      <alignment wrapText="1"/>
    </xf>
    <xf numFmtId="0" fontId="27" fillId="19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23" fillId="19" borderId="0" xfId="0" applyFont="1" applyFill="1" applyAlignment="1">
      <alignment horizontal="center"/>
    </xf>
    <xf numFmtId="170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171" fontId="19" fillId="0" borderId="0" xfId="0" applyNumberFormat="1" applyFont="1" applyAlignment="1">
      <alignment horizontal="right"/>
    </xf>
    <xf numFmtId="0" fontId="23" fillId="0" borderId="17" xfId="0" applyFont="1" applyBorder="1"/>
    <xf numFmtId="0" fontId="23" fillId="19" borderId="20" xfId="0" applyFont="1" applyFill="1" applyBorder="1" applyAlignment="1">
      <alignment horizontal="center"/>
    </xf>
    <xf numFmtId="170" fontId="23" fillId="0" borderId="20" xfId="0" applyNumberFormat="1" applyFont="1" applyBorder="1" applyAlignment="1">
      <alignment horizontal="right"/>
    </xf>
    <xf numFmtId="169" fontId="23" fillId="0" borderId="20" xfId="0" applyNumberFormat="1" applyFont="1" applyBorder="1" applyAlignment="1">
      <alignment horizontal="right"/>
    </xf>
    <xf numFmtId="171" fontId="23" fillId="0" borderId="20" xfId="0" applyNumberFormat="1" applyFont="1" applyBorder="1" applyAlignment="1">
      <alignment horizontal="right"/>
    </xf>
    <xf numFmtId="0" fontId="19" fillId="0" borderId="30" xfId="0" applyFont="1" applyBorder="1"/>
    <xf numFmtId="171" fontId="19" fillId="0" borderId="3" xfId="0" applyNumberFormat="1" applyFont="1" applyBorder="1" applyAlignment="1">
      <alignment horizontal="right"/>
    </xf>
    <xf numFmtId="171" fontId="23" fillId="0" borderId="31" xfId="0" applyNumberFormat="1" applyFont="1" applyBorder="1" applyAlignment="1">
      <alignment horizontal="right"/>
    </xf>
    <xf numFmtId="0" fontId="23" fillId="0" borderId="38" xfId="0" applyFont="1" applyBorder="1"/>
    <xf numFmtId="0" fontId="19" fillId="0" borderId="39" xfId="0" applyFont="1" applyBorder="1" applyAlignment="1">
      <alignment horizontal="right"/>
    </xf>
    <xf numFmtId="0" fontId="23" fillId="0" borderId="40" xfId="0" applyFont="1" applyBorder="1" applyAlignment="1">
      <alignment horizontal="right"/>
    </xf>
    <xf numFmtId="0" fontId="19" fillId="0" borderId="44" xfId="0" applyFont="1" applyBorder="1"/>
    <xf numFmtId="171" fontId="23" fillId="0" borderId="45" xfId="0" applyNumberFormat="1" applyFont="1" applyBorder="1" applyAlignment="1">
      <alignment horizontal="right"/>
    </xf>
    <xf numFmtId="0" fontId="19" fillId="0" borderId="48" xfId="0" applyFont="1" applyBorder="1"/>
    <xf numFmtId="171" fontId="23" fillId="0" borderId="49" xfId="0" applyNumberFormat="1" applyFont="1" applyBorder="1" applyAlignment="1">
      <alignment horizontal="right"/>
    </xf>
    <xf numFmtId="0" fontId="23" fillId="8" borderId="50" xfId="0" applyFont="1" applyFill="1" applyBorder="1"/>
    <xf numFmtId="171" fontId="23" fillId="8" borderId="51" xfId="0" applyNumberFormat="1" applyFont="1" applyFill="1" applyBorder="1" applyAlignment="1">
      <alignment horizontal="right"/>
    </xf>
    <xf numFmtId="171" fontId="20" fillId="0" borderId="23" xfId="0" applyNumberFormat="1" applyFont="1" applyBorder="1" applyAlignment="1">
      <alignment horizontal="right"/>
    </xf>
    <xf numFmtId="170" fontId="19" fillId="0" borderId="25" xfId="0" applyNumberFormat="1" applyFont="1" applyBorder="1" applyAlignment="1">
      <alignment horizontal="right"/>
    </xf>
    <xf numFmtId="169" fontId="19" fillId="0" borderId="25" xfId="0" applyNumberFormat="1" applyFont="1" applyBorder="1" applyAlignment="1">
      <alignment horizontal="right"/>
    </xf>
    <xf numFmtId="0" fontId="19" fillId="9" borderId="26" xfId="0" applyFont="1" applyFill="1" applyBorder="1"/>
    <xf numFmtId="0" fontId="63" fillId="9" borderId="27" xfId="0" applyFont="1" applyFill="1" applyBorder="1" applyAlignment="1">
      <alignment wrapText="1"/>
    </xf>
    <xf numFmtId="0" fontId="23" fillId="19" borderId="44" xfId="0" applyFont="1" applyFill="1" applyBorder="1" applyAlignment="1">
      <alignment horizontal="left"/>
    </xf>
    <xf numFmtId="0" fontId="23" fillId="19" borderId="52" xfId="0" applyFont="1" applyFill="1" applyBorder="1" applyAlignment="1">
      <alignment horizontal="center"/>
    </xf>
    <xf numFmtId="0" fontId="23" fillId="19" borderId="0" xfId="0" applyFont="1" applyFill="1"/>
    <xf numFmtId="0" fontId="27" fillId="0" borderId="18" xfId="0" applyFont="1" applyBorder="1"/>
    <xf numFmtId="0" fontId="27" fillId="0" borderId="46" xfId="0" applyFont="1" applyBorder="1"/>
    <xf numFmtId="0" fontId="23" fillId="0" borderId="55" xfId="0" applyFont="1" applyBorder="1"/>
    <xf numFmtId="0" fontId="19" fillId="0" borderId="55" xfId="0" applyFont="1" applyBorder="1"/>
    <xf numFmtId="0" fontId="4" fillId="0" borderId="14" xfId="0" applyFont="1" applyBorder="1"/>
    <xf numFmtId="0" fontId="5" fillId="0" borderId="20" xfId="0" applyFont="1" applyBorder="1"/>
    <xf numFmtId="0" fontId="5" fillId="0" borderId="23" xfId="0" applyFont="1" applyBorder="1"/>
    <xf numFmtId="0" fontId="5" fillId="0" borderId="25" xfId="0" applyFont="1" applyBorder="1"/>
    <xf numFmtId="0" fontId="5" fillId="0" borderId="27" xfId="0" applyFont="1" applyBorder="1"/>
    <xf numFmtId="0" fontId="4" fillId="9" borderId="22" xfId="0" applyFont="1" applyFill="1" applyBorder="1"/>
    <xf numFmtId="0" fontId="4" fillId="9" borderId="24" xfId="0" applyFont="1" applyFill="1" applyBorder="1"/>
    <xf numFmtId="0" fontId="4" fillId="9" borderId="26" xfId="0" applyFont="1" applyFill="1" applyBorder="1"/>
    <xf numFmtId="0" fontId="7" fillId="9" borderId="0" xfId="0" applyFont="1" applyFill="1"/>
    <xf numFmtId="0" fontId="72" fillId="2" borderId="0" xfId="0" applyFont="1" applyFill="1"/>
    <xf numFmtId="0" fontId="41" fillId="8" borderId="0" xfId="0" applyFont="1" applyFill="1"/>
    <xf numFmtId="0" fontId="30" fillId="8" borderId="0" xfId="0" applyFont="1" applyFill="1"/>
    <xf numFmtId="0" fontId="27" fillId="0" borderId="16" xfId="0" applyFont="1" applyBorder="1"/>
    <xf numFmtId="0" fontId="27" fillId="0" borderId="44" xfId="0" applyFont="1" applyBorder="1"/>
    <xf numFmtId="0" fontId="27" fillId="0" borderId="24" xfId="0" quotePrefix="1" applyFont="1" applyBorder="1"/>
    <xf numFmtId="0" fontId="27" fillId="0" borderId="24" xfId="0" applyFont="1" applyBorder="1"/>
    <xf numFmtId="176" fontId="24" fillId="0" borderId="25" xfId="0" applyNumberFormat="1" applyFont="1" applyBorder="1" applyAlignment="1">
      <alignment horizontal="right"/>
    </xf>
    <xf numFmtId="0" fontId="0" fillId="0" borderId="25" xfId="0" applyBorder="1" applyAlignment="1">
      <alignment horizontal="right"/>
    </xf>
    <xf numFmtId="171" fontId="42" fillId="0" borderId="45" xfId="0" applyNumberFormat="1" applyFont="1" applyBorder="1" applyAlignment="1">
      <alignment horizontal="right"/>
    </xf>
    <xf numFmtId="171" fontId="24" fillId="0" borderId="25" xfId="0" applyNumberFormat="1" applyFont="1" applyBorder="1" applyAlignment="1">
      <alignment horizontal="right"/>
    </xf>
    <xf numFmtId="171" fontId="43" fillId="0" borderId="25" xfId="0" applyNumberFormat="1" applyFont="1" applyBorder="1" applyAlignment="1">
      <alignment horizontal="right"/>
    </xf>
    <xf numFmtId="171" fontId="42" fillId="0" borderId="47" xfId="0" applyNumberFormat="1" applyFont="1" applyBorder="1" applyAlignment="1">
      <alignment horizontal="right"/>
    </xf>
    <xf numFmtId="0" fontId="27" fillId="0" borderId="26" xfId="0" applyFont="1" applyBorder="1"/>
    <xf numFmtId="164" fontId="27" fillId="0" borderId="25" xfId="0" applyNumberFormat="1" applyFont="1" applyBorder="1" applyAlignment="1">
      <alignment horizontal="right"/>
    </xf>
    <xf numFmtId="164" fontId="27" fillId="0" borderId="27" xfId="0" applyNumberFormat="1" applyFont="1" applyBorder="1" applyAlignment="1">
      <alignment horizontal="right"/>
    </xf>
    <xf numFmtId="0" fontId="30" fillId="9" borderId="22" xfId="0" applyFont="1" applyFill="1" applyBorder="1"/>
    <xf numFmtId="171" fontId="74" fillId="9" borderId="23" xfId="0" applyNumberFormat="1" applyFont="1" applyFill="1" applyBorder="1" applyAlignment="1">
      <alignment horizontal="right"/>
    </xf>
    <xf numFmtId="176" fontId="24" fillId="0" borderId="20" xfId="0" applyNumberFormat="1" applyFont="1" applyBorder="1" applyAlignment="1">
      <alignment horizontal="right"/>
    </xf>
    <xf numFmtId="171" fontId="42" fillId="0" borderId="19" xfId="0" applyNumberFormat="1" applyFont="1" applyBorder="1" applyAlignment="1">
      <alignment horizontal="right"/>
    </xf>
    <xf numFmtId="164" fontId="27" fillId="0" borderId="21" xfId="0" applyNumberFormat="1" applyFont="1" applyBorder="1" applyAlignment="1">
      <alignment horizontal="right"/>
    </xf>
    <xf numFmtId="0" fontId="28" fillId="0" borderId="17" xfId="0" applyFont="1" applyBorder="1"/>
    <xf numFmtId="0" fontId="51" fillId="0" borderId="18" xfId="0" applyFont="1" applyBorder="1" applyAlignment="1">
      <alignment wrapText="1"/>
    </xf>
    <xf numFmtId="1" fontId="45" fillId="0" borderId="19" xfId="0" applyNumberFormat="1" applyFont="1" applyBorder="1" applyAlignment="1">
      <alignment horizontal="right"/>
    </xf>
    <xf numFmtId="1" fontId="37" fillId="0" borderId="20" xfId="0" applyNumberFormat="1" applyFont="1" applyBorder="1" applyAlignment="1">
      <alignment horizontal="right"/>
    </xf>
    <xf numFmtId="1" fontId="39" fillId="0" borderId="20" xfId="0" applyNumberFormat="1" applyFont="1" applyBorder="1" applyAlignment="1">
      <alignment horizontal="right"/>
    </xf>
    <xf numFmtId="0" fontId="27" fillId="0" borderId="21" xfId="0" applyFont="1" applyBorder="1" applyAlignment="1">
      <alignment horizontal="right"/>
    </xf>
    <xf numFmtId="0" fontId="0" fillId="0" borderId="0" xfId="0" applyAlignment="1">
      <alignment wrapText="1"/>
    </xf>
    <xf numFmtId="0" fontId="22" fillId="9" borderId="0" xfId="0" applyFont="1" applyFill="1"/>
    <xf numFmtId="173" fontId="19" fillId="9" borderId="0" xfId="0" applyNumberFormat="1" applyFont="1" applyFill="1"/>
    <xf numFmtId="0" fontId="55" fillId="9" borderId="0" xfId="0" applyFont="1" applyFill="1"/>
    <xf numFmtId="173" fontId="19" fillId="0" borderId="0" xfId="0" applyNumberFormat="1" applyFont="1"/>
    <xf numFmtId="178" fontId="19" fillId="9" borderId="0" xfId="0" applyNumberFormat="1" applyFont="1" applyFill="1"/>
    <xf numFmtId="178" fontId="23" fillId="9" borderId="0" xfId="0" applyNumberFormat="1" applyFont="1" applyFill="1"/>
    <xf numFmtId="178" fontId="22" fillId="0" borderId="0" xfId="0" applyNumberFormat="1" applyFont="1"/>
    <xf numFmtId="9" fontId="20" fillId="9" borderId="0" xfId="0" applyNumberFormat="1" applyFont="1" applyFill="1" applyAlignment="1">
      <alignment horizontal="center"/>
    </xf>
    <xf numFmtId="173" fontId="23" fillId="0" borderId="0" xfId="0" applyNumberFormat="1" applyFont="1"/>
    <xf numFmtId="178" fontId="19" fillId="0" borderId="0" xfId="0" applyNumberFormat="1" applyFont="1"/>
    <xf numFmtId="178" fontId="23" fillId="0" borderId="0" xfId="0" applyNumberFormat="1" applyFont="1"/>
    <xf numFmtId="0" fontId="23" fillId="9" borderId="17" xfId="0" applyFont="1" applyFill="1" applyBorder="1"/>
    <xf numFmtId="0" fontId="65" fillId="18" borderId="41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center"/>
    </xf>
    <xf numFmtId="0" fontId="65" fillId="18" borderId="43" xfId="0" applyFont="1" applyFill="1" applyBorder="1" applyAlignment="1">
      <alignment horizontal="left"/>
    </xf>
    <xf numFmtId="0" fontId="23" fillId="9" borderId="30" xfId="0" applyFont="1" applyFill="1" applyBorder="1"/>
    <xf numFmtId="0" fontId="22" fillId="9" borderId="3" xfId="0" applyFont="1" applyFill="1" applyBorder="1"/>
    <xf numFmtId="178" fontId="19" fillId="9" borderId="3" xfId="0" applyNumberFormat="1" applyFont="1" applyFill="1" applyBorder="1"/>
    <xf numFmtId="178" fontId="23" fillId="9" borderId="3" xfId="0" applyNumberFormat="1" applyFont="1" applyFill="1" applyBorder="1"/>
    <xf numFmtId="179" fontId="19" fillId="9" borderId="0" xfId="0" applyNumberFormat="1" applyFont="1" applyFill="1"/>
    <xf numFmtId="179" fontId="23" fillId="9" borderId="0" xfId="0" applyNumberFormat="1" applyFont="1" applyFill="1"/>
    <xf numFmtId="179" fontId="22" fillId="0" borderId="0" xfId="0" applyNumberFormat="1" applyFont="1"/>
    <xf numFmtId="179" fontId="19" fillId="0" borderId="0" xfId="0" applyNumberFormat="1" applyFont="1"/>
    <xf numFmtId="179" fontId="55" fillId="9" borderId="0" xfId="0" applyNumberFormat="1" applyFont="1" applyFill="1" applyAlignment="1">
      <alignment horizontal="right"/>
    </xf>
    <xf numFmtId="179" fontId="23" fillId="0" borderId="0" xfId="0" applyNumberFormat="1" applyFont="1"/>
    <xf numFmtId="9" fontId="19" fillId="0" borderId="0" xfId="0" applyNumberFormat="1" applyFont="1"/>
    <xf numFmtId="9" fontId="19" fillId="9" borderId="0" xfId="0" applyNumberFormat="1" applyFont="1" applyFill="1"/>
    <xf numFmtId="9" fontId="20" fillId="0" borderId="0" xfId="0" applyNumberFormat="1" applyFont="1" applyAlignment="1">
      <alignment horizontal="center"/>
    </xf>
    <xf numFmtId="9" fontId="20" fillId="9" borderId="3" xfId="0" applyNumberFormat="1" applyFont="1" applyFill="1" applyBorder="1" applyAlignment="1">
      <alignment horizontal="center"/>
    </xf>
    <xf numFmtId="179" fontId="23" fillId="9" borderId="0" xfId="0" applyNumberFormat="1" applyFont="1" applyFill="1" applyAlignment="1">
      <alignment horizontal="center"/>
    </xf>
    <xf numFmtId="179" fontId="23" fillId="0" borderId="0" xfId="0" applyNumberFormat="1" applyFont="1" applyAlignment="1">
      <alignment horizontal="center"/>
    </xf>
    <xf numFmtId="179" fontId="23" fillId="9" borderId="3" xfId="0" applyNumberFormat="1" applyFont="1" applyFill="1" applyBorder="1" applyAlignment="1">
      <alignment horizontal="center"/>
    </xf>
    <xf numFmtId="0" fontId="18" fillId="9" borderId="20" xfId="0" applyFont="1" applyFill="1" applyBorder="1" applyAlignment="1">
      <alignment wrapText="1"/>
    </xf>
    <xf numFmtId="0" fontId="18" fillId="0" borderId="20" xfId="0" applyFont="1" applyBorder="1" applyAlignment="1">
      <alignment wrapText="1"/>
    </xf>
    <xf numFmtId="0" fontId="35" fillId="9" borderId="20" xfId="0" applyFont="1" applyFill="1" applyBorder="1" applyAlignment="1">
      <alignment wrapText="1"/>
    </xf>
    <xf numFmtId="0" fontId="18" fillId="9" borderId="31" xfId="0" applyFont="1" applyFill="1" applyBorder="1" applyAlignment="1">
      <alignment wrapText="1"/>
    </xf>
    <xf numFmtId="0" fontId="75" fillId="0" borderId="17" xfId="0" applyFont="1" applyBorder="1"/>
    <xf numFmtId="0" fontId="76" fillId="9" borderId="17" xfId="0" applyFont="1" applyFill="1" applyBorder="1"/>
    <xf numFmtId="0" fontId="0" fillId="0" borderId="14" xfId="0" applyBorder="1"/>
    <xf numFmtId="0" fontId="30" fillId="0" borderId="56" xfId="0" applyFont="1" applyBorder="1"/>
    <xf numFmtId="0" fontId="27" fillId="0" borderId="56" xfId="0" applyFont="1" applyBorder="1"/>
    <xf numFmtId="9" fontId="27" fillId="0" borderId="56" xfId="0" applyNumberFormat="1" applyFont="1" applyBorder="1" applyAlignment="1">
      <alignment horizontal="center"/>
    </xf>
    <xf numFmtId="0" fontId="0" fillId="0" borderId="56" xfId="0" applyBorder="1"/>
    <xf numFmtId="0" fontId="0" fillId="0" borderId="56" xfId="0" applyBorder="1" applyAlignment="1">
      <alignment wrapText="1"/>
    </xf>
    <xf numFmtId="0" fontId="29" fillId="8" borderId="13" xfId="0" applyFont="1" applyFill="1" applyBorder="1"/>
    <xf numFmtId="178" fontId="29" fillId="8" borderId="13" xfId="0" applyNumberFormat="1" applyFont="1" applyFill="1" applyBorder="1"/>
    <xf numFmtId="178" fontId="30" fillId="8" borderId="0" xfId="0" applyNumberFormat="1" applyFont="1" applyFill="1"/>
    <xf numFmtId="0" fontId="29" fillId="8" borderId="28" xfId="0" applyFont="1" applyFill="1" applyBorder="1"/>
    <xf numFmtId="0" fontId="30" fillId="8" borderId="17" xfId="0" applyFont="1" applyFill="1" applyBorder="1"/>
    <xf numFmtId="0" fontId="53" fillId="8" borderId="29" xfId="0" quotePrefix="1" applyFont="1" applyFill="1" applyBorder="1" applyAlignment="1">
      <alignment wrapText="1"/>
    </xf>
    <xf numFmtId="0" fontId="27" fillId="8" borderId="20" xfId="0" applyFont="1" applyFill="1" applyBorder="1" applyAlignment="1">
      <alignment wrapText="1"/>
    </xf>
    <xf numFmtId="0" fontId="27" fillId="8" borderId="30" xfId="0" applyFont="1" applyFill="1" applyBorder="1"/>
    <xf numFmtId="0" fontId="27" fillId="8" borderId="3" xfId="0" applyFont="1" applyFill="1" applyBorder="1"/>
    <xf numFmtId="0" fontId="51" fillId="8" borderId="31" xfId="0" applyFont="1" applyFill="1" applyBorder="1" applyAlignment="1">
      <alignment wrapText="1"/>
    </xf>
    <xf numFmtId="179" fontId="29" fillId="8" borderId="13" xfId="0" applyNumberFormat="1" applyFont="1" applyFill="1" applyBorder="1"/>
    <xf numFmtId="179" fontId="30" fillId="8" borderId="0" xfId="0" applyNumberFormat="1" applyFont="1" applyFill="1"/>
    <xf numFmtId="164" fontId="27" fillId="8" borderId="3" xfId="0" applyNumberFormat="1" applyFont="1" applyFill="1" applyBorder="1"/>
    <xf numFmtId="0" fontId="26" fillId="0" borderId="14" xfId="0" applyFont="1" applyBorder="1"/>
    <xf numFmtId="179" fontId="0" fillId="0" borderId="14" xfId="0" applyNumberFormat="1" applyBorder="1"/>
    <xf numFmtId="178" fontId="0" fillId="0" borderId="14" xfId="0" applyNumberFormat="1" applyBorder="1"/>
    <xf numFmtId="179" fontId="0" fillId="0" borderId="0" xfId="0" applyNumberFormat="1"/>
    <xf numFmtId="178" fontId="0" fillId="0" borderId="0" xfId="0" applyNumberFormat="1"/>
    <xf numFmtId="0" fontId="0" fillId="0" borderId="15" xfId="0" applyBorder="1"/>
    <xf numFmtId="179" fontId="27" fillId="0" borderId="15" xfId="0" applyNumberFormat="1" applyFont="1" applyBorder="1"/>
    <xf numFmtId="178" fontId="27" fillId="0" borderId="15" xfId="0" applyNumberFormat="1" applyFont="1" applyBorder="1"/>
    <xf numFmtId="0" fontId="26" fillId="0" borderId="16" xfId="0" applyFont="1" applyBorder="1"/>
    <xf numFmtId="0" fontId="26" fillId="0" borderId="17" xfId="0" applyFont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173" fontId="68" fillId="0" borderId="0" xfId="0" applyNumberFormat="1" applyFont="1"/>
    <xf numFmtId="0" fontId="78" fillId="0" borderId="0" xfId="0" applyFont="1"/>
    <xf numFmtId="0" fontId="77" fillId="12" borderId="0" xfId="0" applyFont="1" applyFill="1"/>
    <xf numFmtId="0" fontId="77" fillId="12" borderId="0" xfId="0" applyFont="1" applyFill="1" applyAlignment="1">
      <alignment horizontal="center"/>
    </xf>
    <xf numFmtId="173" fontId="78" fillId="0" borderId="0" xfId="0" applyNumberFormat="1" applyFont="1"/>
    <xf numFmtId="173" fontId="64" fillId="0" borderId="0" xfId="0" applyNumberFormat="1" applyFont="1"/>
    <xf numFmtId="0" fontId="13" fillId="18" borderId="1" xfId="0" applyFont="1" applyFill="1" applyBorder="1" applyAlignment="1">
      <alignment horizontal="center" vertical="center" wrapText="1"/>
    </xf>
    <xf numFmtId="164" fontId="31" fillId="0" borderId="0" xfId="0" applyNumberFormat="1" applyFont="1"/>
    <xf numFmtId="0" fontId="33" fillId="0" borderId="0" xfId="0" applyFont="1"/>
    <xf numFmtId="0" fontId="4" fillId="9" borderId="0" xfId="0" applyFont="1" applyFill="1"/>
    <xf numFmtId="0" fontId="33" fillId="9" borderId="0" xfId="0" applyFont="1" applyFill="1"/>
    <xf numFmtId="171" fontId="8" fillId="9" borderId="0" xfId="0" applyNumberFormat="1" applyFont="1" applyFill="1"/>
    <xf numFmtId="0" fontId="31" fillId="9" borderId="0" xfId="0" applyFont="1" applyFill="1"/>
    <xf numFmtId="49" fontId="33" fillId="9" borderId="0" xfId="0" applyNumberFormat="1" applyFont="1" applyFill="1" applyAlignment="1">
      <alignment horizontal="right"/>
    </xf>
    <xf numFmtId="175" fontId="31" fillId="9" borderId="0" xfId="0" applyNumberFormat="1" applyFont="1" applyFill="1"/>
    <xf numFmtId="164" fontId="36" fillId="0" borderId="0" xfId="0" applyNumberFormat="1" applyFont="1"/>
    <xf numFmtId="171" fontId="34" fillId="0" borderId="0" xfId="0" applyNumberFormat="1" applyFont="1"/>
    <xf numFmtId="0" fontId="83" fillId="0" borderId="0" xfId="0" applyFont="1"/>
    <xf numFmtId="3" fontId="4" fillId="0" borderId="0" xfId="0" applyNumberFormat="1" applyFont="1"/>
    <xf numFmtId="3" fontId="34" fillId="0" borderId="0" xfId="0" applyNumberFormat="1" applyFont="1"/>
    <xf numFmtId="3" fontId="8" fillId="9" borderId="0" xfId="0" applyNumberFormat="1" applyFont="1" applyFill="1"/>
    <xf numFmtId="169" fontId="8" fillId="9" borderId="0" xfId="0" applyNumberFormat="1" applyFont="1" applyFill="1"/>
    <xf numFmtId="166" fontId="8" fillId="9" borderId="0" xfId="0" applyNumberFormat="1" applyFont="1" applyFill="1"/>
    <xf numFmtId="171" fontId="4" fillId="9" borderId="0" xfId="0" applyNumberFormat="1" applyFont="1" applyFill="1"/>
    <xf numFmtId="3" fontId="7" fillId="9" borderId="0" xfId="0" applyNumberFormat="1" applyFont="1" applyFill="1"/>
    <xf numFmtId="0" fontId="4" fillId="8" borderId="0" xfId="0" applyFont="1" applyFill="1"/>
    <xf numFmtId="171" fontId="4" fillId="8" borderId="0" xfId="0" applyNumberFormat="1" applyFont="1" applyFill="1"/>
    <xf numFmtId="0" fontId="0" fillId="8" borderId="0" xfId="0" applyFill="1"/>
    <xf numFmtId="0" fontId="84" fillId="8" borderId="0" xfId="0" applyFont="1" applyFill="1"/>
    <xf numFmtId="3" fontId="4" fillId="8" borderId="0" xfId="0" applyNumberFormat="1" applyFont="1" applyFill="1"/>
    <xf numFmtId="171" fontId="7" fillId="0" borderId="0" xfId="0" applyNumberFormat="1" applyFont="1"/>
    <xf numFmtId="0" fontId="7" fillId="0" borderId="13" xfId="0" applyFont="1" applyBorder="1"/>
    <xf numFmtId="0" fontId="12" fillId="0" borderId="13" xfId="0" applyFont="1" applyBorder="1"/>
    <xf numFmtId="171" fontId="7" fillId="0" borderId="13" xfId="0" applyNumberFormat="1" applyFont="1" applyBorder="1"/>
    <xf numFmtId="3" fontId="7" fillId="0" borderId="13" xfId="0" applyNumberFormat="1" applyFont="1" applyBorder="1"/>
    <xf numFmtId="0" fontId="4" fillId="8" borderId="3" xfId="0" applyFont="1" applyFill="1" applyBorder="1"/>
    <xf numFmtId="0" fontId="84" fillId="8" borderId="3" xfId="0" applyFont="1" applyFill="1" applyBorder="1"/>
    <xf numFmtId="171" fontId="4" fillId="8" borderId="3" xfId="0" applyNumberFormat="1" applyFont="1" applyFill="1" applyBorder="1"/>
    <xf numFmtId="3" fontId="4" fillId="8" borderId="3" xfId="0" applyNumberFormat="1" applyFont="1" applyFill="1" applyBorder="1"/>
    <xf numFmtId="171" fontId="8" fillId="0" borderId="13" xfId="0" applyNumberFormat="1" applyFont="1" applyBorder="1"/>
    <xf numFmtId="176" fontId="4" fillId="8" borderId="3" xfId="0" applyNumberFormat="1" applyFont="1" applyFill="1" applyBorder="1"/>
    <xf numFmtId="168" fontId="4" fillId="8" borderId="3" xfId="0" applyNumberFormat="1" applyFont="1" applyFill="1" applyBorder="1"/>
    <xf numFmtId="0" fontId="84" fillId="0" borderId="0" xfId="0" applyFont="1"/>
    <xf numFmtId="0" fontId="86" fillId="0" borderId="0" xfId="0" applyFont="1"/>
    <xf numFmtId="171" fontId="86" fillId="0" borderId="0" xfId="0" applyNumberFormat="1" applyFont="1"/>
    <xf numFmtId="3" fontId="86" fillId="0" borderId="0" xfId="0" applyNumberFormat="1" applyFont="1"/>
    <xf numFmtId="164" fontId="23" fillId="0" borderId="0" xfId="0" applyNumberFormat="1" applyFont="1"/>
    <xf numFmtId="0" fontId="87" fillId="0" borderId="0" xfId="0" applyFont="1"/>
    <xf numFmtId="0" fontId="64" fillId="9" borderId="0" xfId="0" applyFont="1" applyFill="1"/>
    <xf numFmtId="0" fontId="88" fillId="9" borderId="0" xfId="0" applyFont="1" applyFill="1"/>
    <xf numFmtId="0" fontId="64" fillId="0" borderId="0" xfId="0" quotePrefix="1" applyFont="1"/>
    <xf numFmtId="0" fontId="64" fillId="0" borderId="13" xfId="0" applyFont="1" applyBorder="1"/>
    <xf numFmtId="0" fontId="79" fillId="8" borderId="3" xfId="0" applyFont="1" applyFill="1" applyBorder="1"/>
    <xf numFmtId="0" fontId="79" fillId="8" borderId="0" xfId="0" applyFont="1" applyFill="1"/>
    <xf numFmtId="164" fontId="0" fillId="0" borderId="0" xfId="0" applyNumberFormat="1"/>
    <xf numFmtId="10" fontId="0" fillId="0" borderId="0" xfId="0" applyNumberFormat="1"/>
    <xf numFmtId="175" fontId="0" fillId="0" borderId="0" xfId="0" applyNumberFormat="1"/>
    <xf numFmtId="171" fontId="0" fillId="9" borderId="0" xfId="0" applyNumberFormat="1" applyFill="1"/>
    <xf numFmtId="1" fontId="0" fillId="9" borderId="0" xfId="0" applyNumberFormat="1" applyFill="1"/>
    <xf numFmtId="164" fontId="0" fillId="9" borderId="0" xfId="0" applyNumberFormat="1" applyFill="1"/>
    <xf numFmtId="0" fontId="66" fillId="0" borderId="55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5" xfId="0" applyNumberFormat="1" applyBorder="1" applyAlignment="1">
      <alignment horizontal="center"/>
    </xf>
    <xf numFmtId="10" fontId="23" fillId="12" borderId="8" xfId="0" applyNumberFormat="1" applyFont="1" applyFill="1" applyBorder="1" applyAlignment="1">
      <alignment horizontal="center"/>
    </xf>
    <xf numFmtId="179" fontId="19" fillId="0" borderId="4" xfId="0" applyNumberFormat="1" applyFont="1" applyBorder="1" applyAlignment="1">
      <alignment horizontal="center"/>
    </xf>
    <xf numFmtId="179" fontId="19" fillId="0" borderId="6" xfId="0" applyNumberFormat="1" applyFont="1" applyBorder="1" applyAlignment="1">
      <alignment horizontal="center"/>
    </xf>
    <xf numFmtId="179" fontId="23" fillId="8" borderId="4" xfId="0" applyNumberFormat="1" applyFont="1" applyFill="1" applyBorder="1" applyAlignment="1">
      <alignment horizontal="center"/>
    </xf>
    <xf numFmtId="10" fontId="23" fillId="12" borderId="9" xfId="0" applyNumberFormat="1" applyFont="1" applyFill="1" applyBorder="1" applyAlignment="1">
      <alignment horizontal="center"/>
    </xf>
    <xf numFmtId="179" fontId="19" fillId="0" borderId="5" xfId="0" applyNumberFormat="1" applyFont="1" applyBorder="1" applyAlignment="1">
      <alignment horizontal="center"/>
    </xf>
    <xf numFmtId="179" fontId="19" fillId="0" borderId="7" xfId="0" applyNumberFormat="1" applyFont="1" applyBorder="1" applyAlignment="1">
      <alignment horizontal="center"/>
    </xf>
    <xf numFmtId="2" fontId="23" fillId="12" borderId="8" xfId="0" applyNumberFormat="1" applyFont="1" applyFill="1" applyBorder="1" applyAlignment="1">
      <alignment horizontal="center"/>
    </xf>
    <xf numFmtId="10" fontId="19" fillId="0" borderId="4" xfId="0" applyNumberFormat="1" applyFont="1" applyBorder="1" applyAlignment="1">
      <alignment horizontal="center"/>
    </xf>
    <xf numFmtId="10" fontId="19" fillId="0" borderId="6" xfId="0" applyNumberFormat="1" applyFont="1" applyBorder="1" applyAlignment="1">
      <alignment horizontal="center"/>
    </xf>
    <xf numFmtId="10" fontId="23" fillId="11" borderId="4" xfId="0" applyNumberFormat="1" applyFont="1" applyFill="1" applyBorder="1" applyAlignment="1">
      <alignment horizontal="center"/>
    </xf>
    <xf numFmtId="2" fontId="23" fillId="12" borderId="9" xfId="0" applyNumberFormat="1" applyFont="1" applyFill="1" applyBorder="1" applyAlignment="1">
      <alignment horizontal="center"/>
    </xf>
    <xf numFmtId="10" fontId="19" fillId="0" borderId="5" xfId="0" applyNumberFormat="1" applyFont="1" applyBorder="1" applyAlignment="1">
      <alignment horizontal="center"/>
    </xf>
    <xf numFmtId="10" fontId="19" fillId="0" borderId="7" xfId="0" applyNumberFormat="1" applyFont="1" applyBorder="1" applyAlignment="1">
      <alignment horizontal="center"/>
    </xf>
    <xf numFmtId="0" fontId="27" fillId="19" borderId="10" xfId="0" applyFont="1" applyFill="1" applyBorder="1"/>
    <xf numFmtId="0" fontId="27" fillId="19" borderId="11" xfId="0" applyFont="1" applyFill="1" applyBorder="1" applyAlignment="1">
      <alignment horizontal="center"/>
    </xf>
    <xf numFmtId="0" fontId="27" fillId="19" borderId="12" xfId="0" applyFont="1" applyFill="1" applyBorder="1" applyAlignment="1">
      <alignment horizontal="center"/>
    </xf>
    <xf numFmtId="179" fontId="27" fillId="0" borderId="4" xfId="0" applyNumberFormat="1" applyFont="1" applyBorder="1" applyAlignment="1">
      <alignment horizontal="center"/>
    </xf>
    <xf numFmtId="179" fontId="27" fillId="0" borderId="5" xfId="0" applyNumberFormat="1" applyFont="1" applyBorder="1" applyAlignment="1">
      <alignment horizontal="center"/>
    </xf>
    <xf numFmtId="0" fontId="4" fillId="19" borderId="0" xfId="0" applyFont="1" applyFill="1" applyAlignment="1">
      <alignment horizontal="center" vertical="center"/>
    </xf>
    <xf numFmtId="1" fontId="13" fillId="18" borderId="1" xfId="0" applyNumberFormat="1" applyFont="1" applyFill="1" applyBorder="1" applyAlignment="1">
      <alignment horizontal="center" vertical="center"/>
    </xf>
    <xf numFmtId="0" fontId="65" fillId="18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180" fontId="8" fillId="0" borderId="0" xfId="0" applyNumberFormat="1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80" fontId="19" fillId="0" borderId="0" xfId="0" applyNumberFormat="1" applyFont="1" applyAlignment="1">
      <alignment horizontal="right"/>
    </xf>
    <xf numFmtId="0" fontId="4" fillId="0" borderId="14" xfId="0" applyFont="1" applyBorder="1" applyAlignment="1">
      <alignment horizontal="left" vertical="center" wrapText="1"/>
    </xf>
    <xf numFmtId="180" fontId="23" fillId="8" borderId="14" xfId="0" applyNumberFormat="1" applyFont="1" applyFill="1" applyBorder="1" applyAlignment="1">
      <alignment horizontal="right"/>
    </xf>
    <xf numFmtId="0" fontId="4" fillId="8" borderId="14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180" fontId="7" fillId="9" borderId="0" xfId="0" applyNumberFormat="1" applyFont="1" applyFill="1" applyAlignment="1">
      <alignment horizontal="right" vertical="center"/>
    </xf>
    <xf numFmtId="180" fontId="8" fillId="9" borderId="0" xfId="0" applyNumberFormat="1" applyFont="1" applyFill="1" applyAlignment="1">
      <alignment horizontal="right" vertical="center"/>
    </xf>
    <xf numFmtId="172" fontId="8" fillId="9" borderId="0" xfId="0" applyNumberFormat="1" applyFont="1" applyFill="1" applyAlignment="1">
      <alignment horizontal="right" vertical="center"/>
    </xf>
    <xf numFmtId="172" fontId="7" fillId="9" borderId="0" xfId="0" applyNumberFormat="1" applyFont="1" applyFill="1" applyAlignment="1">
      <alignment horizontal="right" vertical="center"/>
    </xf>
    <xf numFmtId="0" fontId="89" fillId="9" borderId="0" xfId="0" applyFont="1" applyFill="1" applyAlignment="1">
      <alignment horizontal="left" vertical="center" wrapText="1"/>
    </xf>
    <xf numFmtId="0" fontId="89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9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75" fillId="8" borderId="14" xfId="0" applyFont="1" applyFill="1" applyBorder="1" applyAlignment="1">
      <alignment horizontal="center"/>
    </xf>
    <xf numFmtId="0" fontId="56" fillId="9" borderId="0" xfId="0" applyFont="1" applyFill="1" applyAlignment="1">
      <alignment horizontal="left" vertical="center" wrapText="1"/>
    </xf>
    <xf numFmtId="0" fontId="92" fillId="0" borderId="28" xfId="0" applyFont="1" applyBorder="1"/>
    <xf numFmtId="0" fontId="19" fillId="0" borderId="13" xfId="0" applyFont="1" applyBorder="1"/>
    <xf numFmtId="173" fontId="19" fillId="0" borderId="13" xfId="0" applyNumberFormat="1" applyFont="1" applyBorder="1"/>
    <xf numFmtId="173" fontId="93" fillId="0" borderId="13" xfId="0" applyNumberFormat="1" applyFont="1" applyBorder="1"/>
    <xf numFmtId="173" fontId="93" fillId="0" borderId="29" xfId="0" applyNumberFormat="1" applyFont="1" applyBorder="1"/>
    <xf numFmtId="0" fontId="92" fillId="0" borderId="17" xfId="0" applyFont="1" applyBorder="1"/>
    <xf numFmtId="172" fontId="19" fillId="0" borderId="0" xfId="0" applyNumberFormat="1" applyFont="1"/>
    <xf numFmtId="172" fontId="25" fillId="0" borderId="0" xfId="0" applyNumberFormat="1" applyFont="1"/>
    <xf numFmtId="172" fontId="93" fillId="0" borderId="0" xfId="0" applyNumberFormat="1" applyFont="1"/>
    <xf numFmtId="172" fontId="93" fillId="0" borderId="20" xfId="0" applyNumberFormat="1" applyFont="1" applyBorder="1"/>
    <xf numFmtId="0" fontId="23" fillId="8" borderId="3" xfId="0" applyFont="1" applyFill="1" applyBorder="1"/>
    <xf numFmtId="173" fontId="94" fillId="8" borderId="3" xfId="0" applyNumberFormat="1" applyFont="1" applyFill="1" applyBorder="1"/>
    <xf numFmtId="173" fontId="48" fillId="8" borderId="3" xfId="0" applyNumberFormat="1" applyFont="1" applyFill="1" applyBorder="1"/>
    <xf numFmtId="173" fontId="48" fillId="8" borderId="31" xfId="0" applyNumberFormat="1" applyFont="1" applyFill="1" applyBorder="1"/>
    <xf numFmtId="173" fontId="93" fillId="0" borderId="0" xfId="0" applyNumberFormat="1" applyFont="1"/>
    <xf numFmtId="0" fontId="67" fillId="0" borderId="55" xfId="0" applyFont="1" applyBorder="1" applyAlignment="1">
      <alignment wrapText="1"/>
    </xf>
    <xf numFmtId="0" fontId="67" fillId="0" borderId="0" xfId="0" applyFont="1" applyAlignment="1">
      <alignment wrapText="1"/>
    </xf>
    <xf numFmtId="0" fontId="23" fillId="9" borderId="55" xfId="0" applyFont="1" applyFill="1" applyBorder="1"/>
    <xf numFmtId="0" fontId="92" fillId="0" borderId="55" xfId="0" applyFont="1" applyBorder="1"/>
    <xf numFmtId="173" fontId="20" fillId="0" borderId="0" xfId="0" applyNumberFormat="1" applyFont="1"/>
    <xf numFmtId="173" fontId="22" fillId="0" borderId="0" xfId="0" applyNumberFormat="1" applyFont="1"/>
    <xf numFmtId="167" fontId="25" fillId="0" borderId="0" xfId="0" applyNumberFormat="1" applyFont="1"/>
    <xf numFmtId="167" fontId="93" fillId="0" borderId="0" xfId="0" applyNumberFormat="1" applyFont="1"/>
    <xf numFmtId="2" fontId="20" fillId="0" borderId="0" xfId="0" applyNumberFormat="1" applyFont="1"/>
    <xf numFmtId="0" fontId="95" fillId="0" borderId="55" xfId="0" applyFont="1" applyBorder="1"/>
    <xf numFmtId="173" fontId="48" fillId="0" borderId="0" xfId="0" applyNumberFormat="1" applyFont="1"/>
    <xf numFmtId="0" fontId="23" fillId="0" borderId="57" xfId="0" applyFont="1" applyBorder="1"/>
    <xf numFmtId="0" fontId="19" fillId="0" borderId="14" xfId="0" applyFont="1" applyBorder="1"/>
    <xf numFmtId="173" fontId="23" fillId="0" borderId="14" xfId="0" applyNumberFormat="1" applyFont="1" applyBorder="1"/>
    <xf numFmtId="0" fontId="95" fillId="9" borderId="55" xfId="0" applyFont="1" applyFill="1" applyBorder="1"/>
    <xf numFmtId="173" fontId="25" fillId="0" borderId="0" xfId="0" applyNumberFormat="1" applyFont="1"/>
    <xf numFmtId="172" fontId="20" fillId="0" borderId="0" xfId="0" applyNumberFormat="1" applyFont="1"/>
    <xf numFmtId="181" fontId="94" fillId="0" borderId="0" xfId="0" applyNumberFormat="1" applyFont="1"/>
    <xf numFmtId="173" fontId="75" fillId="0" borderId="0" xfId="0" applyNumberFormat="1" applyFont="1"/>
    <xf numFmtId="181" fontId="20" fillId="0" borderId="0" xfId="0" applyNumberFormat="1" applyFont="1"/>
    <xf numFmtId="164" fontId="48" fillId="9" borderId="0" xfId="0" applyNumberFormat="1" applyFont="1" applyFill="1"/>
    <xf numFmtId="0" fontId="75" fillId="9" borderId="0" xfId="0" applyFont="1" applyFill="1"/>
    <xf numFmtId="0" fontId="92" fillId="0" borderId="16" xfId="0" applyFont="1" applyBorder="1"/>
    <xf numFmtId="173" fontId="19" fillId="0" borderId="14" xfId="0" applyNumberFormat="1" applyFont="1" applyBorder="1"/>
    <xf numFmtId="0" fontId="19" fillId="0" borderId="19" xfId="0" applyFont="1" applyBorder="1"/>
    <xf numFmtId="0" fontId="4" fillId="8" borderId="58" xfId="0" applyFont="1" applyFill="1" applyBorder="1" applyAlignment="1">
      <alignment horizontal="left" vertical="center" wrapText="1"/>
    </xf>
    <xf numFmtId="173" fontId="4" fillId="8" borderId="58" xfId="0" applyNumberFormat="1" applyFont="1" applyFill="1" applyBorder="1" applyAlignment="1">
      <alignment horizontal="right" vertical="center"/>
    </xf>
    <xf numFmtId="173" fontId="89" fillId="6" borderId="0" xfId="0" applyNumberFormat="1" applyFont="1" applyFill="1" applyAlignment="1">
      <alignment horizontal="right" vertical="center"/>
    </xf>
    <xf numFmtId="184" fontId="7" fillId="0" borderId="0" xfId="0" applyNumberFormat="1" applyFont="1" applyAlignment="1">
      <alignment horizontal="right" vertical="center"/>
    </xf>
    <xf numFmtId="184" fontId="7" fillId="6" borderId="0" xfId="0" applyNumberFormat="1" applyFont="1" applyFill="1" applyAlignment="1">
      <alignment horizontal="right" vertical="center"/>
    </xf>
    <xf numFmtId="183" fontId="7" fillId="9" borderId="0" xfId="0" applyNumberFormat="1" applyFont="1" applyFill="1" applyAlignment="1">
      <alignment horizontal="right" vertical="center"/>
    </xf>
    <xf numFmtId="0" fontId="91" fillId="8" borderId="58" xfId="0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4" fillId="19" borderId="0" xfId="0" applyFont="1" applyFill="1"/>
    <xf numFmtId="173" fontId="61" fillId="19" borderId="0" xfId="0" applyNumberFormat="1" applyFont="1" applyFill="1"/>
    <xf numFmtId="0" fontId="89" fillId="0" borderId="0" xfId="0" applyFont="1"/>
    <xf numFmtId="172" fontId="89" fillId="0" borderId="0" xfId="0" applyNumberFormat="1" applyFont="1"/>
    <xf numFmtId="173" fontId="88" fillId="0" borderId="0" xfId="0" applyNumberFormat="1" applyFont="1"/>
    <xf numFmtId="0" fontId="91" fillId="0" borderId="14" xfId="0" applyFont="1" applyBorder="1"/>
    <xf numFmtId="173" fontId="4" fillId="0" borderId="14" xfId="0" applyNumberFormat="1" applyFont="1" applyBorder="1"/>
    <xf numFmtId="173" fontId="91" fillId="0" borderId="14" xfId="0" applyNumberFormat="1" applyFont="1" applyBorder="1"/>
    <xf numFmtId="0" fontId="4" fillId="19" borderId="13" xfId="0" applyFont="1" applyFill="1" applyBorder="1"/>
    <xf numFmtId="173" fontId="4" fillId="19" borderId="13" xfId="0" applyNumberFormat="1" applyFont="1" applyFill="1" applyBorder="1"/>
    <xf numFmtId="0" fontId="96" fillId="0" borderId="0" xfId="0" applyFont="1"/>
    <xf numFmtId="172" fontId="96" fillId="0" borderId="0" xfId="0" applyNumberFormat="1" applyFont="1"/>
    <xf numFmtId="0" fontId="4" fillId="8" borderId="13" xfId="0" applyFont="1" applyFill="1" applyBorder="1"/>
    <xf numFmtId="173" fontId="4" fillId="8" borderId="13" xfId="0" applyNumberFormat="1" applyFont="1" applyFill="1" applyBorder="1"/>
    <xf numFmtId="174" fontId="4" fillId="0" borderId="0" xfId="0" applyNumberFormat="1" applyFont="1"/>
    <xf numFmtId="0" fontId="4" fillId="8" borderId="59" xfId="0" applyFont="1" applyFill="1" applyBorder="1"/>
    <xf numFmtId="173" fontId="4" fillId="8" borderId="59" xfId="0" applyNumberFormat="1" applyFont="1" applyFill="1" applyBorder="1"/>
    <xf numFmtId="0" fontId="68" fillId="0" borderId="0" xfId="0" applyFont="1"/>
    <xf numFmtId="173" fontId="97" fillId="0" borderId="0" xfId="0" applyNumberFormat="1" applyFont="1"/>
    <xf numFmtId="0" fontId="23" fillId="0" borderId="14" xfId="0" applyFont="1" applyBorder="1"/>
    <xf numFmtId="0" fontId="76" fillId="0" borderId="14" xfId="0" applyFont="1" applyBorder="1"/>
    <xf numFmtId="0" fontId="83" fillId="19" borderId="0" xfId="0" applyFont="1" applyFill="1"/>
    <xf numFmtId="0" fontId="83" fillId="0" borderId="14" xfId="0" applyFont="1" applyBorder="1"/>
    <xf numFmtId="0" fontId="83" fillId="19" borderId="13" xfId="0" applyFont="1" applyFill="1" applyBorder="1"/>
    <xf numFmtId="0" fontId="83" fillId="8" borderId="13" xfId="0" applyFont="1" applyFill="1" applyBorder="1"/>
    <xf numFmtId="0" fontId="83" fillId="8" borderId="59" xfId="0" applyFont="1" applyFill="1" applyBorder="1"/>
    <xf numFmtId="0" fontId="88" fillId="0" borderId="0" xfId="0" quotePrefix="1" applyFont="1"/>
    <xf numFmtId="173" fontId="93" fillId="0" borderId="0" xfId="0" applyNumberFormat="1" applyFont="1" applyAlignment="1">
      <alignment horizontal="right"/>
    </xf>
    <xf numFmtId="173" fontId="93" fillId="9" borderId="0" xfId="0" applyNumberFormat="1" applyFont="1" applyFill="1" applyAlignment="1">
      <alignment horizontal="right"/>
    </xf>
    <xf numFmtId="0" fontId="93" fillId="0" borderId="0" xfId="0" applyFont="1"/>
    <xf numFmtId="173" fontId="7" fillId="9" borderId="0" xfId="0" applyNumberFormat="1" applyFont="1" applyFill="1" applyAlignment="1">
      <alignment horizontal="right" vertical="center" wrapText="1"/>
    </xf>
    <xf numFmtId="173" fontId="7" fillId="0" borderId="0" xfId="0" applyNumberFormat="1" applyFont="1" applyAlignment="1">
      <alignment horizontal="right" vertical="center" wrapText="1"/>
    </xf>
    <xf numFmtId="0" fontId="4" fillId="19" borderId="13" xfId="0" applyFont="1" applyFill="1" applyBorder="1" applyAlignment="1">
      <alignment horizontal="left" vertical="center" wrapText="1"/>
    </xf>
    <xf numFmtId="0" fontId="91" fillId="19" borderId="13" xfId="0" applyFont="1" applyFill="1" applyBorder="1" applyAlignment="1">
      <alignment horizontal="center" vertical="center"/>
    </xf>
    <xf numFmtId="173" fontId="23" fillId="19" borderId="13" xfId="0" applyNumberFormat="1" applyFont="1" applyFill="1" applyBorder="1"/>
    <xf numFmtId="173" fontId="48" fillId="19" borderId="13" xfId="0" applyNumberFormat="1" applyFont="1" applyFill="1" applyBorder="1" applyAlignment="1">
      <alignment horizontal="right"/>
    </xf>
    <xf numFmtId="0" fontId="4" fillId="8" borderId="59" xfId="0" applyFont="1" applyFill="1" applyBorder="1" applyAlignment="1">
      <alignment horizontal="left" vertical="center" wrapText="1"/>
    </xf>
    <xf numFmtId="0" fontId="91" fillId="8" borderId="59" xfId="0" applyFont="1" applyFill="1" applyBorder="1" applyAlignment="1">
      <alignment horizontal="center" vertical="center"/>
    </xf>
    <xf numFmtId="0" fontId="23" fillId="8" borderId="59" xfId="0" applyFont="1" applyFill="1" applyBorder="1"/>
    <xf numFmtId="173" fontId="23" fillId="8" borderId="59" xfId="0" applyNumberFormat="1" applyFont="1" applyFill="1" applyBorder="1"/>
    <xf numFmtId="173" fontId="4" fillId="8" borderId="59" xfId="0" applyNumberFormat="1" applyFont="1" applyFill="1" applyBorder="1" applyAlignment="1">
      <alignment horizontal="right" vertical="center" wrapText="1"/>
    </xf>
    <xf numFmtId="0" fontId="85" fillId="0" borderId="0" xfId="0" applyFont="1" applyAlignment="1">
      <alignment horizontal="left" vertical="center" wrapText="1"/>
    </xf>
    <xf numFmtId="0" fontId="88" fillId="0" borderId="0" xfId="0" applyFont="1" applyAlignment="1">
      <alignment horizontal="center" vertical="center"/>
    </xf>
    <xf numFmtId="164" fontId="66" fillId="0" borderId="0" xfId="0" applyNumberFormat="1" applyFont="1"/>
    <xf numFmtId="164" fontId="85" fillId="0" borderId="0" xfId="0" applyNumberFormat="1" applyFont="1" applyAlignment="1">
      <alignment horizontal="right" vertical="center" wrapText="1"/>
    </xf>
    <xf numFmtId="0" fontId="52" fillId="0" borderId="0" xfId="0" applyFont="1" applyAlignment="1">
      <alignment horizontal="left" vertical="center" wrapText="1"/>
    </xf>
    <xf numFmtId="0" fontId="91" fillId="0" borderId="0" xfId="0" applyFont="1" applyAlignment="1">
      <alignment horizontal="center" vertical="center"/>
    </xf>
    <xf numFmtId="167" fontId="87" fillId="0" borderId="0" xfId="0" applyNumberFormat="1" applyFont="1"/>
    <xf numFmtId="167" fontId="52" fillId="0" borderId="0" xfId="0" applyNumberFormat="1" applyFont="1" applyAlignment="1">
      <alignment horizontal="right" vertical="center" wrapText="1"/>
    </xf>
    <xf numFmtId="0" fontId="88" fillId="0" borderId="0" xfId="0" quotePrefix="1" applyFont="1" applyAlignment="1">
      <alignment horizontal="left" vertical="center"/>
    </xf>
    <xf numFmtId="0" fontId="88" fillId="0" borderId="0" xfId="0" applyFont="1" applyAlignment="1">
      <alignment horizontal="left" vertical="center"/>
    </xf>
    <xf numFmtId="1" fontId="65" fillId="18" borderId="1" xfId="0" applyNumberFormat="1" applyFont="1" applyFill="1" applyBorder="1" applyAlignment="1">
      <alignment horizontal="center"/>
    </xf>
    <xf numFmtId="1" fontId="20" fillId="0" borderId="0" xfId="0" applyNumberFormat="1" applyFont="1" applyAlignment="1">
      <alignment horizontal="right"/>
    </xf>
    <xf numFmtId="1" fontId="20" fillId="9" borderId="0" xfId="0" applyNumberFormat="1" applyFont="1" applyFill="1" applyAlignment="1">
      <alignment horizontal="right"/>
    </xf>
    <xf numFmtId="164" fontId="20" fillId="9" borderId="0" xfId="0" applyNumberFormat="1" applyFont="1" applyFill="1" applyAlignment="1">
      <alignment horizontal="right"/>
    </xf>
    <xf numFmtId="171" fontId="20" fillId="9" borderId="0" xfId="0" applyNumberFormat="1" applyFont="1" applyFill="1" applyAlignment="1">
      <alignment horizontal="right"/>
    </xf>
    <xf numFmtId="173" fontId="20" fillId="9" borderId="0" xfId="0" applyNumberFormat="1" applyFont="1" applyFill="1"/>
    <xf numFmtId="0" fontId="23" fillId="19" borderId="13" xfId="0" applyFont="1" applyFill="1" applyBorder="1"/>
    <xf numFmtId="0" fontId="76" fillId="19" borderId="13" xfId="0" applyFont="1" applyFill="1" applyBorder="1"/>
    <xf numFmtId="0" fontId="76" fillId="8" borderId="59" xfId="0" applyFont="1" applyFill="1" applyBorder="1"/>
    <xf numFmtId="173" fontId="79" fillId="0" borderId="0" xfId="0" applyNumberFormat="1" applyFont="1"/>
    <xf numFmtId="0" fontId="4" fillId="8" borderId="0" xfId="0" applyFont="1" applyFill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/>
    </xf>
    <xf numFmtId="0" fontId="59" fillId="0" borderId="0" xfId="0" applyFont="1"/>
    <xf numFmtId="0" fontId="59" fillId="6" borderId="0" xfId="0" applyFont="1" applyFill="1"/>
    <xf numFmtId="0" fontId="54" fillId="0" borderId="0" xfId="0" applyFont="1"/>
    <xf numFmtId="0" fontId="54" fillId="8" borderId="0" xfId="0" applyFont="1" applyFill="1"/>
    <xf numFmtId="164" fontId="20" fillId="0" borderId="0" xfId="0" applyNumberFormat="1" applyFont="1"/>
    <xf numFmtId="164" fontId="20" fillId="11" borderId="0" xfId="0" applyNumberFormat="1" applyFont="1" applyFill="1"/>
    <xf numFmtId="167" fontId="20" fillId="0" borderId="0" xfId="0" applyNumberFormat="1" applyFont="1"/>
    <xf numFmtId="171" fontId="23" fillId="21" borderId="0" xfId="0" applyNumberFormat="1" applyFont="1" applyFill="1" applyAlignment="1">
      <alignment horizontal="right"/>
    </xf>
    <xf numFmtId="164" fontId="23" fillId="21" borderId="0" xfId="0" applyNumberFormat="1" applyFont="1" applyFill="1"/>
    <xf numFmtId="0" fontId="27" fillId="21" borderId="0" xfId="0" applyFont="1" applyFill="1"/>
    <xf numFmtId="2" fontId="4" fillId="21" borderId="0" xfId="0" applyNumberFormat="1" applyFont="1" applyFill="1" applyAlignment="1">
      <alignment horizontal="right" vertical="center"/>
    </xf>
    <xf numFmtId="173" fontId="4" fillId="21" borderId="0" xfId="0" applyNumberFormat="1" applyFont="1" applyFill="1" applyAlignment="1">
      <alignment horizontal="right" vertical="center"/>
    </xf>
    <xf numFmtId="164" fontId="4" fillId="21" borderId="0" xfId="0" applyNumberFormat="1" applyFont="1" applyFill="1" applyAlignment="1">
      <alignment horizontal="right" vertical="center"/>
    </xf>
    <xf numFmtId="3" fontId="4" fillId="21" borderId="0" xfId="0" applyNumberFormat="1" applyFont="1" applyFill="1" applyAlignment="1">
      <alignment horizontal="right" vertical="center"/>
    </xf>
    <xf numFmtId="168" fontId="4" fillId="21" borderId="0" xfId="0" applyNumberFormat="1" applyFont="1" applyFill="1" applyAlignment="1">
      <alignment horizontal="right" vertical="center"/>
    </xf>
    <xf numFmtId="0" fontId="4" fillId="21" borderId="0" xfId="0" applyFont="1" applyFill="1" applyAlignment="1">
      <alignment horizontal="center" vertical="center"/>
    </xf>
    <xf numFmtId="164" fontId="23" fillId="21" borderId="0" xfId="0" applyNumberFormat="1" applyFont="1" applyFill="1" applyAlignment="1">
      <alignment horizontal="right"/>
    </xf>
    <xf numFmtId="10" fontId="4" fillId="21" borderId="0" xfId="0" applyNumberFormat="1" applyFont="1" applyFill="1" applyAlignment="1">
      <alignment horizontal="right" vertical="center"/>
    </xf>
    <xf numFmtId="169" fontId="4" fillId="21" borderId="0" xfId="0" applyNumberFormat="1" applyFont="1" applyFill="1" applyAlignment="1">
      <alignment horizontal="right" vertical="center"/>
    </xf>
    <xf numFmtId="1" fontId="4" fillId="21" borderId="0" xfId="0" applyNumberFormat="1" applyFont="1" applyFill="1" applyAlignment="1">
      <alignment horizontal="right" vertical="center"/>
    </xf>
    <xf numFmtId="173" fontId="23" fillId="21" borderId="0" xfId="0" applyNumberFormat="1" applyFont="1" applyFill="1" applyAlignment="1">
      <alignment horizontal="right"/>
    </xf>
    <xf numFmtId="1" fontId="23" fillId="21" borderId="0" xfId="0" applyNumberFormat="1" applyFont="1" applyFill="1" applyAlignment="1">
      <alignment horizontal="right"/>
    </xf>
    <xf numFmtId="172" fontId="23" fillId="21" borderId="0" xfId="0" applyNumberFormat="1" applyFont="1" applyFill="1"/>
    <xf numFmtId="173" fontId="23" fillId="21" borderId="0" xfId="0" applyNumberFormat="1" applyFont="1" applyFill="1"/>
    <xf numFmtId="167" fontId="23" fillId="21" borderId="0" xfId="0" applyNumberFormat="1" applyFont="1" applyFill="1"/>
    <xf numFmtId="0" fontId="88" fillId="6" borderId="0" xfId="0" applyFont="1" applyFill="1" applyAlignment="1">
      <alignment horizontal="left" vertical="center" wrapText="1"/>
    </xf>
    <xf numFmtId="0" fontId="64" fillId="8" borderId="0" xfId="0" applyFont="1" applyFill="1"/>
    <xf numFmtId="173" fontId="5" fillId="5" borderId="0" xfId="0" applyNumberFormat="1" applyFont="1" applyFill="1" applyAlignment="1">
      <alignment horizontal="right" vertical="center"/>
    </xf>
    <xf numFmtId="10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2" fontId="5" fillId="9" borderId="0" xfId="0" applyNumberFormat="1" applyFont="1" applyFill="1" applyAlignment="1">
      <alignment horizontal="right" vertical="center"/>
    </xf>
    <xf numFmtId="0" fontId="59" fillId="9" borderId="0" xfId="0" applyFont="1" applyFill="1"/>
    <xf numFmtId="0" fontId="88" fillId="9" borderId="0" xfId="0" applyFont="1" applyFill="1" applyAlignment="1">
      <alignment horizontal="left" vertical="center" wrapText="1"/>
    </xf>
    <xf numFmtId="173" fontId="5" fillId="9" borderId="0" xfId="0" applyNumberFormat="1" applyFont="1" applyFill="1" applyAlignment="1">
      <alignment horizontal="right" vertical="center"/>
    </xf>
    <xf numFmtId="164" fontId="5" fillId="9" borderId="0" xfId="0" applyNumberFormat="1" applyFont="1" applyFill="1" applyAlignment="1">
      <alignment horizontal="right" vertical="center"/>
    </xf>
    <xf numFmtId="0" fontId="15" fillId="9" borderId="0" xfId="0" applyFont="1" applyFill="1"/>
    <xf numFmtId="0" fontId="13" fillId="18" borderId="1" xfId="0" applyFont="1" applyFill="1" applyBorder="1" applyAlignment="1">
      <alignment horizontal="left" vertical="center" wrapText="1"/>
    </xf>
    <xf numFmtId="0" fontId="5" fillId="9" borderId="0" xfId="0" applyFont="1" applyFill="1"/>
    <xf numFmtId="0" fontId="13" fillId="18" borderId="60" xfId="0" applyFont="1" applyFill="1" applyBorder="1" applyAlignment="1">
      <alignment horizontal="center" vertical="center" wrapText="1"/>
    </xf>
    <xf numFmtId="179" fontId="5" fillId="0" borderId="0" xfId="0" applyNumberFormat="1" applyFont="1"/>
    <xf numFmtId="178" fontId="5" fillId="0" borderId="0" xfId="0" applyNumberFormat="1" applyFont="1"/>
    <xf numFmtId="164" fontId="5" fillId="0" borderId="0" xfId="0" applyNumberFormat="1" applyFont="1"/>
    <xf numFmtId="171" fontId="5" fillId="9" borderId="0" xfId="0" applyNumberFormat="1" applyFont="1" applyFill="1"/>
    <xf numFmtId="179" fontId="5" fillId="9" borderId="0" xfId="0" applyNumberFormat="1" applyFont="1" applyFill="1"/>
    <xf numFmtId="178" fontId="5" fillId="9" borderId="0" xfId="0" applyNumberFormat="1" applyFont="1" applyFill="1"/>
    <xf numFmtId="164" fontId="5" fillId="9" borderId="0" xfId="0" applyNumberFormat="1" applyFont="1" applyFill="1"/>
    <xf numFmtId="0" fontId="13" fillId="18" borderId="61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9" borderId="17" xfId="0" applyFont="1" applyFill="1" applyBorder="1"/>
    <xf numFmtId="0" fontId="13" fillId="18" borderId="62" xfId="0" applyFont="1" applyFill="1" applyBorder="1" applyAlignment="1">
      <alignment horizontal="left" vertical="center" wrapText="1"/>
    </xf>
    <xf numFmtId="0" fontId="5" fillId="9" borderId="20" xfId="0" applyFont="1" applyFill="1" applyBorder="1"/>
    <xf numFmtId="0" fontId="5" fillId="0" borderId="30" xfId="0" applyFont="1" applyBorder="1"/>
    <xf numFmtId="0" fontId="5" fillId="0" borderId="3" xfId="0" applyFont="1" applyBorder="1"/>
    <xf numFmtId="171" fontId="5" fillId="0" borderId="3" xfId="0" applyNumberFormat="1" applyFont="1" applyBorder="1"/>
    <xf numFmtId="179" fontId="5" fillId="0" borderId="3" xfId="0" applyNumberFormat="1" applyFont="1" applyBorder="1"/>
    <xf numFmtId="178" fontId="5" fillId="0" borderId="3" xfId="0" applyNumberFormat="1" applyFont="1" applyBorder="1"/>
    <xf numFmtId="164" fontId="5" fillId="0" borderId="3" xfId="0" applyNumberFormat="1" applyFont="1" applyBorder="1"/>
    <xf numFmtId="0" fontId="5" fillId="0" borderId="31" xfId="0" applyFont="1" applyBorder="1"/>
    <xf numFmtId="0" fontId="27" fillId="8" borderId="59" xfId="0" applyFont="1" applyFill="1" applyBorder="1"/>
    <xf numFmtId="171" fontId="4" fillId="8" borderId="59" xfId="0" applyNumberFormat="1" applyFont="1" applyFill="1" applyBorder="1"/>
    <xf numFmtId="0" fontId="4" fillId="19" borderId="1" xfId="0" applyFont="1" applyFill="1" applyBorder="1" applyAlignment="1">
      <alignment horizontal="center" vertical="center" wrapText="1"/>
    </xf>
    <xf numFmtId="0" fontId="100" fillId="0" borderId="0" xfId="0" applyFont="1"/>
    <xf numFmtId="0" fontId="101" fillId="0" borderId="0" xfId="0" applyFont="1"/>
    <xf numFmtId="3" fontId="100" fillId="0" borderId="0" xfId="0" applyNumberFormat="1" applyFont="1"/>
    <xf numFmtId="0" fontId="13" fillId="18" borderId="14" xfId="0" applyFont="1" applyFill="1" applyBorder="1" applyAlignment="1">
      <alignment horizontal="center" vertical="center"/>
    </xf>
    <xf numFmtId="177" fontId="7" fillId="5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172" fontId="7" fillId="5" borderId="0" xfId="0" applyNumberFormat="1" applyFont="1" applyFill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172" fontId="19" fillId="9" borderId="0" xfId="0" applyNumberFormat="1" applyFont="1" applyFill="1" applyAlignment="1">
      <alignment horizontal="center"/>
    </xf>
    <xf numFmtId="172" fontId="19" fillId="0" borderId="0" xfId="0" applyNumberFormat="1" applyFont="1" applyAlignment="1">
      <alignment horizontal="center"/>
    </xf>
    <xf numFmtId="164" fontId="19" fillId="9" borderId="0" xfId="0" applyNumberFormat="1" applyFont="1" applyFill="1" applyAlignment="1">
      <alignment horizontal="center"/>
    </xf>
    <xf numFmtId="0" fontId="31" fillId="9" borderId="0" xfId="0" quotePrefix="1" applyFont="1" applyFill="1" applyAlignment="1">
      <alignment horizontal="center" vertical="center"/>
    </xf>
    <xf numFmtId="169" fontId="7" fillId="9" borderId="0" xfId="0" applyNumberFormat="1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0" fontId="13" fillId="18" borderId="16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9" borderId="17" xfId="0" applyFont="1" applyFill="1" applyBorder="1" applyAlignment="1">
      <alignment horizontal="left" vertical="center" wrapText="1"/>
    </xf>
    <xf numFmtId="0" fontId="13" fillId="18" borderId="19" xfId="0" applyFont="1" applyFill="1" applyBorder="1" applyAlignment="1">
      <alignment horizontal="left" vertical="center"/>
    </xf>
    <xf numFmtId="0" fontId="88" fillId="0" borderId="20" xfId="0" applyFont="1" applyBorder="1" applyAlignment="1">
      <alignment horizontal="left" vertical="center" wrapText="1"/>
    </xf>
    <xf numFmtId="0" fontId="88" fillId="9" borderId="20" xfId="0" applyFont="1" applyFill="1" applyBorder="1" applyAlignment="1">
      <alignment horizontal="left" vertical="center" wrapText="1"/>
    </xf>
    <xf numFmtId="0" fontId="23" fillId="9" borderId="3" xfId="0" applyFont="1" applyFill="1" applyBorder="1" applyAlignment="1">
      <alignment horizontal="center"/>
    </xf>
    <xf numFmtId="0" fontId="64" fillId="9" borderId="31" xfId="0" applyFont="1" applyFill="1" applyBorder="1"/>
    <xf numFmtId="1" fontId="19" fillId="0" borderId="0" xfId="0" applyNumberFormat="1" applyFont="1"/>
    <xf numFmtId="1" fontId="102" fillId="0" borderId="0" xfId="0" applyNumberFormat="1" applyFont="1"/>
    <xf numFmtId="1" fontId="21" fillId="0" borderId="0" xfId="0" applyNumberFormat="1" applyFont="1"/>
    <xf numFmtId="0" fontId="31" fillId="0" borderId="0" xfId="0" applyFont="1" applyAlignment="1">
      <alignment horizontal="center"/>
    </xf>
    <xf numFmtId="0" fontId="31" fillId="9" borderId="0" xfId="0" applyFont="1" applyFill="1" applyAlignment="1">
      <alignment horizont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15" fontId="19" fillId="0" borderId="0" xfId="0" applyNumberFormat="1" applyFont="1"/>
    <xf numFmtId="17" fontId="19" fillId="0" borderId="0" xfId="0" applyNumberFormat="1" applyFont="1"/>
    <xf numFmtId="0" fontId="65" fillId="18" borderId="3" xfId="0" applyFont="1" applyFill="1" applyBorder="1" applyAlignment="1">
      <alignment horizontal="left"/>
    </xf>
    <xf numFmtId="0" fontId="19" fillId="9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0" fontId="103" fillId="0" borderId="0" xfId="0" applyFont="1" applyAlignment="1">
      <alignment horizontal="center"/>
    </xf>
    <xf numFmtId="0" fontId="103" fillId="9" borderId="0" xfId="0" applyFont="1" applyFill="1" applyAlignment="1">
      <alignment horizontal="center"/>
    </xf>
    <xf numFmtId="0" fontId="102" fillId="0" borderId="0" xfId="0" applyFont="1" applyAlignment="1">
      <alignment horizontal="center"/>
    </xf>
    <xf numFmtId="0" fontId="102" fillId="9" borderId="0" xfId="0" applyFont="1" applyFill="1" applyAlignment="1">
      <alignment horizontal="center"/>
    </xf>
    <xf numFmtId="0" fontId="104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4" fillId="9" borderId="0" xfId="0" applyFont="1" applyFill="1" applyAlignment="1">
      <alignment horizontal="center"/>
    </xf>
    <xf numFmtId="0" fontId="104" fillId="9" borderId="0" xfId="0" applyFont="1" applyFill="1" applyAlignment="1">
      <alignment horizontal="center"/>
    </xf>
    <xf numFmtId="0" fontId="105" fillId="9" borderId="0" xfId="0" applyFont="1" applyFill="1" applyAlignment="1">
      <alignment horizontal="center"/>
    </xf>
    <xf numFmtId="169" fontId="5" fillId="0" borderId="0" xfId="0" applyNumberFormat="1" applyFont="1"/>
    <xf numFmtId="0" fontId="5" fillId="0" borderId="0" xfId="0" applyFont="1" applyAlignment="1">
      <alignment horizontal="center"/>
    </xf>
    <xf numFmtId="169" fontId="5" fillId="9" borderId="0" xfId="0" applyNumberFormat="1" applyFont="1" applyFill="1"/>
    <xf numFmtId="0" fontId="5" fillId="9" borderId="0" xfId="0" applyFont="1" applyFill="1" applyAlignment="1">
      <alignment horizontal="center"/>
    </xf>
    <xf numFmtId="169" fontId="5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88" fillId="0" borderId="31" xfId="0" applyFont="1" applyBorder="1" applyAlignment="1">
      <alignment horizontal="left" vertical="center" wrapText="1"/>
    </xf>
    <xf numFmtId="0" fontId="7" fillId="0" borderId="55" xfId="0" applyFont="1" applyBorder="1"/>
    <xf numFmtId="0" fontId="9" fillId="0" borderId="55" xfId="0" applyFont="1" applyBorder="1"/>
    <xf numFmtId="0" fontId="98" fillId="18" borderId="0" xfId="0" applyFont="1" applyFill="1"/>
    <xf numFmtId="0" fontId="99" fillId="0" borderId="0" xfId="0" applyFont="1"/>
    <xf numFmtId="0" fontId="75" fillId="21" borderId="0" xfId="0" applyFont="1" applyFill="1"/>
    <xf numFmtId="0" fontId="85" fillId="0" borderId="0" xfId="0" applyFont="1"/>
    <xf numFmtId="0" fontId="106" fillId="0" borderId="0" xfId="0" applyFont="1"/>
    <xf numFmtId="164" fontId="4" fillId="21" borderId="0" xfId="0" applyNumberFormat="1" applyFont="1" applyFill="1"/>
    <xf numFmtId="0" fontId="23" fillId="19" borderId="45" xfId="0" applyFont="1" applyFill="1" applyBorder="1" applyAlignment="1">
      <alignment horizontal="center" wrapText="1"/>
    </xf>
    <xf numFmtId="0" fontId="107" fillId="0" borderId="0" xfId="0" applyFont="1"/>
    <xf numFmtId="0" fontId="108" fillId="0" borderId="0" xfId="0" applyFont="1"/>
    <xf numFmtId="0" fontId="16" fillId="10" borderId="0" xfId="0" applyFont="1" applyFill="1"/>
    <xf numFmtId="0" fontId="27" fillId="12" borderId="63" xfId="0" applyFont="1" applyFill="1" applyBorder="1"/>
    <xf numFmtId="0" fontId="27" fillId="12" borderId="64" xfId="0" applyFont="1" applyFill="1" applyBorder="1"/>
    <xf numFmtId="0" fontId="27" fillId="12" borderId="64" xfId="0" applyFont="1" applyFill="1" applyBorder="1" applyAlignment="1">
      <alignment horizontal="center"/>
    </xf>
    <xf numFmtId="0" fontId="27" fillId="8" borderId="64" xfId="0" applyFont="1" applyFill="1" applyBorder="1" applyAlignment="1">
      <alignment horizontal="center"/>
    </xf>
    <xf numFmtId="0" fontId="27" fillId="12" borderId="65" xfId="0" applyFont="1" applyFill="1" applyBorder="1" applyAlignment="1">
      <alignment horizontal="center"/>
    </xf>
    <xf numFmtId="0" fontId="0" fillId="0" borderId="66" xfId="0" applyBorder="1"/>
    <xf numFmtId="175" fontId="110" fillId="0" borderId="67" xfId="0" applyNumberFormat="1" applyFont="1" applyBorder="1"/>
    <xf numFmtId="171" fontId="110" fillId="0" borderId="67" xfId="0" applyNumberFormat="1" applyFont="1" applyBorder="1"/>
    <xf numFmtId="175" fontId="0" fillId="0" borderId="67" xfId="0" applyNumberFormat="1" applyBorder="1"/>
    <xf numFmtId="164" fontId="110" fillId="0" borderId="67" xfId="0" applyNumberFormat="1" applyFont="1" applyBorder="1"/>
    <xf numFmtId="164" fontId="0" fillId="0" borderId="67" xfId="0" applyNumberFormat="1" applyBorder="1"/>
    <xf numFmtId="175" fontId="27" fillId="8" borderId="67" xfId="0" applyNumberFormat="1" applyFont="1" applyFill="1" applyBorder="1"/>
    <xf numFmtId="175" fontId="0" fillId="0" borderId="68" xfId="0" applyNumberFormat="1" applyBorder="1"/>
    <xf numFmtId="0" fontId="110" fillId="0" borderId="67" xfId="0" applyFont="1" applyBorder="1" applyAlignment="1">
      <alignment horizontal="center"/>
    </xf>
    <xf numFmtId="0" fontId="0" fillId="0" borderId="69" xfId="0" applyBorder="1"/>
    <xf numFmtId="175" fontId="110" fillId="0" borderId="70" xfId="0" applyNumberFormat="1" applyFont="1" applyBorder="1"/>
    <xf numFmtId="171" fontId="110" fillId="0" borderId="70" xfId="0" applyNumberFormat="1" applyFont="1" applyBorder="1"/>
    <xf numFmtId="175" fontId="0" fillId="0" borderId="70" xfId="0" applyNumberFormat="1" applyBorder="1"/>
    <xf numFmtId="0" fontId="110" fillId="0" borderId="70" xfId="0" applyFont="1" applyBorder="1" applyAlignment="1">
      <alignment horizontal="center"/>
    </xf>
    <xf numFmtId="164" fontId="110" fillId="0" borderId="70" xfId="0" applyNumberFormat="1" applyFont="1" applyBorder="1"/>
    <xf numFmtId="175" fontId="27" fillId="8" borderId="70" xfId="0" applyNumberFormat="1" applyFont="1" applyFill="1" applyBorder="1"/>
    <xf numFmtId="175" fontId="0" fillId="0" borderId="71" xfId="0" applyNumberFormat="1" applyBorder="1"/>
    <xf numFmtId="0" fontId="27" fillId="12" borderId="64" xfId="0" applyFont="1" applyFill="1" applyBorder="1" applyAlignment="1">
      <alignment horizontal="center" wrapText="1"/>
    </xf>
    <xf numFmtId="0" fontId="27" fillId="8" borderId="64" xfId="0" applyFont="1" applyFill="1" applyBorder="1" applyAlignment="1">
      <alignment horizontal="center" wrapText="1"/>
    </xf>
    <xf numFmtId="0" fontId="27" fillId="12" borderId="64" xfId="0" applyFont="1" applyFill="1" applyBorder="1" applyAlignment="1">
      <alignment wrapText="1"/>
    </xf>
    <xf numFmtId="0" fontId="27" fillId="12" borderId="65" xfId="0" applyFont="1" applyFill="1" applyBorder="1" applyAlignment="1">
      <alignment horizontal="center" wrapText="1"/>
    </xf>
    <xf numFmtId="185" fontId="0" fillId="0" borderId="67" xfId="0" applyNumberFormat="1" applyBorder="1"/>
    <xf numFmtId="0" fontId="108" fillId="0" borderId="68" xfId="0" applyFont="1" applyBorder="1" applyAlignment="1">
      <alignment horizontal="center"/>
    </xf>
    <xf numFmtId="185" fontId="0" fillId="0" borderId="70" xfId="0" applyNumberFormat="1" applyBorder="1"/>
    <xf numFmtId="0" fontId="108" fillId="0" borderId="71" xfId="0" applyFont="1" applyBorder="1" applyAlignment="1">
      <alignment horizontal="center"/>
    </xf>
    <xf numFmtId="0" fontId="27" fillId="0" borderId="66" xfId="0" applyFont="1" applyBorder="1"/>
    <xf numFmtId="9" fontId="24" fillId="0" borderId="67" xfId="0" applyNumberFormat="1" applyFont="1" applyBorder="1"/>
    <xf numFmtId="175" fontId="24" fillId="0" borderId="67" xfId="0" applyNumberFormat="1" applyFont="1" applyBorder="1"/>
    <xf numFmtId="186" fontId="0" fillId="0" borderId="67" xfId="0" applyNumberFormat="1" applyBorder="1"/>
    <xf numFmtId="0" fontId="27" fillId="0" borderId="69" xfId="0" applyFont="1" applyBorder="1"/>
    <xf numFmtId="9" fontId="24" fillId="0" borderId="70" xfId="0" applyNumberFormat="1" applyFont="1" applyBorder="1"/>
    <xf numFmtId="175" fontId="24" fillId="0" borderId="70" xfId="0" applyNumberFormat="1" applyFont="1" applyBorder="1"/>
    <xf numFmtId="186" fontId="0" fillId="0" borderId="70" xfId="0" applyNumberFormat="1" applyBorder="1"/>
    <xf numFmtId="0" fontId="0" fillId="0" borderId="64" xfId="0" applyBorder="1"/>
    <xf numFmtId="10" fontId="110" fillId="0" borderId="68" xfId="0" applyNumberFormat="1" applyFont="1" applyBorder="1"/>
    <xf numFmtId="10" fontId="27" fillId="0" borderId="71" xfId="0" applyNumberFormat="1" applyFont="1" applyBorder="1"/>
    <xf numFmtId="0" fontId="27" fillId="8" borderId="65" xfId="0" applyFont="1" applyFill="1" applyBorder="1" applyAlignment="1">
      <alignment horizontal="center"/>
    </xf>
    <xf numFmtId="9" fontId="110" fillId="0" borderId="67" xfId="0" applyNumberFormat="1" applyFont="1" applyBorder="1"/>
    <xf numFmtId="10" fontId="0" fillId="0" borderId="67" xfId="0" applyNumberFormat="1" applyBorder="1"/>
    <xf numFmtId="10" fontId="0" fillId="0" borderId="68" xfId="0" applyNumberFormat="1" applyBorder="1"/>
    <xf numFmtId="9" fontId="41" fillId="0" borderId="67" xfId="0" applyNumberFormat="1" applyFont="1" applyBorder="1"/>
    <xf numFmtId="10" fontId="27" fillId="8" borderId="68" xfId="0" applyNumberFormat="1" applyFont="1" applyFill="1" applyBorder="1"/>
    <xf numFmtId="9" fontId="110" fillId="0" borderId="70" xfId="0" applyNumberFormat="1" applyFont="1" applyBorder="1"/>
    <xf numFmtId="10" fontId="0" fillId="0" borderId="70" xfId="0" applyNumberFormat="1" applyBorder="1"/>
    <xf numFmtId="10" fontId="0" fillId="0" borderId="71" xfId="0" applyNumberFormat="1" applyBorder="1"/>
    <xf numFmtId="0" fontId="0" fillId="0" borderId="65" xfId="0" applyBorder="1"/>
    <xf numFmtId="10" fontId="24" fillId="0" borderId="68" xfId="0" applyNumberFormat="1" applyFont="1" applyBorder="1"/>
    <xf numFmtId="9" fontId="0" fillId="0" borderId="67" xfId="0" applyNumberFormat="1" applyBorder="1"/>
    <xf numFmtId="9" fontId="0" fillId="0" borderId="70" xfId="0" applyNumberFormat="1" applyBorder="1"/>
    <xf numFmtId="164" fontId="41" fillId="8" borderId="67" xfId="0" applyNumberFormat="1" applyFont="1" applyFill="1" applyBorder="1"/>
    <xf numFmtId="164" fontId="110" fillId="0" borderId="68" xfId="0" applyNumberFormat="1" applyFont="1" applyBorder="1"/>
    <xf numFmtId="164" fontId="24" fillId="0" borderId="70" xfId="0" applyNumberFormat="1" applyFont="1" applyBorder="1"/>
    <xf numFmtId="164" fontId="24" fillId="0" borderId="71" xfId="0" applyNumberFormat="1" applyFont="1" applyBorder="1"/>
    <xf numFmtId="0" fontId="27" fillId="12" borderId="67" xfId="0" applyFont="1" applyFill="1" applyBorder="1" applyAlignment="1">
      <alignment horizontal="center"/>
    </xf>
    <xf numFmtId="0" fontId="27" fillId="8" borderId="67" xfId="0" applyFont="1" applyFill="1" applyBorder="1" applyAlignment="1">
      <alignment horizontal="center"/>
    </xf>
    <xf numFmtId="10" fontId="24" fillId="0" borderId="67" xfId="0" applyNumberFormat="1" applyFont="1" applyBorder="1"/>
    <xf numFmtId="187" fontId="0" fillId="0" borderId="68" xfId="0" applyNumberFormat="1" applyBorder="1"/>
    <xf numFmtId="186" fontId="0" fillId="0" borderId="68" xfId="0" applyNumberFormat="1" applyBorder="1"/>
    <xf numFmtId="10" fontId="27" fillId="12" borderId="70" xfId="0" applyNumberFormat="1" applyFont="1" applyFill="1" applyBorder="1"/>
    <xf numFmtId="10" fontId="27" fillId="8" borderId="70" xfId="0" applyNumberFormat="1" applyFont="1" applyFill="1" applyBorder="1"/>
    <xf numFmtId="187" fontId="27" fillId="0" borderId="71" xfId="0" applyNumberFormat="1" applyFont="1" applyBorder="1"/>
    <xf numFmtId="0" fontId="0" fillId="0" borderId="66" xfId="0" applyBorder="1" applyAlignment="1">
      <alignment horizontal="center"/>
    </xf>
    <xf numFmtId="0" fontId="111" fillId="0" borderId="0" xfId="0" applyFont="1" applyAlignment="1">
      <alignment horizontal="left"/>
    </xf>
    <xf numFmtId="1" fontId="112" fillId="0" borderId="0" xfId="0" applyNumberFormat="1" applyFont="1" applyAlignment="1">
      <alignment horizontal="center"/>
    </xf>
    <xf numFmtId="0" fontId="67" fillId="0" borderId="0" xfId="0" applyFont="1"/>
    <xf numFmtId="0" fontId="111" fillId="0" borderId="0" xfId="0" applyFont="1"/>
    <xf numFmtId="0" fontId="113" fillId="0" borderId="0" xfId="0" applyFont="1"/>
    <xf numFmtId="0" fontId="113" fillId="12" borderId="0" xfId="0" applyFont="1" applyFill="1"/>
    <xf numFmtId="0" fontId="113" fillId="15" borderId="0" xfId="0" applyFont="1" applyFill="1" applyAlignment="1">
      <alignment horizontal="center"/>
    </xf>
    <xf numFmtId="0" fontId="113" fillId="8" borderId="0" xfId="0" applyFont="1" applyFill="1"/>
    <xf numFmtId="0" fontId="113" fillId="8" borderId="0" xfId="0" applyFont="1" applyFill="1" applyAlignment="1">
      <alignment horizontal="center"/>
    </xf>
    <xf numFmtId="0" fontId="113" fillId="17" borderId="0" xfId="0" applyFont="1" applyFill="1" applyAlignment="1">
      <alignment horizontal="center"/>
    </xf>
    <xf numFmtId="0" fontId="113" fillId="21" borderId="0" xfId="0" applyFont="1" applyFill="1" applyAlignment="1">
      <alignment horizontal="center"/>
    </xf>
    <xf numFmtId="0" fontId="113" fillId="12" borderId="0" xfId="0" applyFont="1" applyFill="1" applyAlignment="1">
      <alignment horizontal="center"/>
    </xf>
    <xf numFmtId="9" fontId="114" fillId="0" borderId="0" xfId="0" applyNumberFormat="1" applyFont="1" applyAlignment="1">
      <alignment horizontal="right"/>
    </xf>
    <xf numFmtId="9" fontId="115" fillId="21" borderId="0" xfId="0" applyNumberFormat="1" applyFont="1" applyFill="1" applyAlignment="1">
      <alignment horizontal="right"/>
    </xf>
    <xf numFmtId="0" fontId="111" fillId="0" borderId="0" xfId="0" applyFont="1" applyAlignment="1">
      <alignment horizontal="center"/>
    </xf>
    <xf numFmtId="9" fontId="110" fillId="0" borderId="0" xfId="0" applyNumberFormat="1" applyFont="1" applyAlignment="1">
      <alignment horizontal="right"/>
    </xf>
    <xf numFmtId="9" fontId="27" fillId="21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189" fontId="116" fillId="15" borderId="0" xfId="0" applyNumberFormat="1" applyFont="1" applyFill="1" applyAlignment="1">
      <alignment horizontal="right"/>
    </xf>
    <xf numFmtId="189" fontId="116" fillId="8" borderId="0" xfId="0" applyNumberFormat="1" applyFont="1" applyFill="1" applyAlignment="1">
      <alignment horizontal="right"/>
    </xf>
    <xf numFmtId="189" fontId="116" fillId="17" borderId="0" xfId="0" applyNumberFormat="1" applyFont="1" applyFill="1" applyAlignment="1">
      <alignment horizontal="right"/>
    </xf>
    <xf numFmtId="189" fontId="23" fillId="21" borderId="0" xfId="0" applyNumberFormat="1" applyFont="1" applyFill="1" applyAlignment="1">
      <alignment horizontal="right"/>
    </xf>
    <xf numFmtId="2" fontId="117" fillId="8" borderId="0" xfId="0" applyNumberFormat="1" applyFont="1" applyFill="1" applyAlignment="1">
      <alignment horizontal="right"/>
    </xf>
    <xf numFmtId="4" fontId="118" fillId="8" borderId="0" xfId="0" applyNumberFormat="1" applyFont="1" applyFill="1" applyAlignment="1">
      <alignment horizontal="center"/>
    </xf>
    <xf numFmtId="2" fontId="119" fillId="21" borderId="0" xfId="0" applyNumberFormat="1" applyFont="1" applyFill="1" applyAlignment="1">
      <alignment horizontal="right"/>
    </xf>
    <xf numFmtId="0" fontId="118" fillId="0" borderId="0" xfId="0" applyFont="1" applyAlignment="1">
      <alignment horizontal="left"/>
    </xf>
    <xf numFmtId="171" fontId="113" fillId="21" borderId="0" xfId="0" applyNumberFormat="1" applyFont="1" applyFill="1" applyAlignment="1">
      <alignment horizontal="right"/>
    </xf>
    <xf numFmtId="0" fontId="120" fillId="0" borderId="0" xfId="0" applyFont="1"/>
    <xf numFmtId="0" fontId="120" fillId="0" borderId="0" xfId="0" applyFont="1" applyAlignment="1">
      <alignment horizontal="center"/>
    </xf>
    <xf numFmtId="0" fontId="113" fillId="9" borderId="0" xfId="0" applyFont="1" applyFill="1" applyAlignment="1">
      <alignment horizontal="left"/>
    </xf>
    <xf numFmtId="0" fontId="113" fillId="9" borderId="0" xfId="0" applyFont="1" applyFill="1" applyAlignment="1">
      <alignment horizontal="center"/>
    </xf>
    <xf numFmtId="0" fontId="113" fillId="11" borderId="0" xfId="0" applyFont="1" applyFill="1"/>
    <xf numFmtId="164" fontId="111" fillId="0" borderId="0" xfId="0" applyNumberFormat="1" applyFont="1" applyAlignment="1">
      <alignment horizontal="center"/>
    </xf>
    <xf numFmtId="171" fontId="111" fillId="0" borderId="0" xfId="0" applyNumberFormat="1" applyFont="1" applyAlignment="1">
      <alignment horizontal="center"/>
    </xf>
    <xf numFmtId="169" fontId="111" fillId="0" borderId="0" xfId="0" applyNumberFormat="1" applyFont="1" applyAlignment="1">
      <alignment horizontal="center"/>
    </xf>
    <xf numFmtId="2" fontId="111" fillId="0" borderId="0" xfId="0" applyNumberFormat="1" applyFont="1" applyAlignment="1">
      <alignment horizontal="center"/>
    </xf>
    <xf numFmtId="182" fontId="111" fillId="0" borderId="0" xfId="0" applyNumberFormat="1" applyFont="1" applyAlignment="1">
      <alignment horizontal="center"/>
    </xf>
    <xf numFmtId="176" fontId="111" fillId="0" borderId="0" xfId="0" applyNumberFormat="1" applyFont="1" applyAlignment="1">
      <alignment horizontal="center"/>
    </xf>
    <xf numFmtId="173" fontId="122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0" fontId="113" fillId="8" borderId="14" xfId="0" applyFont="1" applyFill="1" applyBorder="1"/>
    <xf numFmtId="0" fontId="10" fillId="19" borderId="72" xfId="0" applyFont="1" applyFill="1" applyBorder="1" applyAlignment="1">
      <alignment horizontal="center" vertical="center"/>
    </xf>
    <xf numFmtId="1" fontId="13" fillId="18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2" fontId="5" fillId="7" borderId="0" xfId="0" applyNumberFormat="1" applyFont="1" applyFill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2" fontId="7" fillId="9" borderId="0" xfId="0" applyNumberFormat="1" applyFont="1" applyFill="1" applyAlignment="1">
      <alignment horizontal="right" vertical="center"/>
    </xf>
    <xf numFmtId="2" fontId="8" fillId="9" borderId="0" xfId="0" applyNumberFormat="1" applyFont="1" applyFill="1" applyAlignment="1">
      <alignment horizontal="right" vertical="center"/>
    </xf>
    <xf numFmtId="2" fontId="4" fillId="8" borderId="14" xfId="0" applyNumberFormat="1" applyFont="1" applyFill="1" applyBorder="1" applyAlignment="1">
      <alignment horizontal="right" vertical="center"/>
    </xf>
    <xf numFmtId="2" fontId="4" fillId="5" borderId="14" xfId="0" applyNumberFormat="1" applyFont="1" applyFill="1" applyBorder="1" applyAlignment="1">
      <alignment horizontal="right" vertical="center"/>
    </xf>
    <xf numFmtId="2" fontId="7" fillId="6" borderId="0" xfId="0" applyNumberFormat="1" applyFont="1" applyFill="1" applyAlignment="1">
      <alignment horizontal="right" vertical="center"/>
    </xf>
    <xf numFmtId="2" fontId="34" fillId="8" borderId="0" xfId="0" applyNumberFormat="1" applyFont="1" applyFill="1" applyAlignment="1">
      <alignment horizontal="right" vertical="center"/>
    </xf>
    <xf numFmtId="2" fontId="4" fillId="8" borderId="0" xfId="0" applyNumberFormat="1" applyFont="1" applyFill="1" applyAlignment="1">
      <alignment horizontal="right" vertical="center"/>
    </xf>
    <xf numFmtId="2" fontId="4" fillId="0" borderId="14" xfId="0" applyNumberFormat="1" applyFont="1" applyBorder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8" fillId="9" borderId="0" xfId="0" applyNumberFormat="1" applyFont="1" applyFill="1" applyAlignment="1">
      <alignment horizontal="right" vertical="center"/>
    </xf>
    <xf numFmtId="164" fontId="7" fillId="9" borderId="0" xfId="0" applyNumberFormat="1" applyFont="1" applyFill="1" applyAlignment="1">
      <alignment horizontal="right" vertical="center"/>
    </xf>
    <xf numFmtId="164" fontId="7" fillId="6" borderId="0" xfId="0" applyNumberFormat="1" applyFont="1" applyFill="1" applyAlignment="1">
      <alignment horizontal="right" vertical="center"/>
    </xf>
    <xf numFmtId="164" fontId="19" fillId="9" borderId="0" xfId="0" applyNumberFormat="1" applyFont="1" applyFill="1" applyAlignment="1">
      <alignment horizontal="right"/>
    </xf>
    <xf numFmtId="164" fontId="19" fillId="0" borderId="0" xfId="0" applyNumberFormat="1" applyFont="1" applyAlignment="1">
      <alignment horizontal="right"/>
    </xf>
    <xf numFmtId="172" fontId="19" fillId="0" borderId="0" xfId="0" applyNumberFormat="1" applyFont="1" applyAlignment="1">
      <alignment horizontal="right"/>
    </xf>
    <xf numFmtId="0" fontId="115" fillId="21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right"/>
    </xf>
    <xf numFmtId="0" fontId="123" fillId="18" borderId="0" xfId="0" applyFont="1" applyFill="1"/>
    <xf numFmtId="164" fontId="110" fillId="0" borderId="0" xfId="0" applyNumberFormat="1" applyFont="1"/>
    <xf numFmtId="164" fontId="29" fillId="21" borderId="0" xfId="0" applyNumberFormat="1" applyFont="1" applyFill="1"/>
    <xf numFmtId="167" fontId="19" fillId="9" borderId="3" xfId="0" applyNumberFormat="1" applyFont="1" applyFill="1" applyBorder="1" applyAlignment="1">
      <alignment horizontal="center"/>
    </xf>
    <xf numFmtId="10" fontId="20" fillId="0" borderId="0" xfId="0" applyNumberFormat="1" applyFont="1"/>
    <xf numFmtId="0" fontId="63" fillId="0" borderId="0" xfId="0" applyFont="1"/>
    <xf numFmtId="0" fontId="23" fillId="8" borderId="0" xfId="0" applyFont="1" applyFill="1"/>
    <xf numFmtId="0" fontId="27" fillId="12" borderId="0" xfId="0" applyFont="1" applyFill="1"/>
    <xf numFmtId="0" fontId="27" fillId="12" borderId="0" xfId="0" applyFont="1" applyFill="1" applyAlignment="1">
      <alignment horizontal="center"/>
    </xf>
    <xf numFmtId="2" fontId="110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27" fillId="17" borderId="0" xfId="0" applyFont="1" applyFill="1"/>
    <xf numFmtId="0" fontId="125" fillId="0" borderId="0" xfId="0" applyFont="1"/>
    <xf numFmtId="164" fontId="127" fillId="8" borderId="0" xfId="0" applyNumberFormat="1" applyFont="1" applyFill="1" applyAlignment="1">
      <alignment horizontal="center"/>
    </xf>
    <xf numFmtId="164" fontId="126" fillId="8" borderId="0" xfId="0" applyNumberFormat="1" applyFont="1" applyFill="1" applyAlignment="1">
      <alignment horizontal="center"/>
    </xf>
    <xf numFmtId="0" fontId="0" fillId="0" borderId="0" xfId="0" quotePrefix="1"/>
    <xf numFmtId="0" fontId="62" fillId="18" borderId="0" xfId="0" applyFont="1" applyFill="1" applyAlignment="1">
      <alignment horizontal="left" vertical="center" wrapText="1"/>
    </xf>
    <xf numFmtId="0" fontId="16" fillId="18" borderId="0" xfId="0" applyFont="1" applyFill="1" applyAlignment="1">
      <alignment horizontal="left" vertical="center" wrapText="1"/>
    </xf>
    <xf numFmtId="0" fontId="19" fillId="20" borderId="0" xfId="0" applyFont="1" applyFill="1" applyAlignment="1">
      <alignment vertical="center" wrapText="1"/>
    </xf>
    <xf numFmtId="2" fontId="19" fillId="20" borderId="0" xfId="0" applyNumberFormat="1" applyFont="1" applyFill="1" applyAlignment="1">
      <alignment horizontal="center" vertical="center" wrapText="1"/>
    </xf>
    <xf numFmtId="191" fontId="19" fillId="20" borderId="0" xfId="0" applyNumberFormat="1" applyFont="1" applyFill="1" applyAlignment="1">
      <alignment horizontal="center" vertical="center" wrapText="1"/>
    </xf>
    <xf numFmtId="0" fontId="64" fillId="20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2" fontId="19" fillId="9" borderId="0" xfId="0" applyNumberFormat="1" applyFont="1" applyFill="1" applyAlignment="1">
      <alignment horizontal="center" vertical="center" wrapText="1"/>
    </xf>
    <xf numFmtId="191" fontId="19" fillId="9" borderId="0" xfId="0" applyNumberFormat="1" applyFont="1" applyFill="1" applyAlignment="1">
      <alignment horizontal="center" vertical="center" wrapText="1"/>
    </xf>
    <xf numFmtId="0" fontId="64" fillId="9" borderId="0" xfId="0" applyFont="1" applyFill="1" applyAlignment="1">
      <alignment vertical="center" wrapText="1"/>
    </xf>
    <xf numFmtId="0" fontId="64" fillId="0" borderId="0" xfId="0" applyFont="1" applyAlignment="1">
      <alignment vertical="center" wrapText="1"/>
    </xf>
    <xf numFmtId="0" fontId="65" fillId="22" borderId="0" xfId="0" applyFont="1" applyFill="1" applyAlignment="1">
      <alignment horizontal="left" vertical="center" wrapText="1"/>
    </xf>
    <xf numFmtId="2" fontId="23" fillId="20" borderId="0" xfId="0" applyNumberFormat="1" applyFont="1" applyFill="1" applyAlignment="1">
      <alignment horizontal="center" vertical="center" wrapText="1"/>
    </xf>
    <xf numFmtId="0" fontId="65" fillId="18" borderId="0" xfId="0" applyFont="1" applyFill="1" applyAlignment="1">
      <alignment horizontal="left" vertical="center" wrapText="1"/>
    </xf>
    <xf numFmtId="0" fontId="65" fillId="18" borderId="0" xfId="0" applyFont="1" applyFill="1" applyAlignment="1">
      <alignment horizontal="center" vertical="center" wrapText="1"/>
    </xf>
    <xf numFmtId="0" fontId="23" fillId="20" borderId="0" xfId="0" applyFont="1" applyFill="1" applyAlignment="1">
      <alignment vertical="center" wrapText="1"/>
    </xf>
    <xf numFmtId="164" fontId="23" fillId="20" borderId="0" xfId="0" applyNumberFormat="1" applyFont="1" applyFill="1" applyAlignment="1">
      <alignment horizontal="center" vertical="center" wrapText="1"/>
    </xf>
    <xf numFmtId="164" fontId="78" fillId="9" borderId="0" xfId="0" applyNumberFormat="1" applyFont="1" applyFill="1" applyAlignment="1">
      <alignment horizontal="center" vertical="center" wrapText="1"/>
    </xf>
    <xf numFmtId="0" fontId="64" fillId="9" borderId="0" xfId="0" quotePrefix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18" borderId="0" xfId="0" applyFill="1" applyAlignment="1">
      <alignment vertical="center" wrapText="1"/>
    </xf>
    <xf numFmtId="2" fontId="20" fillId="20" borderId="0" xfId="0" applyNumberFormat="1" applyFont="1" applyFill="1" applyAlignment="1">
      <alignment horizontal="right" vertical="center" wrapText="1"/>
    </xf>
    <xf numFmtId="0" fontId="19" fillId="20" borderId="73" xfId="0" applyFont="1" applyFill="1" applyBorder="1" applyAlignment="1">
      <alignment horizontal="left" vertical="center" wrapText="1"/>
    </xf>
    <xf numFmtId="2" fontId="20" fillId="20" borderId="74" xfId="0" applyNumberFormat="1" applyFont="1" applyFill="1" applyBorder="1" applyAlignment="1">
      <alignment horizontal="right" vertical="center" wrapText="1"/>
    </xf>
    <xf numFmtId="0" fontId="19" fillId="20" borderId="75" xfId="0" applyFont="1" applyFill="1" applyBorder="1" applyAlignment="1">
      <alignment horizontal="left" vertical="center" wrapText="1"/>
    </xf>
    <xf numFmtId="171" fontId="25" fillId="20" borderId="76" xfId="0" applyNumberFormat="1" applyFont="1" applyFill="1" applyBorder="1" applyAlignment="1">
      <alignment horizontal="right" vertical="center" wrapText="1"/>
    </xf>
    <xf numFmtId="171" fontId="20" fillId="20" borderId="76" xfId="0" applyNumberFormat="1" applyFont="1" applyFill="1" applyBorder="1" applyAlignment="1">
      <alignment horizontal="right" vertical="center" wrapText="1"/>
    </xf>
    <xf numFmtId="0" fontId="19" fillId="20" borderId="77" xfId="0" applyFont="1" applyFill="1" applyBorder="1" applyAlignment="1">
      <alignment horizontal="left" vertical="center" wrapText="1"/>
    </xf>
    <xf numFmtId="178" fontId="20" fillId="20" borderId="76" xfId="0" applyNumberFormat="1" applyFont="1" applyFill="1" applyBorder="1" applyAlignment="1">
      <alignment horizontal="right" vertical="center" wrapText="1"/>
    </xf>
    <xf numFmtId="178" fontId="25" fillId="20" borderId="78" xfId="0" applyNumberFormat="1" applyFont="1" applyFill="1" applyBorder="1" applyAlignment="1">
      <alignment horizontal="right" vertical="center" wrapText="1"/>
    </xf>
    <xf numFmtId="0" fontId="65" fillId="18" borderId="79" xfId="0" applyFont="1" applyFill="1" applyBorder="1" applyAlignment="1">
      <alignment horizontal="left" vertical="center" wrapText="1"/>
    </xf>
    <xf numFmtId="0" fontId="65" fillId="18" borderId="79" xfId="0" applyFont="1" applyFill="1" applyBorder="1" applyAlignment="1">
      <alignment horizontal="center" vertical="center" wrapText="1"/>
    </xf>
    <xf numFmtId="0" fontId="65" fillId="18" borderId="82" xfId="0" applyFont="1" applyFill="1" applyBorder="1" applyAlignment="1">
      <alignment horizontal="left" vertical="center" wrapText="1"/>
    </xf>
    <xf numFmtId="0" fontId="19" fillId="20" borderId="82" xfId="0" applyFont="1" applyFill="1" applyBorder="1" applyAlignment="1">
      <alignment vertical="center" wrapText="1"/>
    </xf>
    <xf numFmtId="0" fontId="19" fillId="20" borderId="0" xfId="0" applyFont="1" applyFill="1" applyAlignment="1">
      <alignment horizontal="center" vertical="center" wrapText="1"/>
    </xf>
    <xf numFmtId="0" fontId="65" fillId="18" borderId="83" xfId="0" applyFont="1" applyFill="1" applyBorder="1" applyAlignment="1">
      <alignment horizontal="left" vertical="center" wrapText="1"/>
    </xf>
    <xf numFmtId="0" fontId="64" fillId="20" borderId="83" xfId="0" applyFont="1" applyFill="1" applyBorder="1" applyAlignment="1">
      <alignment vertical="center" wrapText="1"/>
    </xf>
    <xf numFmtId="0" fontId="19" fillId="9" borderId="84" xfId="0" applyFont="1" applyFill="1" applyBorder="1" applyAlignment="1">
      <alignment vertical="center" wrapText="1"/>
    </xf>
    <xf numFmtId="0" fontId="19" fillId="9" borderId="0" xfId="0" applyFont="1" applyFill="1" applyAlignment="1">
      <alignment horizontal="center" vertical="center" wrapText="1"/>
    </xf>
    <xf numFmtId="0" fontId="64" fillId="9" borderId="85" xfId="0" applyFont="1" applyFill="1" applyBorder="1" applyAlignment="1">
      <alignment vertical="center" wrapText="1"/>
    </xf>
    <xf numFmtId="0" fontId="19" fillId="20" borderId="84" xfId="0" applyFont="1" applyFill="1" applyBorder="1" applyAlignment="1">
      <alignment vertical="center" wrapText="1"/>
    </xf>
    <xf numFmtId="0" fontId="64" fillId="20" borderId="85" xfId="0" applyFont="1" applyFill="1" applyBorder="1" applyAlignment="1">
      <alignment vertical="center" wrapText="1"/>
    </xf>
    <xf numFmtId="0" fontId="23" fillId="8" borderId="86" xfId="0" applyFont="1" applyFill="1" applyBorder="1" applyAlignment="1">
      <alignment vertical="center" wrapText="1"/>
    </xf>
    <xf numFmtId="0" fontId="23" fillId="8" borderId="87" xfId="0" applyFont="1" applyFill="1" applyBorder="1" applyAlignment="1">
      <alignment vertical="center" wrapText="1"/>
    </xf>
    <xf numFmtId="2" fontId="23" fillId="8" borderId="86" xfId="0" applyNumberFormat="1" applyFont="1" applyFill="1" applyBorder="1" applyAlignment="1">
      <alignment horizontal="center" vertical="center" wrapText="1"/>
    </xf>
    <xf numFmtId="164" fontId="23" fillId="8" borderId="86" xfId="0" applyNumberFormat="1" applyFont="1" applyFill="1" applyBorder="1" applyAlignment="1">
      <alignment horizontal="center" vertical="center" wrapText="1"/>
    </xf>
    <xf numFmtId="0" fontId="23" fillId="8" borderId="86" xfId="0" applyFont="1" applyFill="1" applyBorder="1" applyAlignment="1">
      <alignment horizontal="center" vertical="center" wrapText="1"/>
    </xf>
    <xf numFmtId="0" fontId="79" fillId="8" borderId="88" xfId="0" applyFont="1" applyFill="1" applyBorder="1" applyAlignment="1">
      <alignment vertical="center" wrapText="1"/>
    </xf>
    <xf numFmtId="0" fontId="48" fillId="15" borderId="80" xfId="0" applyFont="1" applyFill="1" applyBorder="1" applyAlignment="1">
      <alignment horizontal="left" vertical="center" wrapText="1"/>
    </xf>
    <xf numFmtId="0" fontId="0" fillId="15" borderId="79" xfId="0" applyFill="1" applyBorder="1" applyAlignment="1">
      <alignment vertical="center" wrapText="1"/>
    </xf>
    <xf numFmtId="0" fontId="0" fillId="15" borderId="81" xfId="0" applyFill="1" applyBorder="1" applyAlignment="1">
      <alignment vertical="center" wrapText="1"/>
    </xf>
    <xf numFmtId="1" fontId="20" fillId="20" borderId="0" xfId="0" applyNumberFormat="1" applyFont="1" applyFill="1" applyAlignment="1">
      <alignment horizontal="right" vertical="center" wrapText="1"/>
    </xf>
    <xf numFmtId="164" fontId="20" fillId="9" borderId="0" xfId="0" applyNumberFormat="1" applyFont="1" applyFill="1" applyAlignment="1">
      <alignment horizontal="right" vertical="center" wrapText="1"/>
    </xf>
    <xf numFmtId="164" fontId="20" fillId="20" borderId="0" xfId="0" applyNumberFormat="1" applyFont="1" applyFill="1" applyAlignment="1">
      <alignment horizontal="right" vertical="center" wrapText="1"/>
    </xf>
    <xf numFmtId="2" fontId="23" fillId="8" borderId="86" xfId="0" applyNumberFormat="1" applyFont="1" applyFill="1" applyBorder="1" applyAlignment="1">
      <alignment horizontal="right" vertical="center" wrapText="1"/>
    </xf>
    <xf numFmtId="0" fontId="79" fillId="8" borderId="86" xfId="0" quotePrefix="1" applyFont="1" applyFill="1" applyBorder="1" applyAlignment="1">
      <alignment vertical="center" wrapText="1"/>
    </xf>
    <xf numFmtId="0" fontId="48" fillId="16" borderId="80" xfId="0" applyFont="1" applyFill="1" applyBorder="1" applyAlignment="1">
      <alignment horizontal="left" vertical="center" wrapText="1"/>
    </xf>
    <xf numFmtId="0" fontId="0" fillId="16" borderId="79" xfId="0" applyFill="1" applyBorder="1" applyAlignment="1">
      <alignment vertical="center" wrapText="1"/>
    </xf>
    <xf numFmtId="0" fontId="0" fillId="16" borderId="81" xfId="0" applyFill="1" applyBorder="1" applyAlignment="1">
      <alignment vertical="center" wrapText="1"/>
    </xf>
    <xf numFmtId="175" fontId="20" fillId="20" borderId="0" xfId="0" applyNumberFormat="1" applyFont="1" applyFill="1" applyAlignment="1">
      <alignment horizontal="right" vertical="center" wrapText="1"/>
    </xf>
    <xf numFmtId="2" fontId="20" fillId="9" borderId="0" xfId="0" applyNumberFormat="1" applyFont="1" applyFill="1" applyAlignment="1">
      <alignment horizontal="right" vertical="center" wrapText="1"/>
    </xf>
    <xf numFmtId="170" fontId="20" fillId="20" borderId="0" xfId="0" applyNumberFormat="1" applyFont="1" applyFill="1" applyAlignment="1">
      <alignment horizontal="right" vertical="center" wrapText="1"/>
    </xf>
    <xf numFmtId="170" fontId="20" fillId="9" borderId="0" xfId="0" applyNumberFormat="1" applyFont="1" applyFill="1" applyAlignment="1">
      <alignment horizontal="right" vertical="center" wrapText="1"/>
    </xf>
    <xf numFmtId="0" fontId="79" fillId="8" borderId="88" xfId="0" quotePrefix="1" applyFont="1" applyFill="1" applyBorder="1" applyAlignment="1">
      <alignment vertical="center" wrapText="1"/>
    </xf>
    <xf numFmtId="0" fontId="0" fillId="22" borderId="0" xfId="0" applyFill="1" applyAlignment="1">
      <alignment vertical="center" wrapText="1"/>
    </xf>
    <xf numFmtId="1" fontId="20" fillId="9" borderId="0" xfId="0" applyNumberFormat="1" applyFont="1" applyFill="1" applyAlignment="1">
      <alignment horizontal="right" vertical="center" wrapText="1"/>
    </xf>
    <xf numFmtId="170" fontId="19" fillId="9" borderId="0" xfId="0" applyNumberFormat="1" applyFont="1" applyFill="1" applyAlignment="1">
      <alignment horizontal="right" vertical="center" wrapText="1"/>
    </xf>
    <xf numFmtId="192" fontId="19" fillId="20" borderId="0" xfId="0" applyNumberFormat="1" applyFont="1" applyFill="1" applyAlignment="1">
      <alignment horizontal="right" vertical="center" wrapText="1"/>
    </xf>
    <xf numFmtId="169" fontId="20" fillId="9" borderId="0" xfId="0" applyNumberFormat="1" applyFont="1" applyFill="1" applyAlignment="1">
      <alignment horizontal="right" vertical="center" wrapText="1"/>
    </xf>
    <xf numFmtId="2" fontId="19" fillId="20" borderId="0" xfId="0" applyNumberFormat="1" applyFont="1" applyFill="1" applyAlignment="1">
      <alignment horizontal="right" vertical="center" wrapText="1"/>
    </xf>
    <xf numFmtId="169" fontId="20" fillId="20" borderId="0" xfId="0" applyNumberFormat="1" applyFont="1" applyFill="1" applyAlignment="1">
      <alignment horizontal="right" vertical="center" wrapText="1"/>
    </xf>
    <xf numFmtId="2" fontId="23" fillId="19" borderId="0" xfId="0" applyNumberFormat="1" applyFont="1" applyFill="1" applyAlignment="1">
      <alignment horizontal="center" vertical="center" wrapText="1"/>
    </xf>
    <xf numFmtId="0" fontId="48" fillId="17" borderId="80" xfId="0" applyFont="1" applyFill="1" applyBorder="1" applyAlignment="1">
      <alignment horizontal="left" vertical="center" wrapText="1"/>
    </xf>
    <xf numFmtId="0" fontId="0" fillId="17" borderId="79" xfId="0" applyFill="1" applyBorder="1" applyAlignment="1">
      <alignment vertical="center" wrapText="1"/>
    </xf>
    <xf numFmtId="0" fontId="0" fillId="17" borderId="81" xfId="0" applyFill="1" applyBorder="1" applyAlignment="1">
      <alignment vertical="center" wrapText="1"/>
    </xf>
    <xf numFmtId="193" fontId="20" fillId="20" borderId="0" xfId="0" applyNumberFormat="1" applyFont="1" applyFill="1" applyAlignment="1">
      <alignment horizontal="right" vertical="center" wrapText="1"/>
    </xf>
    <xf numFmtId="188" fontId="19" fillId="20" borderId="72" xfId="0" applyNumberFormat="1" applyFont="1" applyFill="1" applyBorder="1" applyAlignment="1">
      <alignment horizontal="right" vertical="center" wrapText="1"/>
    </xf>
    <xf numFmtId="188" fontId="19" fillId="9" borderId="85" xfId="0" applyNumberFormat="1" applyFont="1" applyFill="1" applyBorder="1" applyAlignment="1">
      <alignment horizontal="right" vertical="center" wrapText="1"/>
    </xf>
    <xf numFmtId="188" fontId="23" fillId="8" borderId="72" xfId="0" applyNumberFormat="1" applyFont="1" applyFill="1" applyBorder="1" applyAlignment="1">
      <alignment horizontal="right" vertical="center" wrapText="1"/>
    </xf>
    <xf numFmtId="0" fontId="23" fillId="8" borderId="82" xfId="0" applyFont="1" applyFill="1" applyBorder="1" applyAlignment="1">
      <alignment vertical="center" wrapText="1"/>
    </xf>
    <xf numFmtId="0" fontId="19" fillId="20" borderId="90" xfId="0" applyFont="1" applyFill="1" applyBorder="1" applyAlignment="1">
      <alignment vertical="center" wrapText="1"/>
    </xf>
    <xf numFmtId="188" fontId="19" fillId="20" borderId="89" xfId="0" applyNumberFormat="1" applyFont="1" applyFill="1" applyBorder="1" applyAlignment="1">
      <alignment horizontal="right" vertical="center" wrapText="1"/>
    </xf>
    <xf numFmtId="9" fontId="78" fillId="20" borderId="0" xfId="0" applyNumberFormat="1" applyFont="1" applyFill="1" applyAlignment="1">
      <alignment horizontal="center" vertical="center" wrapText="1"/>
    </xf>
    <xf numFmtId="190" fontId="97" fillId="9" borderId="0" xfId="0" applyNumberFormat="1" applyFont="1" applyFill="1" applyAlignment="1">
      <alignment horizontal="center" vertical="center" wrapText="1"/>
    </xf>
    <xf numFmtId="2" fontId="94" fillId="20" borderId="0" xfId="0" applyNumberFormat="1" applyFont="1" applyFill="1" applyAlignment="1">
      <alignment horizontal="center" vertical="center" wrapText="1"/>
    </xf>
    <xf numFmtId="2" fontId="23" fillId="8" borderId="91" xfId="0" applyNumberFormat="1" applyFont="1" applyFill="1" applyBorder="1" applyAlignment="1">
      <alignment horizontal="center" vertical="center" wrapText="1"/>
    </xf>
    <xf numFmtId="2" fontId="25" fillId="20" borderId="0" xfId="0" applyNumberFormat="1" applyFont="1" applyFill="1" applyAlignment="1">
      <alignment horizontal="center" vertical="center" wrapText="1"/>
    </xf>
    <xf numFmtId="191" fontId="129" fillId="8" borderId="86" xfId="0" applyNumberFormat="1" applyFont="1" applyFill="1" applyBorder="1" applyAlignment="1">
      <alignment horizontal="center" vertical="center" wrapText="1"/>
    </xf>
    <xf numFmtId="178" fontId="25" fillId="20" borderId="0" xfId="0" applyNumberFormat="1" applyFont="1" applyFill="1" applyAlignment="1">
      <alignment horizontal="center" vertical="center" wrapText="1"/>
    </xf>
    <xf numFmtId="178" fontId="25" fillId="9" borderId="0" xfId="0" applyNumberFormat="1" applyFont="1" applyFill="1" applyAlignment="1">
      <alignment horizontal="center" vertical="center" wrapText="1"/>
    </xf>
    <xf numFmtId="191" fontId="130" fillId="20" borderId="0" xfId="0" applyNumberFormat="1" applyFont="1" applyFill="1" applyAlignment="1">
      <alignment horizontal="center" vertical="center" wrapText="1"/>
    </xf>
    <xf numFmtId="188" fontId="19" fillId="9" borderId="0" xfId="0" applyNumberFormat="1" applyFont="1" applyFill="1" applyAlignment="1">
      <alignment horizontal="center" vertical="center" wrapText="1"/>
    </xf>
    <xf numFmtId="191" fontId="21" fillId="8" borderId="86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94" fontId="0" fillId="0" borderId="0" xfId="0" applyNumberFormat="1"/>
    <xf numFmtId="2" fontId="19" fillId="15" borderId="0" xfId="0" applyNumberFormat="1" applyFont="1" applyFill="1" applyAlignment="1">
      <alignment horizontal="right"/>
    </xf>
    <xf numFmtId="2" fontId="19" fillId="16" borderId="0" xfId="0" applyNumberFormat="1" applyFont="1" applyFill="1" applyAlignment="1">
      <alignment horizontal="right"/>
    </xf>
    <xf numFmtId="2" fontId="19" fillId="17" borderId="0" xfId="0" applyNumberFormat="1" applyFont="1" applyFill="1" applyAlignment="1">
      <alignment horizontal="right"/>
    </xf>
    <xf numFmtId="187" fontId="23" fillId="21" borderId="0" xfId="0" applyNumberFormat="1" applyFont="1" applyFill="1" applyAlignment="1">
      <alignment horizontal="center"/>
    </xf>
    <xf numFmtId="0" fontId="88" fillId="0" borderId="0" xfId="0" applyFont="1" applyAlignment="1">
      <alignment wrapText="1"/>
    </xf>
    <xf numFmtId="0" fontId="64" fillId="0" borderId="0" xfId="0" applyFont="1" applyAlignment="1">
      <alignment vertical="center"/>
    </xf>
    <xf numFmtId="0" fontId="64" fillId="20" borderId="0" xfId="0" applyFont="1" applyFill="1" applyAlignment="1">
      <alignment vertical="center"/>
    </xf>
    <xf numFmtId="0" fontId="64" fillId="9" borderId="0" xfId="0" applyFont="1" applyFill="1" applyAlignment="1">
      <alignment vertical="center"/>
    </xf>
    <xf numFmtId="0" fontId="79" fillId="8" borderId="86" xfId="0" quotePrefix="1" applyFont="1" applyFill="1" applyBorder="1" applyAlignment="1">
      <alignment vertical="center"/>
    </xf>
    <xf numFmtId="0" fontId="13" fillId="23" borderId="0" xfId="0" applyFont="1" applyFill="1" applyAlignment="1">
      <alignment horizontal="center" vertical="center"/>
    </xf>
    <xf numFmtId="164" fontId="132" fillId="0" borderId="0" xfId="0" applyNumberFormat="1" applyFont="1"/>
    <xf numFmtId="170" fontId="132" fillId="0" borderId="0" xfId="0" applyNumberFormat="1" applyFont="1"/>
    <xf numFmtId="0" fontId="27" fillId="23" borderId="0" xfId="0" applyFont="1" applyFill="1" applyAlignment="1">
      <alignment horizontal="center"/>
    </xf>
    <xf numFmtId="0" fontId="64" fillId="20" borderId="0" xfId="0" quotePrefix="1" applyFont="1" applyFill="1" applyAlignment="1">
      <alignment vertical="center"/>
    </xf>
    <xf numFmtId="164" fontId="110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27" fillId="12" borderId="0" xfId="0" applyFont="1" applyFill="1" applyAlignment="1">
      <alignment horizontal="right"/>
    </xf>
    <xf numFmtId="164" fontId="27" fillId="8" borderId="0" xfId="0" applyNumberFormat="1" applyFont="1" applyFill="1"/>
    <xf numFmtId="0" fontId="65" fillId="18" borderId="0" xfId="0" applyFont="1" applyFill="1" applyAlignment="1">
      <alignment horizontal="center" vertical="center"/>
    </xf>
    <xf numFmtId="0" fontId="128" fillId="8" borderId="8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18" borderId="0" xfId="0" applyFill="1" applyAlignment="1">
      <alignment vertical="center"/>
    </xf>
    <xf numFmtId="0" fontId="65" fillId="18" borderId="0" xfId="0" applyFont="1" applyFill="1" applyAlignment="1">
      <alignment horizontal="left" vertical="center"/>
    </xf>
    <xf numFmtId="0" fontId="79" fillId="8" borderId="86" xfId="0" applyFont="1" applyFill="1" applyBorder="1" applyAlignment="1">
      <alignment vertical="center"/>
    </xf>
    <xf numFmtId="173" fontId="27" fillId="17" borderId="0" xfId="0" applyNumberFormat="1" applyFont="1" applyFill="1"/>
    <xf numFmtId="164" fontId="27" fillId="17" borderId="0" xfId="0" applyNumberFormat="1" applyFont="1" applyFill="1"/>
    <xf numFmtId="0" fontId="23" fillId="15" borderId="0" xfId="0" applyFont="1" applyFill="1"/>
    <xf numFmtId="0" fontId="133" fillId="0" borderId="0" xfId="0" applyFont="1"/>
    <xf numFmtId="0" fontId="93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124" fillId="0" borderId="0" xfId="0" applyFont="1" applyAlignment="1">
      <alignment vertical="center"/>
    </xf>
    <xf numFmtId="0" fontId="131" fillId="0" borderId="0" xfId="0" applyFont="1"/>
    <xf numFmtId="0" fontId="64" fillId="20" borderId="82" xfId="0" applyFont="1" applyFill="1" applyBorder="1" applyAlignment="1">
      <alignment vertical="center"/>
    </xf>
    <xf numFmtId="0" fontId="79" fillId="8" borderId="82" xfId="0" applyFont="1" applyFill="1" applyBorder="1" applyAlignment="1">
      <alignment vertical="center"/>
    </xf>
    <xf numFmtId="0" fontId="64" fillId="20" borderId="90" xfId="0" applyFont="1" applyFill="1" applyBorder="1" applyAlignment="1">
      <alignment vertical="center"/>
    </xf>
    <xf numFmtId="0" fontId="29" fillId="0" borderId="0" xfId="0" applyFont="1"/>
    <xf numFmtId="0" fontId="134" fillId="0" borderId="0" xfId="0" applyFont="1"/>
    <xf numFmtId="0" fontId="53" fillId="0" borderId="0" xfId="0" applyFont="1"/>
    <xf numFmtId="173" fontId="0" fillId="0" borderId="0" xfId="0" applyNumberFormat="1" applyAlignment="1">
      <alignment horizontal="right"/>
    </xf>
    <xf numFmtId="173" fontId="27" fillId="8" borderId="0" xfId="0" applyNumberFormat="1" applyFont="1" applyFill="1" applyAlignment="1">
      <alignment horizontal="right"/>
    </xf>
    <xf numFmtId="173" fontId="27" fillId="17" borderId="0" xfId="0" applyNumberFormat="1" applyFont="1" applyFill="1" applyAlignment="1">
      <alignment horizontal="right"/>
    </xf>
    <xf numFmtId="173" fontId="60" fillId="0" borderId="0" xfId="0" applyNumberFormat="1" applyFont="1" applyAlignment="1">
      <alignment horizontal="right"/>
    </xf>
    <xf numFmtId="0" fontId="27" fillId="15" borderId="0" xfId="0" applyFont="1" applyFill="1"/>
    <xf numFmtId="195" fontId="27" fillId="15" borderId="0" xfId="0" applyNumberFormat="1" applyFont="1" applyFill="1" applyAlignment="1">
      <alignment horizontal="right"/>
    </xf>
    <xf numFmtId="191" fontId="66" fillId="0" borderId="0" xfId="0" applyNumberFormat="1" applyFont="1" applyAlignment="1">
      <alignment horizontal="right"/>
    </xf>
    <xf numFmtId="0" fontId="22" fillId="9" borderId="20" xfId="0" applyFont="1" applyFill="1" applyBorder="1" applyAlignment="1">
      <alignment wrapText="1"/>
    </xf>
    <xf numFmtId="0" fontId="14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right" vertical="center"/>
    </xf>
    <xf numFmtId="0" fontId="29" fillId="12" borderId="0" xfId="0" applyFont="1" applyFill="1"/>
    <xf numFmtId="0" fontId="47" fillId="0" borderId="0" xfId="0" applyFont="1" applyAlignment="1">
      <alignment horizontal="left" vertical="center" wrapText="1"/>
    </xf>
    <xf numFmtId="173" fontId="47" fillId="0" borderId="0" xfId="0" applyNumberFormat="1" applyFont="1" applyAlignment="1">
      <alignment horizontal="right" vertical="center"/>
    </xf>
    <xf numFmtId="173" fontId="135" fillId="0" borderId="0" xfId="0" applyNumberFormat="1" applyFont="1" applyAlignment="1">
      <alignment horizontal="right" vertical="center" wrapText="1"/>
    </xf>
    <xf numFmtId="0" fontId="136" fillId="0" borderId="0" xfId="0" applyFont="1" applyAlignment="1">
      <alignment horizontal="right" vertical="center" wrapText="1"/>
    </xf>
    <xf numFmtId="168" fontId="136" fillId="0" borderId="0" xfId="0" applyNumberFormat="1" applyFont="1" applyAlignment="1">
      <alignment horizontal="right" vertical="center"/>
    </xf>
    <xf numFmtId="0" fontId="6" fillId="12" borderId="0" xfId="0" applyFont="1" applyFill="1" applyAlignment="1">
      <alignment horizontal="left" vertical="center" wrapText="1"/>
    </xf>
    <xf numFmtId="164" fontId="138" fillId="12" borderId="0" xfId="0" applyNumberFormat="1" applyFont="1" applyFill="1" applyAlignment="1">
      <alignment horizontal="center" vertical="center"/>
    </xf>
    <xf numFmtId="164" fontId="114" fillId="0" borderId="0" xfId="0" applyNumberFormat="1" applyFont="1" applyAlignment="1">
      <alignment horizontal="center" vertical="center"/>
    </xf>
    <xf numFmtId="173" fontId="47" fillId="5" borderId="0" xfId="0" applyNumberFormat="1" applyFont="1" applyFill="1" applyAlignment="1">
      <alignment horizontal="right" vertical="center"/>
    </xf>
    <xf numFmtId="195" fontId="0" fillId="0" borderId="0" xfId="0" applyNumberFormat="1" applyAlignment="1">
      <alignment horizontal="right"/>
    </xf>
    <xf numFmtId="191" fontId="0" fillId="0" borderId="0" xfId="0" applyNumberFormat="1" applyAlignment="1">
      <alignment horizontal="right"/>
    </xf>
    <xf numFmtId="164" fontId="27" fillId="8" borderId="0" xfId="0" applyNumberFormat="1" applyFont="1" applyFill="1" applyAlignment="1">
      <alignment horizontal="center"/>
    </xf>
    <xf numFmtId="195" fontId="27" fillId="8" borderId="0" xfId="0" applyNumberFormat="1" applyFont="1" applyFill="1" applyAlignment="1">
      <alignment horizontal="right"/>
    </xf>
    <xf numFmtId="191" fontId="27" fillId="8" borderId="0" xfId="0" applyNumberFormat="1" applyFont="1" applyFill="1" applyAlignment="1">
      <alignment horizontal="right"/>
    </xf>
    <xf numFmtId="175" fontId="0" fillId="9" borderId="0" xfId="0" applyNumberFormat="1" applyFill="1" applyAlignment="1">
      <alignment horizontal="right"/>
    </xf>
    <xf numFmtId="0" fontId="0" fillId="9" borderId="0" xfId="0" quotePrefix="1" applyFill="1" applyAlignment="1">
      <alignment horizontal="center"/>
    </xf>
    <xf numFmtId="0" fontId="27" fillId="9" borderId="0" xfId="0" applyFont="1" applyFill="1" applyAlignment="1">
      <alignment horizontal="center"/>
    </xf>
    <xf numFmtId="168" fontId="6" fillId="12" borderId="0" xfId="0" applyNumberFormat="1" applyFont="1" applyFill="1" applyAlignment="1">
      <alignment horizontal="right" vertical="center" wrapText="1"/>
    </xf>
    <xf numFmtId="164" fontId="138" fillId="12" borderId="0" xfId="0" applyNumberFormat="1" applyFont="1" applyFill="1" applyAlignment="1">
      <alignment horizontal="right" vertical="center" wrapText="1"/>
    </xf>
    <xf numFmtId="0" fontId="27" fillId="12" borderId="0" xfId="0" applyFont="1" applyFill="1" applyAlignment="1">
      <alignment horizontal="right" wrapText="1"/>
    </xf>
    <xf numFmtId="0" fontId="137" fillId="19" borderId="0" xfId="0" applyFont="1" applyFill="1" applyAlignment="1">
      <alignment horizontal="center" vertical="center" wrapText="1"/>
    </xf>
    <xf numFmtId="0" fontId="30" fillId="12" borderId="10" xfId="0" applyFont="1" applyFill="1" applyBorder="1"/>
    <xf numFmtId="10" fontId="23" fillId="8" borderId="8" xfId="0" applyNumberFormat="1" applyFont="1" applyFill="1" applyBorder="1" applyAlignment="1">
      <alignment horizontal="center"/>
    </xf>
    <xf numFmtId="169" fontId="23" fillId="12" borderId="11" xfId="0" applyNumberFormat="1" applyFont="1" applyFill="1" applyBorder="1" applyAlignment="1">
      <alignment horizontal="center"/>
    </xf>
    <xf numFmtId="169" fontId="23" fillId="8" borderId="11" xfId="0" applyNumberFormat="1" applyFont="1" applyFill="1" applyBorder="1" applyAlignment="1">
      <alignment horizontal="center"/>
    </xf>
    <xf numFmtId="169" fontId="23" fillId="12" borderId="12" xfId="0" applyNumberFormat="1" applyFont="1" applyFill="1" applyBorder="1" applyAlignment="1">
      <alignment horizontal="center"/>
    </xf>
    <xf numFmtId="164" fontId="23" fillId="12" borderId="11" xfId="0" applyNumberFormat="1" applyFont="1" applyFill="1" applyBorder="1" applyAlignment="1">
      <alignment horizontal="center"/>
    </xf>
    <xf numFmtId="164" fontId="23" fillId="8" borderId="11" xfId="0" applyNumberFormat="1" applyFont="1" applyFill="1" applyBorder="1" applyAlignment="1">
      <alignment horizontal="center"/>
    </xf>
    <xf numFmtId="164" fontId="23" fillId="12" borderId="12" xfId="0" applyNumberFormat="1" applyFont="1" applyFill="1" applyBorder="1" applyAlignment="1">
      <alignment horizontal="center"/>
    </xf>
    <xf numFmtId="2" fontId="23" fillId="8" borderId="8" xfId="0" applyNumberFormat="1" applyFont="1" applyFill="1" applyBorder="1" applyAlignment="1">
      <alignment horizontal="center"/>
    </xf>
    <xf numFmtId="164" fontId="27" fillId="12" borderId="11" xfId="0" applyNumberFormat="1" applyFont="1" applyFill="1" applyBorder="1" applyAlignment="1">
      <alignment horizontal="center"/>
    </xf>
    <xf numFmtId="164" fontId="27" fillId="8" borderId="11" xfId="0" applyNumberFormat="1" applyFont="1" applyFill="1" applyBorder="1" applyAlignment="1">
      <alignment horizontal="center"/>
    </xf>
    <xf numFmtId="164" fontId="27" fillId="12" borderId="12" xfId="0" applyNumberFormat="1" applyFont="1" applyFill="1" applyBorder="1" applyAlignment="1">
      <alignment horizontal="center"/>
    </xf>
    <xf numFmtId="0" fontId="115" fillId="1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34" fillId="11" borderId="0" xfId="0" applyNumberFormat="1" applyFont="1" applyFill="1" applyAlignment="1">
      <alignment horizontal="center"/>
    </xf>
    <xf numFmtId="164" fontId="34" fillId="8" borderId="0" xfId="0" applyNumberFormat="1" applyFont="1" applyFill="1" applyAlignment="1">
      <alignment horizontal="center"/>
    </xf>
    <xf numFmtId="9" fontId="110" fillId="0" borderId="0" xfId="0" applyNumberFormat="1" applyFont="1" applyAlignment="1">
      <alignment horizontal="center"/>
    </xf>
    <xf numFmtId="9" fontId="41" fillId="8" borderId="0" xfId="0" applyNumberFormat="1" applyFont="1" applyFill="1" applyAlignment="1">
      <alignment horizontal="center"/>
    </xf>
    <xf numFmtId="9" fontId="41" fillId="1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64" fontId="0" fillId="0" borderId="0" xfId="0" applyNumberFormat="1" applyAlignment="1">
      <alignment wrapText="1"/>
    </xf>
    <xf numFmtId="164" fontId="27" fillId="8" borderId="0" xfId="0" applyNumberFormat="1" applyFont="1" applyFill="1" applyAlignment="1">
      <alignment wrapText="1"/>
    </xf>
    <xf numFmtId="171" fontId="27" fillId="0" borderId="0" xfId="0" applyNumberFormat="1" applyFont="1" applyAlignment="1">
      <alignment horizontal="center"/>
    </xf>
    <xf numFmtId="171" fontId="27" fillId="8" borderId="0" xfId="0" applyNumberFormat="1" applyFont="1" applyFill="1" applyAlignment="1">
      <alignment horizontal="center"/>
    </xf>
    <xf numFmtId="2" fontId="27" fillId="8" borderId="0" xfId="0" applyNumberFormat="1" applyFont="1" applyFill="1" applyAlignment="1">
      <alignment horizontal="center"/>
    </xf>
    <xf numFmtId="171" fontId="0" fillId="0" borderId="0" xfId="0" applyNumberForma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60" fillId="0" borderId="0" xfId="0" applyFont="1" applyAlignment="1">
      <alignment wrapText="1"/>
    </xf>
    <xf numFmtId="0" fontId="27" fillId="8" borderId="0" xfId="0" applyFont="1" applyFill="1" applyAlignment="1">
      <alignment wrapText="1"/>
    </xf>
    <xf numFmtId="0" fontId="27" fillId="12" borderId="0" xfId="0" applyFont="1" applyFill="1" applyAlignment="1">
      <alignment wrapText="1"/>
    </xf>
    <xf numFmtId="0" fontId="27" fillId="12" borderId="0" xfId="0" applyFont="1" applyFill="1" applyAlignment="1">
      <alignment horizontal="center" wrapText="1"/>
    </xf>
    <xf numFmtId="171" fontId="27" fillId="17" borderId="0" xfId="0" applyNumberFormat="1" applyFont="1" applyFill="1"/>
    <xf numFmtId="179" fontId="27" fillId="17" borderId="0" xfId="0" applyNumberFormat="1" applyFont="1" applyFill="1"/>
    <xf numFmtId="0" fontId="109" fillId="18" borderId="0" xfId="0" applyFont="1" applyFill="1"/>
    <xf numFmtId="9" fontId="0" fillId="0" borderId="0" xfId="0" applyNumberFormat="1"/>
    <xf numFmtId="9" fontId="27" fillId="8" borderId="0" xfId="0" applyNumberFormat="1" applyFont="1" applyFill="1"/>
    <xf numFmtId="9" fontId="27" fillId="12" borderId="0" xfId="0" applyNumberFormat="1" applyFont="1" applyFill="1" applyAlignment="1">
      <alignment horizontal="center"/>
    </xf>
    <xf numFmtId="9" fontId="27" fillId="8" borderId="0" xfId="0" applyNumberFormat="1" applyFont="1" applyFill="1" applyAlignment="1">
      <alignment horizontal="center"/>
    </xf>
    <xf numFmtId="0" fontId="139" fillId="8" borderId="55" xfId="0" applyFont="1" applyFill="1" applyBorder="1"/>
    <xf numFmtId="0" fontId="23" fillId="12" borderId="0" xfId="0" applyFont="1" applyFill="1" applyAlignment="1">
      <alignment wrapText="1"/>
    </xf>
    <xf numFmtId="196" fontId="0" fillId="0" borderId="0" xfId="0" applyNumberFormat="1"/>
    <xf numFmtId="0" fontId="140" fillId="0" borderId="0" xfId="0" applyFont="1"/>
    <xf numFmtId="0" fontId="16" fillId="10" borderId="0" xfId="0" applyFont="1" applyFill="1" applyAlignment="1">
      <alignment horizontal="center" wrapText="1"/>
    </xf>
    <xf numFmtId="0" fontId="141" fillId="0" borderId="0" xfId="0" applyFont="1"/>
    <xf numFmtId="0" fontId="23" fillId="0" borderId="0" xfId="0" applyFont="1" applyAlignment="1">
      <alignment horizontal="right"/>
    </xf>
    <xf numFmtId="0" fontId="21" fillId="8" borderId="0" xfId="0" applyFont="1" applyFill="1" applyAlignment="1">
      <alignment horizontal="center"/>
    </xf>
    <xf numFmtId="0" fontId="65" fillId="24" borderId="0" xfId="0" applyFont="1" applyFill="1"/>
    <xf numFmtId="0" fontId="23" fillId="20" borderId="0" xfId="0" applyFont="1" applyFill="1"/>
    <xf numFmtId="0" fontId="19" fillId="20" borderId="0" xfId="0" applyFont="1" applyFill="1"/>
    <xf numFmtId="173" fontId="19" fillId="20" borderId="0" xfId="0" applyNumberFormat="1" applyFont="1" applyFill="1"/>
    <xf numFmtId="173" fontId="19" fillId="16" borderId="0" xfId="0" applyNumberFormat="1" applyFont="1" applyFill="1"/>
    <xf numFmtId="0" fontId="23" fillId="9" borderId="54" xfId="0" applyFont="1" applyFill="1" applyBorder="1"/>
    <xf numFmtId="0" fontId="23" fillId="20" borderId="54" xfId="0" applyFont="1" applyFill="1" applyBorder="1"/>
    <xf numFmtId="0" fontId="19" fillId="9" borderId="92" xfId="0" applyFont="1" applyFill="1" applyBorder="1"/>
    <xf numFmtId="0" fontId="65" fillId="24" borderId="95" xfId="0" applyFont="1" applyFill="1" applyBorder="1" applyAlignment="1">
      <alignment horizontal="left"/>
    </xf>
    <xf numFmtId="0" fontId="65" fillId="24" borderId="95" xfId="0" applyFont="1" applyFill="1" applyBorder="1" applyAlignment="1">
      <alignment horizontal="center"/>
    </xf>
    <xf numFmtId="0" fontId="142" fillId="25" borderId="95" xfId="0" applyFont="1" applyFill="1" applyBorder="1" applyAlignment="1">
      <alignment horizontal="center"/>
    </xf>
    <xf numFmtId="0" fontId="65" fillId="18" borderId="100" xfId="0" applyFont="1" applyFill="1" applyBorder="1" applyAlignment="1">
      <alignment horizontal="center"/>
    </xf>
    <xf numFmtId="0" fontId="142" fillId="25" borderId="96" xfId="0" applyFont="1" applyFill="1" applyBorder="1" applyAlignment="1">
      <alignment horizontal="center"/>
    </xf>
    <xf numFmtId="172" fontId="19" fillId="20" borderId="0" xfId="0" applyNumberFormat="1" applyFont="1" applyFill="1" applyAlignment="1">
      <alignment horizontal="right"/>
    </xf>
    <xf numFmtId="172" fontId="19" fillId="20" borderId="0" xfId="0" applyNumberFormat="1" applyFont="1" applyFill="1" applyBorder="1" applyAlignment="1">
      <alignment horizontal="right"/>
    </xf>
    <xf numFmtId="172" fontId="19" fillId="16" borderId="101" xfId="0" applyNumberFormat="1" applyFont="1" applyFill="1" applyBorder="1" applyAlignment="1">
      <alignment horizontal="right"/>
    </xf>
    <xf numFmtId="172" fontId="19" fillId="20" borderId="97" xfId="0" applyNumberFormat="1" applyFont="1" applyFill="1" applyBorder="1" applyAlignment="1">
      <alignment horizontal="right"/>
    </xf>
    <xf numFmtId="172" fontId="19" fillId="8" borderId="0" xfId="0" applyNumberFormat="1" applyFont="1" applyFill="1" applyAlignment="1">
      <alignment horizontal="right"/>
    </xf>
    <xf numFmtId="172" fontId="19" fillId="9" borderId="0" xfId="0" applyNumberFormat="1" applyFont="1" applyFill="1" applyAlignment="1">
      <alignment horizontal="right"/>
    </xf>
    <xf numFmtId="172" fontId="19" fillId="9" borderId="0" xfId="0" applyNumberFormat="1" applyFont="1" applyFill="1" applyBorder="1" applyAlignment="1">
      <alignment horizontal="right"/>
    </xf>
    <xf numFmtId="172" fontId="19" fillId="9" borderId="97" xfId="0" applyNumberFormat="1" applyFont="1" applyFill="1" applyBorder="1" applyAlignment="1">
      <alignment horizontal="right"/>
    </xf>
    <xf numFmtId="172" fontId="19" fillId="9" borderId="54" xfId="0" applyNumberFormat="1" applyFont="1" applyFill="1" applyBorder="1" applyAlignment="1">
      <alignment horizontal="right"/>
    </xf>
    <xf numFmtId="172" fontId="19" fillId="16" borderId="102" xfId="0" applyNumberFormat="1" applyFont="1" applyFill="1" applyBorder="1" applyAlignment="1">
      <alignment horizontal="right"/>
    </xf>
    <xf numFmtId="172" fontId="19" fillId="9" borderId="98" xfId="0" applyNumberFormat="1" applyFont="1" applyFill="1" applyBorder="1" applyAlignment="1">
      <alignment horizontal="right"/>
    </xf>
    <xf numFmtId="172" fontId="19" fillId="8" borderId="54" xfId="0" applyNumberFormat="1" applyFont="1" applyFill="1" applyBorder="1" applyAlignment="1">
      <alignment horizontal="right"/>
    </xf>
    <xf numFmtId="172" fontId="19" fillId="20" borderId="54" xfId="0" applyNumberFormat="1" applyFont="1" applyFill="1" applyBorder="1" applyAlignment="1">
      <alignment horizontal="right"/>
    </xf>
    <xf numFmtId="172" fontId="19" fillId="20" borderId="98" xfId="0" applyNumberFormat="1" applyFont="1" applyFill="1" applyBorder="1" applyAlignment="1">
      <alignment horizontal="right"/>
    </xf>
    <xf numFmtId="197" fontId="19" fillId="16" borderId="102" xfId="0" applyNumberFormat="1" applyFont="1" applyFill="1" applyBorder="1" applyAlignment="1">
      <alignment horizontal="right"/>
    </xf>
    <xf numFmtId="197" fontId="19" fillId="8" borderId="54" xfId="0" applyNumberFormat="1" applyFont="1" applyFill="1" applyBorder="1" applyAlignment="1">
      <alignment horizontal="right"/>
    </xf>
    <xf numFmtId="173" fontId="19" fillId="9" borderId="0" xfId="0" applyNumberFormat="1" applyFont="1" applyFill="1" applyAlignment="1">
      <alignment horizontal="right"/>
    </xf>
    <xf numFmtId="0" fontId="19" fillId="20" borderId="0" xfId="0" applyFont="1" applyFill="1" applyAlignment="1">
      <alignment horizontal="left"/>
    </xf>
    <xf numFmtId="0" fontId="19" fillId="9" borderId="0" xfId="0" applyFont="1" applyFill="1" applyAlignment="1">
      <alignment horizontal="left"/>
    </xf>
    <xf numFmtId="0" fontId="19" fillId="9" borderId="54" xfId="0" applyFont="1" applyFill="1" applyBorder="1" applyAlignment="1">
      <alignment horizontal="left"/>
    </xf>
    <xf numFmtId="0" fontId="19" fillId="20" borderId="54" xfId="0" applyFont="1" applyFill="1" applyBorder="1" applyAlignment="1">
      <alignment horizontal="left"/>
    </xf>
    <xf numFmtId="0" fontId="19" fillId="9" borderId="92" xfId="0" applyFont="1" applyFill="1" applyBorder="1" applyAlignment="1">
      <alignment horizontal="left"/>
    </xf>
    <xf numFmtId="0" fontId="16" fillId="24" borderId="0" xfId="0" applyFont="1" applyFill="1"/>
    <xf numFmtId="173" fontId="23" fillId="8" borderId="0" xfId="0" applyNumberFormat="1" applyFont="1" applyFill="1"/>
    <xf numFmtId="0" fontId="23" fillId="20" borderId="0" xfId="0" applyFont="1" applyFill="1" applyBorder="1"/>
    <xf numFmtId="0" fontId="19" fillId="20" borderId="0" xfId="0" applyFont="1" applyFill="1" applyBorder="1" applyAlignment="1">
      <alignment horizontal="left"/>
    </xf>
    <xf numFmtId="172" fontId="19" fillId="8" borderId="0" xfId="0" applyNumberFormat="1" applyFont="1" applyFill="1" applyBorder="1" applyAlignment="1">
      <alignment horizontal="right"/>
    </xf>
    <xf numFmtId="172" fontId="19" fillId="16" borderId="104" xfId="0" applyNumberFormat="1" applyFont="1" applyFill="1" applyBorder="1" applyAlignment="1">
      <alignment horizontal="right"/>
    </xf>
    <xf numFmtId="172" fontId="19" fillId="8" borderId="53" xfId="0" applyNumberFormat="1" applyFont="1" applyFill="1" applyBorder="1" applyAlignment="1">
      <alignment horizontal="right"/>
    </xf>
    <xf numFmtId="0" fontId="23" fillId="9" borderId="0" xfId="0" applyFont="1" applyFill="1" applyBorder="1"/>
    <xf numFmtId="0" fontId="19" fillId="9" borderId="0" xfId="0" applyFont="1" applyFill="1" applyBorder="1" applyAlignment="1">
      <alignment horizontal="left"/>
    </xf>
    <xf numFmtId="0" fontId="23" fillId="20" borderId="53" xfId="0" applyFont="1" applyFill="1" applyBorder="1"/>
    <xf numFmtId="0" fontId="19" fillId="20" borderId="53" xfId="0" applyFont="1" applyFill="1" applyBorder="1" applyAlignment="1">
      <alignment horizontal="left"/>
    </xf>
    <xf numFmtId="172" fontId="19" fillId="20" borderId="53" xfId="0" applyNumberFormat="1" applyFont="1" applyFill="1" applyBorder="1" applyAlignment="1">
      <alignment horizontal="right"/>
    </xf>
    <xf numFmtId="172" fontId="19" fillId="20" borderId="105" xfId="0" applyNumberFormat="1" applyFont="1" applyFill="1" applyBorder="1" applyAlignment="1">
      <alignment horizontal="right"/>
    </xf>
    <xf numFmtId="173" fontId="19" fillId="9" borderId="92" xfId="0" applyNumberFormat="1" applyFont="1" applyFill="1" applyBorder="1" applyAlignment="1">
      <alignment horizontal="right"/>
    </xf>
    <xf numFmtId="0" fontId="23" fillId="9" borderId="92" xfId="0" applyFont="1" applyFill="1" applyBorder="1" applyAlignment="1">
      <alignment horizontal="left"/>
    </xf>
    <xf numFmtId="0" fontId="23" fillId="0" borderId="0" xfId="0" applyFont="1" applyBorder="1"/>
    <xf numFmtId="173" fontId="23" fillId="0" borderId="0" xfId="0" applyNumberFormat="1" applyFont="1" applyBorder="1" applyAlignment="1">
      <alignment horizontal="right"/>
    </xf>
    <xf numFmtId="173" fontId="23" fillId="16" borderId="0" xfId="0" applyNumberFormat="1" applyFont="1" applyFill="1" applyBorder="1" applyAlignment="1">
      <alignment horizontal="right"/>
    </xf>
    <xf numFmtId="173" fontId="23" fillId="8" borderId="0" xfId="0" applyNumberFormat="1" applyFont="1" applyFill="1" applyBorder="1" applyAlignment="1">
      <alignment horizontal="right"/>
    </xf>
    <xf numFmtId="0" fontId="143" fillId="24" borderId="0" xfId="0" applyFont="1" applyFill="1" applyAlignment="1">
      <alignment horizontal="left"/>
    </xf>
    <xf numFmtId="0" fontId="144" fillId="8" borderId="0" xfId="0" applyFont="1" applyFill="1"/>
    <xf numFmtId="0" fontId="16" fillId="24" borderId="0" xfId="0" applyFont="1" applyFill="1" applyAlignment="1">
      <alignment horizontal="center"/>
    </xf>
    <xf numFmtId="9" fontId="0" fillId="15" borderId="0" xfId="0" applyNumberFormat="1" applyFont="1" applyFill="1" applyBorder="1" applyAlignment="1">
      <alignment horizontal="right"/>
    </xf>
    <xf numFmtId="9" fontId="0" fillId="20" borderId="0" xfId="0" applyNumberFormat="1" applyFont="1" applyFill="1" applyBorder="1" applyAlignment="1">
      <alignment horizontal="right"/>
    </xf>
    <xf numFmtId="9" fontId="0" fillId="17" borderId="0" xfId="0" applyNumberFormat="1" applyFont="1" applyFill="1" applyBorder="1" applyAlignment="1">
      <alignment horizontal="right"/>
    </xf>
    <xf numFmtId="173" fontId="0" fillId="15" borderId="0" xfId="0" applyNumberFormat="1" applyFont="1" applyFill="1" applyBorder="1" applyAlignment="1">
      <alignment horizontal="right"/>
    </xf>
    <xf numFmtId="173" fontId="0" fillId="20" borderId="0" xfId="0" applyNumberFormat="1" applyFont="1" applyFill="1" applyBorder="1" applyAlignment="1">
      <alignment horizontal="right"/>
    </xf>
    <xf numFmtId="173" fontId="0" fillId="17" borderId="0" xfId="0" applyNumberFormat="1" applyFont="1" applyFill="1" applyBorder="1" applyAlignment="1">
      <alignment horizontal="right"/>
    </xf>
    <xf numFmtId="176" fontId="0" fillId="15" borderId="0" xfId="0" applyNumberFormat="1" applyFont="1" applyFill="1" applyBorder="1" applyAlignment="1">
      <alignment horizontal="right"/>
    </xf>
    <xf numFmtId="176" fontId="0" fillId="20" borderId="0" xfId="0" applyNumberFormat="1" applyFont="1" applyFill="1" applyBorder="1" applyAlignment="1">
      <alignment horizontal="right"/>
    </xf>
    <xf numFmtId="176" fontId="0" fillId="17" borderId="0" xfId="0" applyNumberFormat="1" applyFont="1" applyFill="1" applyBorder="1" applyAlignment="1">
      <alignment horizontal="right"/>
    </xf>
    <xf numFmtId="182" fontId="0" fillId="15" borderId="0" xfId="0" applyNumberFormat="1" applyFont="1" applyFill="1" applyBorder="1" applyAlignment="1">
      <alignment horizontal="right"/>
    </xf>
    <xf numFmtId="182" fontId="0" fillId="20" borderId="0" xfId="0" applyNumberFormat="1" applyFont="1" applyFill="1" applyBorder="1" applyAlignment="1">
      <alignment horizontal="right"/>
    </xf>
    <xf numFmtId="182" fontId="0" fillId="17" borderId="0" xfId="0" applyNumberFormat="1" applyFont="1" applyFill="1" applyBorder="1" applyAlignment="1">
      <alignment horizontal="right"/>
    </xf>
    <xf numFmtId="0" fontId="16" fillId="24" borderId="93" xfId="0" applyFont="1" applyFill="1" applyBorder="1" applyAlignment="1">
      <alignment horizontal="center"/>
    </xf>
    <xf numFmtId="0" fontId="0" fillId="0" borderId="92" xfId="0" applyBorder="1"/>
    <xf numFmtId="10" fontId="0" fillId="15" borderId="92" xfId="0" applyNumberFormat="1" applyFont="1" applyFill="1" applyBorder="1" applyAlignment="1">
      <alignment horizontal="right"/>
    </xf>
    <xf numFmtId="10" fontId="0" fillId="20" borderId="92" xfId="0" applyNumberFormat="1" applyFont="1" applyFill="1" applyBorder="1" applyAlignment="1">
      <alignment horizontal="right"/>
    </xf>
    <xf numFmtId="10" fontId="0" fillId="17" borderId="92" xfId="0" applyNumberFormat="1" applyFont="1" applyFill="1" applyBorder="1" applyAlignment="1">
      <alignment horizontal="right"/>
    </xf>
    <xf numFmtId="0" fontId="0" fillId="0" borderId="107" xfId="0" applyBorder="1"/>
    <xf numFmtId="0" fontId="0" fillId="0" borderId="108" xfId="0" applyBorder="1"/>
    <xf numFmtId="0" fontId="16" fillId="24" borderId="106" xfId="0" applyFont="1" applyFill="1" applyBorder="1" applyAlignment="1">
      <alignment horizontal="center"/>
    </xf>
    <xf numFmtId="0" fontId="16" fillId="24" borderId="95" xfId="0" applyFont="1" applyFill="1" applyBorder="1" applyAlignment="1">
      <alignment horizontal="center"/>
    </xf>
    <xf numFmtId="0" fontId="16" fillId="24" borderId="109" xfId="0" applyFont="1" applyFill="1" applyBorder="1" applyAlignment="1">
      <alignment horizontal="center"/>
    </xf>
    <xf numFmtId="9" fontId="27" fillId="8" borderId="110" xfId="0" applyNumberFormat="1" applyFont="1" applyFill="1" applyBorder="1" applyAlignment="1">
      <alignment horizontal="right"/>
    </xf>
    <xf numFmtId="173" fontId="27" fillId="8" borderId="110" xfId="0" applyNumberFormat="1" applyFont="1" applyFill="1" applyBorder="1" applyAlignment="1">
      <alignment horizontal="right"/>
    </xf>
    <xf numFmtId="176" fontId="27" fillId="8" borderId="110" xfId="0" applyNumberFormat="1" applyFont="1" applyFill="1" applyBorder="1" applyAlignment="1">
      <alignment horizontal="right"/>
    </xf>
    <xf numFmtId="182" fontId="27" fillId="8" borderId="110" xfId="0" applyNumberFormat="1" applyFont="1" applyFill="1" applyBorder="1" applyAlignment="1">
      <alignment horizontal="right"/>
    </xf>
    <xf numFmtId="10" fontId="27" fillId="8" borderId="111" xfId="0" applyNumberFormat="1" applyFont="1" applyFill="1" applyBorder="1" applyAlignment="1">
      <alignment horizontal="right"/>
    </xf>
    <xf numFmtId="0" fontId="93" fillId="16" borderId="0" xfId="0" applyFont="1" applyFill="1" applyBorder="1"/>
    <xf numFmtId="173" fontId="93" fillId="16" borderId="0" xfId="0" applyNumberFormat="1" applyFont="1" applyFill="1" applyBorder="1" applyAlignment="1">
      <alignment horizontal="right"/>
    </xf>
    <xf numFmtId="0" fontId="93" fillId="16" borderId="0" xfId="0" applyFont="1" applyFill="1" applyBorder="1" applyAlignment="1">
      <alignment horizontal="center"/>
    </xf>
    <xf numFmtId="0" fontId="65" fillId="24" borderId="0" xfId="0" applyFont="1" applyFill="1" applyBorder="1"/>
    <xf numFmtId="173" fontId="65" fillId="24" borderId="0" xfId="0" applyNumberFormat="1" applyFont="1" applyFill="1" applyBorder="1" applyAlignment="1">
      <alignment horizontal="right"/>
    </xf>
    <xf numFmtId="0" fontId="65" fillId="24" borderId="0" xfId="0" applyFont="1" applyFill="1" applyBorder="1" applyAlignment="1">
      <alignment horizontal="center"/>
    </xf>
    <xf numFmtId="0" fontId="93" fillId="15" borderId="0" xfId="0" applyFont="1" applyFill="1" applyBorder="1"/>
    <xf numFmtId="173" fontId="93" fillId="15" borderId="0" xfId="0" applyNumberFormat="1" applyFont="1" applyFill="1" applyBorder="1" applyAlignment="1">
      <alignment horizontal="right"/>
    </xf>
    <xf numFmtId="0" fontId="93" fillId="15" borderId="0" xfId="0" applyFont="1" applyFill="1" applyBorder="1" applyAlignment="1">
      <alignment horizontal="center"/>
    </xf>
    <xf numFmtId="0" fontId="93" fillId="17" borderId="0" xfId="0" applyFont="1" applyFill="1" applyBorder="1"/>
    <xf numFmtId="173" fontId="93" fillId="17" borderId="0" xfId="0" applyNumberFormat="1" applyFont="1" applyFill="1" applyBorder="1" applyAlignment="1">
      <alignment horizontal="right"/>
    </xf>
    <xf numFmtId="0" fontId="93" fillId="17" borderId="0" xfId="0" applyFont="1" applyFill="1" applyBorder="1" applyAlignment="1">
      <alignment horizontal="center"/>
    </xf>
    <xf numFmtId="0" fontId="65" fillId="24" borderId="92" xfId="0" applyFont="1" applyFill="1" applyBorder="1"/>
    <xf numFmtId="173" fontId="65" fillId="24" borderId="92" xfId="0" applyNumberFormat="1" applyFont="1" applyFill="1" applyBorder="1" applyAlignment="1">
      <alignment horizontal="right"/>
    </xf>
    <xf numFmtId="0" fontId="65" fillId="24" borderId="92" xfId="0" applyFont="1" applyFill="1" applyBorder="1" applyAlignment="1">
      <alignment horizontal="center"/>
    </xf>
    <xf numFmtId="173" fontId="145" fillId="0" borderId="0" xfId="0" applyNumberFormat="1" applyFont="1"/>
    <xf numFmtId="0" fontId="145" fillId="0" borderId="0" xfId="0" applyFont="1"/>
    <xf numFmtId="0" fontId="19" fillId="0" borderId="0" xfId="0" applyFont="1" applyAlignment="1">
      <alignment horizontal="left"/>
    </xf>
    <xf numFmtId="198" fontId="19" fillId="15" borderId="0" xfId="0" applyNumberFormat="1" applyFont="1" applyFill="1" applyAlignment="1">
      <alignment horizontal="right"/>
    </xf>
    <xf numFmtId="198" fontId="19" fillId="17" borderId="0" xfId="0" applyNumberFormat="1" applyFont="1" applyFill="1" applyAlignment="1">
      <alignment horizontal="right"/>
    </xf>
    <xf numFmtId="198" fontId="19" fillId="15" borderId="92" xfId="0" applyNumberFormat="1" applyFont="1" applyFill="1" applyBorder="1" applyAlignment="1">
      <alignment horizontal="right"/>
    </xf>
    <xf numFmtId="198" fontId="19" fillId="17" borderId="92" xfId="0" applyNumberFormat="1" applyFont="1" applyFill="1" applyBorder="1" applyAlignment="1">
      <alignment horizontal="right"/>
    </xf>
    <xf numFmtId="178" fontId="19" fillId="0" borderId="0" xfId="0" applyNumberFormat="1" applyFont="1" applyAlignment="1">
      <alignment horizontal="right"/>
    </xf>
    <xf numFmtId="178" fontId="19" fillId="9" borderId="0" xfId="0" applyNumberFormat="1" applyFont="1" applyFill="1" applyAlignment="1">
      <alignment horizontal="right"/>
    </xf>
    <xf numFmtId="178" fontId="145" fillId="0" borderId="0" xfId="0" applyNumberFormat="1" applyFont="1"/>
    <xf numFmtId="10" fontId="27" fillId="0" borderId="0" xfId="0" applyNumberFormat="1" applyFont="1"/>
    <xf numFmtId="169" fontId="65" fillId="24" borderId="0" xfId="0" applyNumberFormat="1" applyFont="1" applyFill="1" applyAlignment="1">
      <alignment horizontal="center"/>
    </xf>
    <xf numFmtId="10" fontId="23" fillId="12" borderId="0" xfId="0" applyNumberFormat="1" applyFont="1" applyFill="1" applyAlignment="1">
      <alignment horizontal="center"/>
    </xf>
    <xf numFmtId="178" fontId="19" fillId="0" borderId="0" xfId="0" applyNumberFormat="1" applyFont="1" applyAlignment="1">
      <alignment horizontal="center"/>
    </xf>
    <xf numFmtId="178" fontId="23" fillId="0" borderId="112" xfId="0" applyNumberFormat="1" applyFont="1" applyBorder="1" applyAlignment="1">
      <alignment horizontal="center"/>
    </xf>
    <xf numFmtId="0" fontId="19" fillId="15" borderId="0" xfId="0" applyFont="1" applyFill="1"/>
    <xf numFmtId="173" fontId="19" fillId="15" borderId="0" xfId="0" applyNumberFormat="1" applyFont="1" applyFill="1"/>
    <xf numFmtId="182" fontId="19" fillId="15" borderId="0" xfId="0" applyNumberFormat="1" applyFont="1" applyFill="1"/>
    <xf numFmtId="182" fontId="19" fillId="20" borderId="0" xfId="0" applyNumberFormat="1" applyFont="1" applyFill="1"/>
    <xf numFmtId="0" fontId="19" fillId="17" borderId="0" xfId="0" applyFont="1" applyFill="1"/>
    <xf numFmtId="173" fontId="19" fillId="17" borderId="0" xfId="0" applyNumberFormat="1" applyFont="1" applyFill="1"/>
    <xf numFmtId="182" fontId="19" fillId="17" borderId="0" xfId="0" applyNumberFormat="1" applyFont="1" applyFill="1"/>
    <xf numFmtId="182" fontId="23" fillId="8" borderId="0" xfId="0" applyNumberFormat="1" applyFont="1" applyFill="1"/>
    <xf numFmtId="0" fontId="19" fillId="16" borderId="0" xfId="0" applyFont="1" applyFill="1"/>
    <xf numFmtId="182" fontId="19" fillId="16" borderId="0" xfId="0" applyNumberFormat="1" applyFont="1" applyFill="1"/>
    <xf numFmtId="182" fontId="19" fillId="9" borderId="0" xfId="0" applyNumberFormat="1" applyFont="1" applyFill="1"/>
    <xf numFmtId="0" fontId="67" fillId="15" borderId="0" xfId="0" applyFont="1" applyFill="1"/>
    <xf numFmtId="0" fontId="67" fillId="20" borderId="0" xfId="0" applyFont="1" applyFill="1"/>
    <xf numFmtId="0" fontId="67" fillId="17" borderId="0" xfId="0" applyFont="1" applyFill="1"/>
    <xf numFmtId="0" fontId="131" fillId="8" borderId="0" xfId="0" applyFont="1" applyFill="1"/>
    <xf numFmtId="0" fontId="67" fillId="16" borderId="0" xfId="0" applyFont="1" applyFill="1"/>
    <xf numFmtId="0" fontId="67" fillId="9" borderId="0" xfId="0" applyFont="1" applyFill="1"/>
    <xf numFmtId="0" fontId="23" fillId="15" borderId="92" xfId="0" applyFont="1" applyFill="1" applyBorder="1"/>
    <xf numFmtId="198" fontId="23" fillId="15" borderId="92" xfId="0" applyNumberFormat="1" applyFont="1" applyFill="1" applyBorder="1"/>
    <xf numFmtId="199" fontId="23" fillId="15" borderId="92" xfId="0" applyNumberFormat="1" applyFont="1" applyFill="1" applyBorder="1"/>
    <xf numFmtId="0" fontId="131" fillId="15" borderId="92" xfId="0" applyFont="1" applyFill="1" applyBorder="1"/>
    <xf numFmtId="197" fontId="19" fillId="20" borderId="54" xfId="0" applyNumberFormat="1" applyFont="1" applyFill="1" applyBorder="1" applyAlignment="1">
      <alignment horizontal="right"/>
    </xf>
    <xf numFmtId="197" fontId="19" fillId="20" borderId="98" xfId="0" applyNumberFormat="1" applyFont="1" applyFill="1" applyBorder="1" applyAlignment="1">
      <alignment horizontal="right"/>
    </xf>
    <xf numFmtId="0" fontId="23" fillId="9" borderId="113" xfId="0" applyFont="1" applyFill="1" applyBorder="1"/>
    <xf numFmtId="0" fontId="19" fillId="9" borderId="113" xfId="0" applyFont="1" applyFill="1" applyBorder="1" applyAlignment="1">
      <alignment horizontal="left"/>
    </xf>
    <xf numFmtId="172" fontId="19" fillId="9" borderId="113" xfId="0" applyNumberFormat="1" applyFont="1" applyFill="1" applyBorder="1" applyAlignment="1">
      <alignment horizontal="right"/>
    </xf>
    <xf numFmtId="172" fontId="19" fillId="16" borderId="114" xfId="0" applyNumberFormat="1" applyFont="1" applyFill="1" applyBorder="1" applyAlignment="1">
      <alignment horizontal="right"/>
    </xf>
    <xf numFmtId="172" fontId="19" fillId="9" borderId="115" xfId="0" applyNumberFormat="1" applyFont="1" applyFill="1" applyBorder="1" applyAlignment="1">
      <alignment horizontal="right"/>
    </xf>
    <xf numFmtId="172" fontId="19" fillId="8" borderId="113" xfId="0" applyNumberFormat="1" applyFont="1" applyFill="1" applyBorder="1" applyAlignment="1">
      <alignment horizontal="right"/>
    </xf>
    <xf numFmtId="0" fontId="19" fillId="9" borderId="0" xfId="0" applyFont="1" applyFill="1" applyBorder="1"/>
    <xf numFmtId="0" fontId="19" fillId="0" borderId="92" xfId="0" applyFont="1" applyFill="1" applyBorder="1"/>
    <xf numFmtId="0" fontId="19" fillId="0" borderId="92" xfId="0" applyFont="1" applyFill="1" applyBorder="1" applyAlignment="1">
      <alignment horizontal="left"/>
    </xf>
    <xf numFmtId="172" fontId="19" fillId="0" borderId="92" xfId="0" applyNumberFormat="1" applyFont="1" applyFill="1" applyBorder="1" applyAlignment="1">
      <alignment horizontal="right"/>
    </xf>
    <xf numFmtId="172" fontId="19" fillId="0" borderId="103" xfId="0" applyNumberFormat="1" applyFont="1" applyFill="1" applyBorder="1" applyAlignment="1">
      <alignment horizontal="right"/>
    </xf>
    <xf numFmtId="172" fontId="19" fillId="0" borderId="99" xfId="0" applyNumberFormat="1" applyFont="1" applyFill="1" applyBorder="1" applyAlignment="1">
      <alignment horizontal="right"/>
    </xf>
    <xf numFmtId="173" fontId="23" fillId="16" borderId="101" xfId="0" applyNumberFormat="1" applyFont="1" applyFill="1" applyBorder="1" applyAlignment="1">
      <alignment horizontal="right"/>
    </xf>
    <xf numFmtId="0" fontId="23" fillId="20" borderId="116" xfId="0" applyFont="1" applyFill="1" applyBorder="1" applyAlignment="1">
      <alignment horizontal="left"/>
    </xf>
    <xf numFmtId="173" fontId="23" fillId="20" borderId="116" xfId="0" applyNumberFormat="1" applyFont="1" applyFill="1" applyBorder="1" applyAlignment="1">
      <alignment horizontal="right"/>
    </xf>
    <xf numFmtId="173" fontId="23" fillId="16" borderId="117" xfId="0" applyNumberFormat="1" applyFont="1" applyFill="1" applyBorder="1" applyAlignment="1">
      <alignment horizontal="right"/>
    </xf>
    <xf numFmtId="173" fontId="23" fillId="20" borderId="118" xfId="0" applyNumberFormat="1" applyFont="1" applyFill="1" applyBorder="1" applyAlignment="1">
      <alignment horizontal="right"/>
    </xf>
    <xf numFmtId="173" fontId="23" fillId="8" borderId="116" xfId="0" applyNumberFormat="1" applyFont="1" applyFill="1" applyBorder="1" applyAlignment="1">
      <alignment horizontal="right"/>
    </xf>
    <xf numFmtId="0" fontId="23" fillId="9" borderId="0" xfId="0" applyFont="1" applyFill="1" applyBorder="1" applyAlignment="1">
      <alignment horizontal="left"/>
    </xf>
    <xf numFmtId="173" fontId="23" fillId="9" borderId="0" xfId="0" applyNumberFormat="1" applyFont="1" applyFill="1" applyBorder="1" applyAlignment="1">
      <alignment horizontal="right"/>
    </xf>
    <xf numFmtId="173" fontId="23" fillId="9" borderId="97" xfId="0" applyNumberFormat="1" applyFont="1" applyFill="1" applyBorder="1" applyAlignment="1">
      <alignment horizontal="right"/>
    </xf>
    <xf numFmtId="0" fontId="23" fillId="0" borderId="95" xfId="0" applyFont="1" applyBorder="1"/>
    <xf numFmtId="177" fontId="23" fillId="0" borderId="95" xfId="0" applyNumberFormat="1" applyFont="1" applyBorder="1" applyAlignment="1">
      <alignment horizontal="right"/>
    </xf>
    <xf numFmtId="177" fontId="23" fillId="16" borderId="95" xfId="0" applyNumberFormat="1" applyFont="1" applyFill="1" applyBorder="1" applyAlignment="1">
      <alignment horizontal="right"/>
    </xf>
    <xf numFmtId="177" fontId="23" fillId="8" borderId="95" xfId="0" applyNumberFormat="1" applyFont="1" applyFill="1" applyBorder="1" applyAlignment="1">
      <alignment horizontal="right"/>
    </xf>
    <xf numFmtId="0" fontId="79" fillId="0" borderId="0" xfId="0" applyFont="1" applyBorder="1"/>
    <xf numFmtId="2" fontId="22" fillId="0" borderId="0" xfId="0" applyNumberFormat="1" applyFont="1"/>
    <xf numFmtId="2" fontId="0" fillId="0" borderId="0" xfId="0" applyNumberFormat="1"/>
    <xf numFmtId="178" fontId="23" fillId="9" borderId="92" xfId="0" applyNumberFormat="1" applyFont="1" applyFill="1" applyBorder="1" applyAlignment="1">
      <alignment horizontal="right"/>
    </xf>
    <xf numFmtId="2" fontId="23" fillId="9" borderId="92" xfId="0" applyNumberFormat="1" applyFont="1" applyFill="1" applyBorder="1" applyAlignment="1">
      <alignment horizontal="right"/>
    </xf>
    <xf numFmtId="0" fontId="19" fillId="8" borderId="0" xfId="0" applyFont="1" applyFill="1" applyAlignment="1">
      <alignment horizontal="left"/>
    </xf>
    <xf numFmtId="178" fontId="19" fillId="8" borderId="0" xfId="0" applyNumberFormat="1" applyFont="1" applyFill="1" applyAlignment="1">
      <alignment horizontal="right"/>
    </xf>
    <xf numFmtId="2" fontId="19" fillId="8" borderId="0" xfId="0" applyNumberFormat="1" applyFont="1" applyFill="1" applyAlignment="1">
      <alignment horizontal="right"/>
    </xf>
    <xf numFmtId="0" fontId="19" fillId="17" borderId="0" xfId="0" applyFont="1" applyFill="1" applyAlignment="1">
      <alignment horizontal="left"/>
    </xf>
    <xf numFmtId="178" fontId="19" fillId="17" borderId="0" xfId="0" applyNumberFormat="1" applyFont="1" applyFill="1" applyAlignment="1">
      <alignment horizontal="right"/>
    </xf>
    <xf numFmtId="0" fontId="64" fillId="17" borderId="0" xfId="0" applyFont="1" applyFill="1"/>
    <xf numFmtId="178" fontId="0" fillId="0" borderId="92" xfId="0" applyNumberFormat="1" applyBorder="1"/>
    <xf numFmtId="2" fontId="0" fillId="0" borderId="92" xfId="0" applyNumberFormat="1" applyBorder="1"/>
    <xf numFmtId="0" fontId="64" fillId="0" borderId="92" xfId="0" applyFont="1" applyBorder="1"/>
    <xf numFmtId="0" fontId="146" fillId="0" borderId="0" xfId="0" applyFont="1"/>
    <xf numFmtId="2" fontId="146" fillId="0" borderId="0" xfId="0" applyNumberFormat="1" applyFont="1"/>
    <xf numFmtId="7" fontId="0" fillId="0" borderId="0" xfId="0" applyNumberFormat="1"/>
    <xf numFmtId="0" fontId="46" fillId="0" borderId="0" xfId="0" applyFont="1"/>
    <xf numFmtId="0" fontId="14" fillId="18" borderId="0" xfId="0" applyFont="1" applyFill="1"/>
    <xf numFmtId="0" fontId="16" fillId="18" borderId="0" xfId="0" applyFont="1" applyFill="1"/>
    <xf numFmtId="0" fontId="20" fillId="0" borderId="0" xfId="0" applyFont="1"/>
    <xf numFmtId="0" fontId="23" fillId="21" borderId="0" xfId="0" applyFont="1" applyFill="1"/>
    <xf numFmtId="0" fontId="19" fillId="0" borderId="0" xfId="0" applyFont="1"/>
    <xf numFmtId="0" fontId="64" fillId="0" borderId="0" xfId="0" applyFont="1"/>
    <xf numFmtId="0" fontId="48" fillId="9" borderId="0" xfId="0" applyFont="1" applyFill="1"/>
    <xf numFmtId="0" fontId="65" fillId="18" borderId="0" xfId="0" applyFont="1" applyFill="1"/>
    <xf numFmtId="0" fontId="27" fillId="8" borderId="0" xfId="0" applyFont="1" applyFill="1"/>
    <xf numFmtId="0" fontId="88" fillId="0" borderId="0" xfId="0" applyFont="1"/>
    <xf numFmtId="0" fontId="23" fillId="9" borderId="0" xfId="0" applyFont="1" applyFill="1"/>
    <xf numFmtId="0" fontId="18" fillId="0" borderId="0" xfId="0" applyFont="1"/>
    <xf numFmtId="0" fontId="29" fillId="9" borderId="0" xfId="0" applyFont="1" applyFill="1"/>
    <xf numFmtId="0" fontId="0" fillId="0" borderId="67" xfId="0" applyBorder="1"/>
    <xf numFmtId="0" fontId="0" fillId="0" borderId="68" xfId="0" applyBorder="1"/>
    <xf numFmtId="0" fontId="0" fillId="0" borderId="70" xfId="0" applyBorder="1"/>
    <xf numFmtId="0" fontId="11" fillId="0" borderId="0" xfId="0" applyFont="1"/>
    <xf numFmtId="0" fontId="32" fillId="0" borderId="0" xfId="0" applyFont="1"/>
    <xf numFmtId="0" fontId="62" fillId="18" borderId="0" xfId="0" applyFont="1" applyFill="1"/>
    <xf numFmtId="0" fontId="38" fillId="0" borderId="0" xfId="0" applyFont="1"/>
    <xf numFmtId="0" fontId="0" fillId="0" borderId="0" xfId="0"/>
    <xf numFmtId="0" fontId="23" fillId="0" borderId="0" xfId="0" applyFont="1"/>
    <xf numFmtId="0" fontId="27" fillId="9" borderId="0" xfId="0" applyFont="1" applyFill="1"/>
    <xf numFmtId="0" fontId="109" fillId="10" borderId="0" xfId="0" applyFont="1" applyFill="1"/>
    <xf numFmtId="0" fontId="26" fillId="0" borderId="0" xfId="0" applyFont="1"/>
    <xf numFmtId="0" fontId="79" fillId="0" borderId="0" xfId="0" applyFont="1"/>
    <xf numFmtId="0" fontId="33" fillId="0" borderId="0" xfId="0" applyFont="1" applyAlignment="1">
      <alignment horizontal="left"/>
    </xf>
    <xf numFmtId="0" fontId="88" fillId="8" borderId="0" xfId="0" applyFont="1" applyFill="1"/>
    <xf numFmtId="171" fontId="5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center"/>
    </xf>
    <xf numFmtId="0" fontId="10" fillId="8" borderId="0" xfId="0" applyFont="1" applyFill="1" applyAlignment="1">
      <alignment horizontal="center"/>
    </xf>
    <xf numFmtId="173" fontId="4" fillId="8" borderId="0" xfId="0" applyNumberFormat="1" applyFont="1" applyFill="1" applyAlignment="1">
      <alignment horizontal="right"/>
    </xf>
    <xf numFmtId="0" fontId="10" fillId="0" borderId="0" xfId="0" applyFont="1" applyAlignment="1">
      <alignment horizontal="center"/>
    </xf>
    <xf numFmtId="173" fontId="8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180" fontId="4" fillId="8" borderId="14" xfId="0" applyNumberFormat="1" applyFont="1" applyFill="1" applyBorder="1" applyAlignment="1">
      <alignment horizontal="right"/>
    </xf>
    <xf numFmtId="0" fontId="89" fillId="0" borderId="0" xfId="0" applyFont="1" applyAlignment="1">
      <alignment horizontal="left"/>
    </xf>
    <xf numFmtId="164" fontId="31" fillId="9" borderId="0" xfId="0" applyNumberFormat="1" applyFont="1" applyFill="1" applyAlignment="1">
      <alignment horizontal="right"/>
    </xf>
    <xf numFmtId="164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left"/>
    </xf>
    <xf numFmtId="184" fontId="31" fillId="9" borderId="0" xfId="0" applyNumberFormat="1" applyFont="1" applyFill="1" applyAlignment="1">
      <alignment horizontal="right"/>
    </xf>
    <xf numFmtId="173" fontId="85" fillId="0" borderId="0" xfId="0" applyNumberFormat="1" applyFont="1" applyAlignment="1">
      <alignment horizontal="right"/>
    </xf>
    <xf numFmtId="173" fontId="7" fillId="0" borderId="0" xfId="0" applyNumberFormat="1" applyFont="1" applyAlignment="1">
      <alignment horizontal="right"/>
    </xf>
    <xf numFmtId="173" fontId="89" fillId="0" borderId="0" xfId="0" applyNumberFormat="1" applyFont="1" applyAlignment="1">
      <alignment horizontal="right"/>
    </xf>
    <xf numFmtId="169" fontId="89" fillId="0" borderId="0" xfId="0" applyNumberFormat="1" applyFont="1" applyAlignment="1">
      <alignment horizontal="right"/>
    </xf>
    <xf numFmtId="0" fontId="14" fillId="18" borderId="0" xfId="0" applyFont="1" applyFill="1" applyAlignment="1">
      <alignment horizontal="right"/>
    </xf>
    <xf numFmtId="0" fontId="88" fillId="0" borderId="0" xfId="0" applyFont="1" applyAlignment="1">
      <alignment horizontal="left"/>
    </xf>
    <xf numFmtId="0" fontId="56" fillId="8" borderId="0" xfId="0" applyFont="1" applyFill="1" applyAlignment="1">
      <alignment horizontal="center"/>
    </xf>
    <xf numFmtId="173" fontId="7" fillId="0" borderId="13" xfId="0" applyNumberFormat="1" applyFont="1" applyBorder="1"/>
    <xf numFmtId="173" fontId="4" fillId="8" borderId="3" xfId="0" applyNumberFormat="1" applyFont="1" applyFill="1" applyBorder="1"/>
    <xf numFmtId="3" fontId="110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41" fillId="8" borderId="0" xfId="0" applyNumberFormat="1" applyFont="1" applyFill="1" applyAlignment="1">
      <alignment wrapText="1"/>
    </xf>
    <xf numFmtId="3" fontId="27" fillId="8" borderId="0" xfId="0" applyNumberFormat="1" applyFont="1" applyFill="1" applyAlignment="1">
      <alignment wrapText="1"/>
    </xf>
    <xf numFmtId="3" fontId="135" fillId="0" borderId="0" xfId="0" applyNumberFormat="1" applyFont="1" applyAlignment="1">
      <alignment horizontal="right" vertical="center"/>
    </xf>
    <xf numFmtId="3" fontId="26" fillId="0" borderId="0" xfId="0" applyNumberFormat="1" applyFont="1" applyAlignment="1">
      <alignment horizontal="right"/>
    </xf>
    <xf numFmtId="0" fontId="27" fillId="26" borderId="0" xfId="0" applyFont="1" applyFill="1"/>
    <xf numFmtId="0" fontId="27" fillId="8" borderId="0" xfId="0" applyFont="1" applyFill="1" applyAlignment="1">
      <alignment horizontal="center"/>
    </xf>
    <xf numFmtId="0" fontId="27" fillId="17" borderId="0" xfId="0" applyFont="1" applyFill="1" applyAlignment="1">
      <alignment horizontal="center"/>
    </xf>
    <xf numFmtId="0" fontId="27" fillId="15" borderId="0" xfId="0" applyFont="1" applyFill="1" applyAlignment="1">
      <alignment horizontal="center"/>
    </xf>
    <xf numFmtId="3" fontId="0" fillId="0" borderId="0" xfId="0" applyNumberFormat="1"/>
    <xf numFmtId="3" fontId="27" fillId="8" borderId="0" xfId="0" applyNumberFormat="1" applyFont="1" applyFill="1"/>
    <xf numFmtId="182" fontId="27" fillId="8" borderId="0" xfId="0" applyNumberFormat="1" applyFont="1" applyFill="1"/>
    <xf numFmtId="3" fontId="27" fillId="17" borderId="0" xfId="0" applyNumberFormat="1" applyFont="1" applyFill="1"/>
    <xf numFmtId="182" fontId="27" fillId="17" borderId="0" xfId="0" applyNumberFormat="1" applyFont="1" applyFill="1"/>
    <xf numFmtId="178" fontId="27" fillId="0" borderId="0" xfId="0" applyNumberFormat="1" applyFont="1"/>
    <xf numFmtId="182" fontId="27" fillId="0" borderId="0" xfId="0" applyNumberFormat="1" applyFont="1"/>
    <xf numFmtId="182" fontId="0" fillId="0" borderId="0" xfId="0" applyNumberFormat="1"/>
    <xf numFmtId="172" fontId="0" fillId="0" borderId="0" xfId="0" applyNumberFormat="1"/>
    <xf numFmtId="172" fontId="0" fillId="8" borderId="0" xfId="0" applyNumberFormat="1" applyFill="1"/>
    <xf numFmtId="172" fontId="0" fillId="17" borderId="0" xfId="0" applyNumberFormat="1" applyFill="1"/>
    <xf numFmtId="172" fontId="0" fillId="15" borderId="0" xfId="0" applyNumberFormat="1" applyFill="1"/>
    <xf numFmtId="172" fontId="0" fillId="0" borderId="0" xfId="0" applyNumberFormat="1" applyAlignment="1">
      <alignment horizontal="right"/>
    </xf>
    <xf numFmtId="172" fontId="0" fillId="8" borderId="0" xfId="0" applyNumberFormat="1" applyFill="1" applyAlignment="1">
      <alignment horizontal="right"/>
    </xf>
    <xf numFmtId="172" fontId="0" fillId="17" borderId="0" xfId="0" applyNumberFormat="1" applyFill="1" applyAlignment="1">
      <alignment horizontal="right"/>
    </xf>
    <xf numFmtId="172" fontId="0" fillId="15" borderId="0" xfId="0" applyNumberFormat="1" applyFill="1" applyAlignment="1">
      <alignment horizontal="right"/>
    </xf>
    <xf numFmtId="169" fontId="0" fillId="0" borderId="0" xfId="0" applyNumberFormat="1" applyAlignment="1">
      <alignment horizontal="right"/>
    </xf>
    <xf numFmtId="169" fontId="0" fillId="8" borderId="0" xfId="0" applyNumberFormat="1" applyFill="1" applyAlignment="1">
      <alignment horizontal="right"/>
    </xf>
    <xf numFmtId="169" fontId="0" fillId="17" borderId="0" xfId="0" applyNumberFormat="1" applyFill="1" applyAlignment="1">
      <alignment horizontal="right"/>
    </xf>
    <xf numFmtId="169" fontId="0" fillId="15" borderId="0" xfId="0" applyNumberFormat="1" applyFill="1" applyAlignment="1">
      <alignment horizontal="right"/>
    </xf>
    <xf numFmtId="0" fontId="63" fillId="9" borderId="0" xfId="0" applyFont="1" applyFill="1"/>
    <xf numFmtId="178" fontId="0" fillId="8" borderId="0" xfId="0" applyNumberFormat="1" applyFill="1"/>
    <xf numFmtId="170" fontId="0" fillId="8" borderId="0" xfId="0" applyNumberFormat="1" applyFill="1"/>
    <xf numFmtId="182" fontId="0" fillId="8" borderId="0" xfId="0" applyNumberFormat="1" applyFill="1"/>
    <xf numFmtId="3" fontId="25" fillId="0" borderId="0" xfId="0" applyNumberFormat="1" applyFont="1"/>
    <xf numFmtId="3" fontId="147" fillId="21" borderId="0" xfId="0" applyNumberFormat="1" applyFont="1" applyFill="1"/>
    <xf numFmtId="2" fontId="19" fillId="9" borderId="3" xfId="0" applyNumberFormat="1" applyFont="1" applyFill="1" applyBorder="1"/>
    <xf numFmtId="2" fontId="23" fillId="9" borderId="3" xfId="0" applyNumberFormat="1" applyFont="1" applyFill="1" applyBorder="1"/>
    <xf numFmtId="0" fontId="148" fillId="24" borderId="0" xfId="0" applyFont="1" applyFill="1" applyAlignment="1">
      <alignment horizontal="left"/>
    </xf>
    <xf numFmtId="0" fontId="148" fillId="24" borderId="92" xfId="0" applyFont="1" applyFill="1" applyBorder="1" applyAlignment="1">
      <alignment horizontal="left"/>
    </xf>
    <xf numFmtId="0" fontId="0" fillId="24" borderId="0" xfId="0" applyFill="1"/>
    <xf numFmtId="0" fontId="0" fillId="24" borderId="92" xfId="0" applyFill="1" applyBorder="1"/>
    <xf numFmtId="0" fontId="149" fillId="0" borderId="0" xfId="0" applyFont="1"/>
    <xf numFmtId="0" fontId="150" fillId="24" borderId="0" xfId="0" applyFont="1" applyFill="1" applyAlignment="1">
      <alignment horizontal="left"/>
    </xf>
    <xf numFmtId="0" fontId="150" fillId="24" borderId="116" xfId="0" applyFont="1" applyFill="1" applyBorder="1" applyAlignment="1">
      <alignment horizontal="left"/>
    </xf>
    <xf numFmtId="0" fontId="150" fillId="24" borderId="0" xfId="0" applyFont="1" applyFill="1" applyAlignment="1">
      <alignment horizontal="center"/>
    </xf>
    <xf numFmtId="0" fontId="150" fillId="24" borderId="116" xfId="0" applyFont="1" applyFill="1" applyBorder="1" applyAlignment="1">
      <alignment horizontal="center"/>
    </xf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2" fillId="0" borderId="120" xfId="0" applyFont="1" applyBorder="1"/>
    <xf numFmtId="0" fontId="154" fillId="0" borderId="0" xfId="0" applyFont="1"/>
    <xf numFmtId="0" fontId="151" fillId="0" borderId="120" xfId="0" applyFont="1" applyBorder="1"/>
    <xf numFmtId="17" fontId="151" fillId="0" borderId="0" xfId="0" applyNumberFormat="1" applyFont="1" applyAlignment="1">
      <alignment horizontal="center"/>
    </xf>
    <xf numFmtId="17" fontId="154" fillId="0" borderId="0" xfId="0" applyNumberFormat="1" applyFont="1" applyAlignment="1">
      <alignment horizontal="center"/>
    </xf>
    <xf numFmtId="17" fontId="151" fillId="0" borderId="120" xfId="0" applyNumberFormat="1" applyFont="1" applyBorder="1" applyAlignment="1">
      <alignment horizontal="center"/>
    </xf>
    <xf numFmtId="176" fontId="155" fillId="0" borderId="0" xfId="0" applyNumberFormat="1" applyFont="1" applyAlignment="1">
      <alignment horizontal="right"/>
    </xf>
    <xf numFmtId="176" fontId="154" fillId="0" borderId="0" xfId="0" applyNumberFormat="1" applyFont="1" applyAlignment="1">
      <alignment horizontal="right"/>
    </xf>
    <xf numFmtId="176" fontId="155" fillId="0" borderId="120" xfId="0" applyNumberFormat="1" applyFont="1" applyBorder="1" applyAlignment="1">
      <alignment horizontal="right"/>
    </xf>
    <xf numFmtId="1" fontId="151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1" fontId="151" fillId="0" borderId="120" xfId="0" applyNumberFormat="1" applyFont="1" applyBorder="1" applyAlignment="1">
      <alignment horizontal="center"/>
    </xf>
    <xf numFmtId="170" fontId="151" fillId="0" borderId="0" xfId="0" applyNumberFormat="1" applyFont="1" applyAlignment="1">
      <alignment horizontal="center"/>
    </xf>
    <xf numFmtId="170" fontId="154" fillId="0" borderId="0" xfId="0" applyNumberFormat="1" applyFont="1" applyAlignment="1">
      <alignment horizontal="center"/>
    </xf>
    <xf numFmtId="170" fontId="151" fillId="0" borderId="120" xfId="0" applyNumberFormat="1" applyFont="1" applyBorder="1" applyAlignment="1">
      <alignment horizontal="center"/>
    </xf>
    <xf numFmtId="164" fontId="151" fillId="0" borderId="0" xfId="0" applyNumberFormat="1" applyFont="1" applyAlignment="1">
      <alignment horizontal="center"/>
    </xf>
    <xf numFmtId="164" fontId="154" fillId="0" borderId="0" xfId="0" applyNumberFormat="1" applyFont="1" applyAlignment="1">
      <alignment horizontal="center"/>
    </xf>
    <xf numFmtId="164" fontId="151" fillId="0" borderId="120" xfId="0" applyNumberFormat="1" applyFont="1" applyBorder="1" applyAlignment="1">
      <alignment horizontal="center"/>
    </xf>
    <xf numFmtId="0" fontId="156" fillId="0" borderId="0" xfId="0" applyFont="1"/>
    <xf numFmtId="0" fontId="157" fillId="0" borderId="0" xfId="0" applyFont="1"/>
    <xf numFmtId="0" fontId="149" fillId="0" borderId="120" xfId="0" applyFont="1" applyBorder="1"/>
    <xf numFmtId="0" fontId="64" fillId="20" borderId="83" xfId="0" applyFont="1" applyFill="1" applyBorder="1" applyAlignment="1">
      <alignment vertical="center"/>
    </xf>
    <xf numFmtId="0" fontId="64" fillId="9" borderId="85" xfId="0" applyFont="1" applyFill="1" applyBorder="1" applyAlignment="1">
      <alignment vertical="center"/>
    </xf>
    <xf numFmtId="0" fontId="64" fillId="20" borderId="85" xfId="0" applyFont="1" applyFill="1" applyBorder="1" applyAlignment="1">
      <alignment vertical="center"/>
    </xf>
    <xf numFmtId="0" fontId="0" fillId="24" borderId="116" xfId="0" applyFill="1" applyBorder="1"/>
    <xf numFmtId="0" fontId="152" fillId="8" borderId="0" xfId="0" applyFont="1" applyFill="1"/>
    <xf numFmtId="1" fontId="152" fillId="0" borderId="0" xfId="0" applyNumberFormat="1" applyFont="1" applyAlignment="1">
      <alignment horizontal="center"/>
    </xf>
    <xf numFmtId="1" fontId="152" fillId="8" borderId="0" xfId="0" applyNumberFormat="1" applyFont="1" applyFill="1" applyAlignment="1">
      <alignment horizontal="center"/>
    </xf>
    <xf numFmtId="170" fontId="152" fillId="0" borderId="0" xfId="0" applyNumberFormat="1" applyFont="1" applyAlignment="1">
      <alignment horizontal="center"/>
    </xf>
    <xf numFmtId="170" fontId="152" fillId="8" borderId="0" xfId="0" applyNumberFormat="1" applyFont="1" applyFill="1" applyAlignment="1">
      <alignment horizontal="center"/>
    </xf>
    <xf numFmtId="164" fontId="152" fillId="0" borderId="0" xfId="0" applyNumberFormat="1" applyFont="1" applyAlignment="1">
      <alignment horizontal="center"/>
    </xf>
    <xf numFmtId="164" fontId="152" fillId="8" borderId="0" xfId="0" applyNumberFormat="1" applyFont="1" applyFill="1" applyAlignment="1">
      <alignment horizontal="center"/>
    </xf>
    <xf numFmtId="0" fontId="27" fillId="24" borderId="119" xfId="0" applyFont="1" applyFill="1" applyBorder="1"/>
    <xf numFmtId="0" fontId="27" fillId="24" borderId="116" xfId="0" applyFont="1" applyFill="1" applyBorder="1"/>
    <xf numFmtId="0" fontId="151" fillId="0" borderId="1" xfId="0" applyFont="1" applyBorder="1"/>
    <xf numFmtId="200" fontId="152" fillId="0" borderId="0" xfId="0" applyNumberFormat="1" applyFont="1" applyAlignment="1">
      <alignment horizontal="right"/>
    </xf>
    <xf numFmtId="200" fontId="158" fillId="8" borderId="0" xfId="0" applyNumberFormat="1" applyFont="1" applyFill="1" applyAlignment="1">
      <alignment horizontal="right"/>
    </xf>
    <xf numFmtId="200" fontId="152" fillId="0" borderId="1" xfId="0" applyNumberFormat="1" applyFont="1" applyBorder="1" applyAlignment="1">
      <alignment horizontal="right"/>
    </xf>
    <xf numFmtId="178" fontId="0" fillId="0" borderId="121" xfId="0" applyNumberFormat="1" applyBorder="1"/>
    <xf numFmtId="170" fontId="0" fillId="0" borderId="121" xfId="0" applyNumberFormat="1" applyBorder="1"/>
    <xf numFmtId="182" fontId="0" fillId="0" borderId="121" xfId="0" applyNumberFormat="1" applyBorder="1"/>
    <xf numFmtId="178" fontId="0" fillId="0" borderId="1" xfId="0" applyNumberFormat="1" applyBorder="1"/>
    <xf numFmtId="170" fontId="0" fillId="0" borderId="1" xfId="0" applyNumberFormat="1" applyBorder="1"/>
    <xf numFmtId="182" fontId="0" fillId="0" borderId="1" xfId="0" applyNumberFormat="1" applyBorder="1"/>
    <xf numFmtId="0" fontId="0" fillId="0" borderId="1" xfId="0" applyBorder="1"/>
    <xf numFmtId="0" fontId="159" fillId="24" borderId="95" xfId="0" applyFont="1" applyFill="1" applyBorder="1" applyAlignment="1">
      <alignment vertical="center" wrapText="1"/>
    </xf>
    <xf numFmtId="0" fontId="0" fillId="24" borderId="95" xfId="0" applyFill="1" applyBorder="1" applyAlignment="1">
      <alignment vertical="center" wrapText="1"/>
    </xf>
    <xf numFmtId="0" fontId="149" fillId="0" borderId="0" xfId="0" applyFont="1" applyAlignment="1">
      <alignment vertical="center" wrapText="1"/>
    </xf>
    <xf numFmtId="0" fontId="150" fillId="24" borderId="0" xfId="0" applyFont="1" applyFill="1" applyAlignment="1">
      <alignment horizontal="left" vertical="center" wrapText="1"/>
    </xf>
    <xf numFmtId="0" fontId="150" fillId="24" borderId="0" xfId="0" applyFont="1" applyFill="1" applyAlignment="1">
      <alignment horizontal="center" vertical="center" wrapText="1"/>
    </xf>
    <xf numFmtId="0" fontId="151" fillId="0" borderId="0" xfId="0" applyFont="1" applyAlignment="1">
      <alignment vertical="center" wrapText="1"/>
    </xf>
    <xf numFmtId="2" fontId="19" fillId="0" borderId="0" xfId="0" applyNumberFormat="1" applyFont="1" applyAlignment="1">
      <alignment horizontal="center" vertical="center" wrapText="1"/>
    </xf>
    <xf numFmtId="2" fontId="160" fillId="0" borderId="0" xfId="0" applyNumberFormat="1" applyFont="1" applyAlignment="1">
      <alignment horizontal="center" vertical="center" wrapText="1"/>
    </xf>
    <xf numFmtId="2" fontId="130" fillId="0" borderId="0" xfId="0" applyNumberFormat="1" applyFont="1" applyAlignment="1">
      <alignment horizontal="center" vertical="center" wrapText="1"/>
    </xf>
    <xf numFmtId="188" fontId="23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52" fillId="8" borderId="0" xfId="0" applyFont="1" applyFill="1" applyAlignment="1">
      <alignment vertical="center" wrapText="1"/>
    </xf>
    <xf numFmtId="2" fontId="23" fillId="8" borderId="0" xfId="0" applyNumberFormat="1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2" fontId="19" fillId="8" borderId="0" xfId="0" applyNumberFormat="1" applyFont="1" applyFill="1" applyAlignment="1">
      <alignment horizontal="center" vertical="center" wrapText="1"/>
    </xf>
    <xf numFmtId="188" fontId="23" fillId="8" borderId="0" xfId="0" applyNumberFormat="1" applyFont="1" applyFill="1" applyAlignment="1">
      <alignment horizontal="center" vertical="center" wrapText="1"/>
    </xf>
    <xf numFmtId="0" fontId="159" fillId="24" borderId="0" xfId="0" applyFont="1" applyFill="1" applyAlignment="1">
      <alignment horizontal="left"/>
    </xf>
    <xf numFmtId="201" fontId="151" fillId="0" borderId="0" xfId="0" applyNumberFormat="1" applyFont="1" applyAlignment="1">
      <alignment horizontal="center"/>
    </xf>
    <xf numFmtId="0" fontId="164" fillId="8" borderId="0" xfId="0" applyFont="1" applyFill="1"/>
    <xf numFmtId="164" fontId="165" fillId="8" borderId="0" xfId="0" applyNumberFormat="1" applyFont="1" applyFill="1" applyAlignment="1">
      <alignment horizontal="center"/>
    </xf>
    <xf numFmtId="201" fontId="151" fillId="8" borderId="0" xfId="0" applyNumberFormat="1" applyFont="1" applyFill="1" applyAlignment="1">
      <alignment horizontal="center"/>
    </xf>
    <xf numFmtId="201" fontId="152" fillId="8" borderId="0" xfId="0" applyNumberFormat="1" applyFont="1" applyFill="1" applyAlignment="1">
      <alignment horizontal="center"/>
    </xf>
    <xf numFmtId="178" fontId="151" fillId="8" borderId="0" xfId="0" applyNumberFormat="1" applyFont="1" applyFill="1" applyAlignment="1">
      <alignment horizontal="center"/>
    </xf>
    <xf numFmtId="191" fontId="151" fillId="8" borderId="0" xfId="0" applyNumberFormat="1" applyFont="1" applyFill="1" applyAlignment="1">
      <alignment horizontal="center"/>
    </xf>
    <xf numFmtId="0" fontId="158" fillId="8" borderId="1" xfId="0" applyFont="1" applyFill="1" applyBorder="1"/>
    <xf numFmtId="164" fontId="170" fillId="8" borderId="1" xfId="0" applyNumberFormat="1" applyFont="1" applyFill="1" applyBorder="1" applyAlignment="1">
      <alignment horizontal="center"/>
    </xf>
    <xf numFmtId="0" fontId="149" fillId="8" borderId="122" xfId="0" applyFont="1" applyFill="1" applyBorder="1"/>
    <xf numFmtId="178" fontId="155" fillId="0" borderId="0" xfId="0" applyNumberFormat="1" applyFont="1" applyAlignment="1">
      <alignment horizontal="center"/>
    </xf>
    <xf numFmtId="202" fontId="163" fillId="0" borderId="0" xfId="0" applyNumberFormat="1" applyFont="1" applyAlignment="1">
      <alignment horizontal="center"/>
    </xf>
    <xf numFmtId="202" fontId="167" fillId="0" borderId="0" xfId="0" applyNumberFormat="1" applyFont="1" applyAlignment="1">
      <alignment horizontal="center"/>
    </xf>
    <xf numFmtId="178" fontId="158" fillId="8" borderId="1" xfId="0" applyNumberFormat="1" applyFont="1" applyFill="1" applyBorder="1" applyAlignment="1">
      <alignment horizontal="center"/>
    </xf>
    <xf numFmtId="201" fontId="158" fillId="8" borderId="1" xfId="0" applyNumberFormat="1" applyFont="1" applyFill="1" applyBorder="1" applyAlignment="1">
      <alignment horizontal="center"/>
    </xf>
    <xf numFmtId="0" fontId="169" fillId="8" borderId="1" xfId="0" applyFont="1" applyFill="1" applyBorder="1" applyAlignment="1">
      <alignment horizontal="center"/>
    </xf>
    <xf numFmtId="0" fontId="161" fillId="9" borderId="0" xfId="0" applyFont="1" applyFill="1"/>
    <xf numFmtId="164" fontId="162" fillId="9" borderId="0" xfId="0" applyNumberFormat="1" applyFont="1" applyFill="1" applyAlignment="1">
      <alignment horizontal="center"/>
    </xf>
    <xf numFmtId="201" fontId="151" fillId="9" borderId="0" xfId="0" applyNumberFormat="1" applyFont="1" applyFill="1" applyAlignment="1">
      <alignment horizontal="center"/>
    </xf>
    <xf numFmtId="201" fontId="152" fillId="9" borderId="0" xfId="0" applyNumberFormat="1" applyFont="1" applyFill="1" applyAlignment="1">
      <alignment horizontal="center"/>
    </xf>
    <xf numFmtId="178" fontId="151" fillId="9" borderId="0" xfId="0" applyNumberFormat="1" applyFont="1" applyFill="1" applyAlignment="1">
      <alignment horizontal="center"/>
    </xf>
    <xf numFmtId="191" fontId="163" fillId="9" borderId="0" xfId="0" applyNumberFormat="1" applyFont="1" applyFill="1" applyAlignment="1">
      <alignment horizontal="center"/>
    </xf>
    <xf numFmtId="0" fontId="156" fillId="9" borderId="0" xfId="0" applyFont="1" applyFill="1"/>
    <xf numFmtId="0" fontId="156" fillId="8" borderId="0" xfId="0" applyFont="1" applyFill="1"/>
    <xf numFmtId="0" fontId="166" fillId="9" borderId="0" xfId="0" applyFont="1" applyFill="1"/>
    <xf numFmtId="191" fontId="168" fillId="9" borderId="0" xfId="0" applyNumberFormat="1" applyFont="1" applyFill="1" applyAlignment="1">
      <alignment horizontal="center"/>
    </xf>
    <xf numFmtId="0" fontId="151" fillId="9" borderId="0" xfId="0" applyFont="1" applyFill="1"/>
    <xf numFmtId="164" fontId="151" fillId="9" borderId="0" xfId="0" applyNumberFormat="1" applyFont="1" applyFill="1" applyAlignment="1">
      <alignment horizontal="center"/>
    </xf>
    <xf numFmtId="0" fontId="156" fillId="0" borderId="0" xfId="0" applyFont="1" applyBorder="1"/>
    <xf numFmtId="178" fontId="155" fillId="9" borderId="0" xfId="0" applyNumberFormat="1" applyFont="1" applyFill="1" applyAlignment="1">
      <alignment horizontal="center"/>
    </xf>
    <xf numFmtId="202" fontId="163" fillId="9" borderId="0" xfId="0" applyNumberFormat="1" applyFont="1" applyFill="1" applyAlignment="1">
      <alignment horizontal="center"/>
    </xf>
    <xf numFmtId="202" fontId="167" fillId="9" borderId="0" xfId="0" applyNumberFormat="1" applyFont="1" applyFill="1" applyAlignment="1">
      <alignment horizontal="center"/>
    </xf>
    <xf numFmtId="0" fontId="150" fillId="24" borderId="116" xfId="0" applyFont="1" applyFill="1" applyBorder="1" applyAlignment="1">
      <alignment horizontal="left" wrapText="1"/>
    </xf>
    <xf numFmtId="0" fontId="88" fillId="0" borderId="0" xfId="0" applyFont="1" applyAlignment="1">
      <alignment horizontal="left" vertical="center" wrapText="1"/>
    </xf>
    <xf numFmtId="0" fontId="65" fillId="18" borderId="0" xfId="0" applyFont="1" applyFill="1" applyAlignment="1">
      <alignment horizontal="left"/>
    </xf>
    <xf numFmtId="0" fontId="14" fillId="18" borderId="0" xfId="0" applyFont="1" applyFill="1" applyAlignment="1">
      <alignment horizontal="left"/>
    </xf>
    <xf numFmtId="0" fontId="16" fillId="10" borderId="0" xfId="0" applyFont="1" applyFill="1" applyAlignment="1">
      <alignment horizontal="center"/>
    </xf>
    <xf numFmtId="0" fontId="16" fillId="18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71" fillId="8" borderId="122" xfId="0" applyFont="1" applyFill="1" applyBorder="1" applyAlignment="1"/>
    <xf numFmtId="1" fontId="150" fillId="24" borderId="0" xfId="0" applyNumberFormat="1" applyFont="1" applyFill="1" applyAlignment="1">
      <alignment horizontal="center"/>
    </xf>
    <xf numFmtId="0" fontId="161" fillId="0" borderId="0" xfId="0" applyFont="1"/>
    <xf numFmtId="2" fontId="155" fillId="0" borderId="0" xfId="0" applyNumberFormat="1" applyFont="1" applyAlignment="1">
      <alignment horizontal="center"/>
    </xf>
    <xf numFmtId="2" fontId="151" fillId="0" borderId="0" xfId="0" applyNumberFormat="1" applyFont="1" applyAlignment="1">
      <alignment horizontal="center"/>
    </xf>
    <xf numFmtId="0" fontId="172" fillId="0" borderId="0" xfId="0" applyFont="1" applyAlignment="1">
      <alignment horizontal="center"/>
    </xf>
    <xf numFmtId="2" fontId="172" fillId="0" borderId="0" xfId="0" applyNumberFormat="1" applyFont="1" applyAlignment="1">
      <alignment horizontal="center"/>
    </xf>
    <xf numFmtId="2" fontId="167" fillId="8" borderId="0" xfId="0" applyNumberFormat="1" applyFont="1" applyFill="1" applyAlignment="1">
      <alignment horizontal="center"/>
    </xf>
    <xf numFmtId="2" fontId="164" fillId="8" borderId="0" xfId="0" applyNumberFormat="1" applyFont="1" applyFill="1" applyAlignment="1">
      <alignment horizontal="center"/>
    </xf>
    <xf numFmtId="0" fontId="164" fillId="8" borderId="0" xfId="0" applyFont="1" applyFill="1" applyAlignment="1">
      <alignment horizontal="center"/>
    </xf>
    <xf numFmtId="0" fontId="166" fillId="0" borderId="0" xfId="0" applyFont="1"/>
    <xf numFmtId="0" fontId="168" fillId="0" borderId="0" xfId="0" applyFont="1" applyAlignment="1">
      <alignment horizontal="center"/>
    </xf>
    <xf numFmtId="2" fontId="168" fillId="0" borderId="0" xfId="0" applyNumberFormat="1" applyFont="1" applyAlignment="1">
      <alignment horizontal="center"/>
    </xf>
    <xf numFmtId="0" fontId="173" fillId="24" borderId="0" xfId="0" applyFont="1" applyFill="1" applyAlignment="1">
      <alignment horizontal="left"/>
    </xf>
    <xf numFmtId="0" fontId="150" fillId="10" borderId="0" xfId="0" applyFont="1" applyFill="1"/>
    <xf numFmtId="10" fontId="151" fillId="0" borderId="0" xfId="0" applyNumberFormat="1" applyFont="1" applyAlignment="1">
      <alignment horizontal="center"/>
    </xf>
    <xf numFmtId="0" fontId="152" fillId="9" borderId="63" xfId="0" applyFont="1" applyFill="1" applyBorder="1" applyAlignment="1">
      <alignment horizontal="center"/>
    </xf>
    <xf numFmtId="2" fontId="152" fillId="9" borderId="64" xfId="0" applyNumberFormat="1" applyFont="1" applyFill="1" applyBorder="1" applyAlignment="1">
      <alignment horizontal="center"/>
    </xf>
    <xf numFmtId="2" fontId="151" fillId="9" borderId="64" xfId="0" applyNumberFormat="1" applyFont="1" applyFill="1" applyBorder="1" applyAlignment="1">
      <alignment horizontal="center"/>
    </xf>
    <xf numFmtId="0" fontId="156" fillId="9" borderId="64" xfId="0" applyFont="1" applyFill="1" applyBorder="1"/>
    <xf numFmtId="0" fontId="151" fillId="0" borderId="66" xfId="0" applyFont="1" applyBorder="1" applyAlignment="1">
      <alignment horizontal="center"/>
    </xf>
    <xf numFmtId="0" fontId="175" fillId="9" borderId="66" xfId="0" applyFont="1" applyFill="1" applyBorder="1" applyAlignment="1">
      <alignment horizontal="center"/>
    </xf>
    <xf numFmtId="0" fontId="151" fillId="9" borderId="126" xfId="0" applyFont="1" applyFill="1" applyBorder="1" applyAlignment="1">
      <alignment horizontal="center"/>
    </xf>
    <xf numFmtId="0" fontId="0" fillId="0" borderId="127" xfId="0" applyBorder="1" applyAlignment="1">
      <alignment horizontal="center"/>
    </xf>
    <xf numFmtId="0" fontId="176" fillId="8" borderId="128" xfId="0" applyFont="1" applyFill="1" applyBorder="1" applyAlignment="1">
      <alignment horizontal="center"/>
    </xf>
    <xf numFmtId="0" fontId="159" fillId="24" borderId="66" xfId="0" applyFont="1" applyFill="1" applyBorder="1" applyAlignment="1">
      <alignment horizontal="left"/>
    </xf>
    <xf numFmtId="0" fontId="156" fillId="0" borderId="66" xfId="0" applyFont="1" applyBorder="1" applyAlignment="1">
      <alignment horizontal="center"/>
    </xf>
    <xf numFmtId="0" fontId="0" fillId="0" borderId="126" xfId="0" applyBorder="1" applyAlignment="1">
      <alignment horizontal="center"/>
    </xf>
    <xf numFmtId="9" fontId="155" fillId="0" borderId="0" xfId="0" applyNumberFormat="1" applyFont="1" applyAlignment="1">
      <alignment horizontal="center"/>
    </xf>
    <xf numFmtId="2" fontId="151" fillId="9" borderId="0" xfId="0" applyNumberFormat="1" applyFont="1" applyFill="1" applyAlignment="1">
      <alignment horizontal="center"/>
    </xf>
    <xf numFmtId="9" fontId="155" fillId="9" borderId="0" xfId="0" applyNumberFormat="1" applyFont="1" applyFill="1" applyAlignment="1">
      <alignment horizontal="center"/>
    </xf>
    <xf numFmtId="0" fontId="158" fillId="8" borderId="122" xfId="0" applyFont="1" applyFill="1" applyBorder="1"/>
    <xf numFmtId="0" fontId="179" fillId="8" borderId="122" xfId="0" applyFont="1" applyFill="1" applyBorder="1" applyAlignment="1">
      <alignment horizontal="center"/>
    </xf>
    <xf numFmtId="2" fontId="161" fillId="8" borderId="122" xfId="0" applyNumberFormat="1" applyFont="1" applyFill="1" applyBorder="1" applyAlignment="1">
      <alignment horizontal="center"/>
    </xf>
    <xf numFmtId="2" fontId="164" fillId="8" borderId="122" xfId="0" applyNumberFormat="1" applyFont="1" applyFill="1" applyBorder="1" applyAlignment="1">
      <alignment horizontal="center"/>
    </xf>
    <xf numFmtId="2" fontId="166" fillId="8" borderId="122" xfId="0" applyNumberFormat="1" applyFont="1" applyFill="1" applyBorder="1" applyAlignment="1">
      <alignment horizontal="center"/>
    </xf>
    <xf numFmtId="9" fontId="151" fillId="0" borderId="0" xfId="0" applyNumberFormat="1" applyFont="1" applyAlignment="1">
      <alignment horizontal="center"/>
    </xf>
    <xf numFmtId="2" fontId="152" fillId="0" borderId="0" xfId="0" applyNumberFormat="1" applyFont="1" applyAlignment="1">
      <alignment horizontal="center"/>
    </xf>
    <xf numFmtId="9" fontId="151" fillId="9" borderId="0" xfId="0" applyNumberFormat="1" applyFont="1" applyFill="1" applyAlignment="1">
      <alignment horizontal="center"/>
    </xf>
    <xf numFmtId="2" fontId="152" fillId="9" borderId="0" xfId="0" applyNumberFormat="1" applyFont="1" applyFill="1" applyAlignment="1">
      <alignment horizontal="center"/>
    </xf>
    <xf numFmtId="0" fontId="180" fillId="0" borderId="0" xfId="0" applyFont="1"/>
    <xf numFmtId="2" fontId="180" fillId="0" borderId="0" xfId="0" applyNumberFormat="1" applyFont="1" applyAlignment="1">
      <alignment horizontal="center"/>
    </xf>
    <xf numFmtId="9" fontId="180" fillId="0" borderId="0" xfId="0" applyNumberFormat="1" applyFont="1" applyAlignment="1">
      <alignment horizontal="center"/>
    </xf>
    <xf numFmtId="0" fontId="152" fillId="8" borderId="1" xfId="0" applyFont="1" applyFill="1" applyBorder="1"/>
    <xf numFmtId="0" fontId="0" fillId="8" borderId="1" xfId="0" applyFill="1" applyBorder="1"/>
    <xf numFmtId="0" fontId="152" fillId="8" borderId="0" xfId="0" applyFont="1" applyFill="1" applyAlignment="1">
      <alignment horizontal="right"/>
    </xf>
    <xf numFmtId="0" fontId="152" fillId="8" borderId="1" xfId="0" applyFont="1" applyFill="1" applyBorder="1" applyAlignment="1">
      <alignment horizontal="right"/>
    </xf>
    <xf numFmtId="2" fontId="158" fillId="8" borderId="0" xfId="0" applyNumberFormat="1" applyFont="1" applyFill="1" applyAlignment="1">
      <alignment horizontal="center"/>
    </xf>
    <xf numFmtId="2" fontId="152" fillId="0" borderId="0" xfId="0" applyNumberFormat="1" applyFont="1" applyBorder="1" applyAlignment="1">
      <alignment horizontal="center"/>
    </xf>
    <xf numFmtId="2" fontId="158" fillId="8" borderId="122" xfId="0" applyNumberFormat="1" applyFont="1" applyFill="1" applyBorder="1" applyAlignment="1">
      <alignment horizontal="center"/>
    </xf>
    <xf numFmtId="2" fontId="158" fillId="8" borderId="1" xfId="0" applyNumberFormat="1" applyFont="1" applyFill="1" applyBorder="1" applyAlignment="1">
      <alignment horizontal="center"/>
    </xf>
    <xf numFmtId="203" fontId="151" fillId="0" borderId="0" xfId="0" applyNumberFormat="1" applyFont="1" applyAlignment="1">
      <alignment horizontal="center"/>
    </xf>
    <xf numFmtId="0" fontId="158" fillId="9" borderId="0" xfId="0" applyFont="1" applyFill="1"/>
    <xf numFmtId="0" fontId="181" fillId="9" borderId="0" xfId="0" applyFont="1" applyFill="1"/>
    <xf numFmtId="0" fontId="151" fillId="9" borderId="0" xfId="0" applyFont="1" applyFill="1" applyAlignment="1">
      <alignment horizontal="center"/>
    </xf>
    <xf numFmtId="203" fontId="158" fillId="9" borderId="0" xfId="0" applyNumberFormat="1" applyFont="1" applyFill="1" applyAlignment="1">
      <alignment horizontal="center"/>
    </xf>
    <xf numFmtId="0" fontId="182" fillId="9" borderId="122" xfId="0" applyFont="1" applyFill="1" applyBorder="1"/>
    <xf numFmtId="203" fontId="0" fillId="0" borderId="0" xfId="0" applyNumberFormat="1"/>
    <xf numFmtId="203" fontId="152" fillId="0" borderId="0" xfId="0" applyNumberFormat="1" applyFont="1" applyAlignment="1">
      <alignment horizontal="center"/>
    </xf>
    <xf numFmtId="203" fontId="174" fillId="0" borderId="0" xfId="0" applyNumberFormat="1" applyFont="1" applyAlignment="1">
      <alignment horizontal="center"/>
    </xf>
    <xf numFmtId="202" fontId="163" fillId="0" borderId="1" xfId="0" applyNumberFormat="1" applyFont="1" applyBorder="1" applyAlignment="1">
      <alignment horizontal="center"/>
    </xf>
    <xf numFmtId="0" fontId="65" fillId="0" borderId="116" xfId="0" applyFont="1" applyFill="1" applyBorder="1"/>
    <xf numFmtId="0" fontId="151" fillId="8" borderId="0" xfId="0" applyFont="1" applyFill="1"/>
    <xf numFmtId="170" fontId="151" fillId="8" borderId="0" xfId="0" applyNumberFormat="1" applyFont="1" applyFill="1" applyAlignment="1">
      <alignment horizontal="center"/>
    </xf>
    <xf numFmtId="203" fontId="158" fillId="8" borderId="0" xfId="0" applyNumberFormat="1" applyFont="1" applyFill="1" applyAlignment="1">
      <alignment horizontal="center"/>
    </xf>
    <xf numFmtId="202" fontId="163" fillId="8" borderId="0" xfId="0" applyNumberFormat="1" applyFont="1" applyFill="1" applyAlignment="1">
      <alignment horizontal="center"/>
    </xf>
    <xf numFmtId="203" fontId="151" fillId="8" borderId="0" xfId="0" applyNumberFormat="1" applyFont="1" applyFill="1" applyAlignment="1">
      <alignment horizontal="center"/>
    </xf>
    <xf numFmtId="203" fontId="164" fillId="8" borderId="0" xfId="0" applyNumberFormat="1" applyFont="1" applyFill="1" applyAlignment="1">
      <alignment horizontal="center"/>
    </xf>
    <xf numFmtId="202" fontId="161" fillId="8" borderId="0" xfId="0" applyNumberFormat="1" applyFont="1" applyFill="1" applyAlignment="1">
      <alignment horizontal="center"/>
    </xf>
    <xf numFmtId="0" fontId="183" fillId="0" borderId="0" xfId="0" applyFont="1"/>
    <xf numFmtId="0" fontId="184" fillId="0" borderId="0" xfId="0" applyFont="1"/>
    <xf numFmtId="0" fontId="80" fillId="18" borderId="0" xfId="0" applyFont="1" applyFill="1" applyAlignment="1"/>
    <xf numFmtId="0" fontId="11" fillId="0" borderId="0" xfId="0" applyFont="1" applyAlignment="1"/>
    <xf numFmtId="0" fontId="81" fillId="0" borderId="0" xfId="0" applyFont="1" applyAlignment="1"/>
    <xf numFmtId="0" fontId="32" fillId="0" borderId="0" xfId="0" applyFont="1" applyAlignment="1"/>
    <xf numFmtId="0" fontId="82" fillId="0" borderId="0" xfId="0" applyFont="1" applyAlignment="1"/>
    <xf numFmtId="0" fontId="50" fillId="0" borderId="0" xfId="0" applyFont="1" applyAlignment="1"/>
    <xf numFmtId="0" fontId="14" fillId="18" borderId="0" xfId="0" applyFont="1" applyFill="1" applyAlignment="1"/>
    <xf numFmtId="0" fontId="6" fillId="9" borderId="0" xfId="0" applyFont="1" applyFill="1" applyAlignment="1"/>
    <xf numFmtId="0" fontId="81" fillId="9" borderId="0" xfId="0" applyFont="1" applyFill="1" applyAlignment="1"/>
    <xf numFmtId="0" fontId="16" fillId="10" borderId="0" xfId="0" applyFont="1" applyFill="1" applyAlignment="1">
      <alignment horizontal="center"/>
    </xf>
    <xf numFmtId="0" fontId="75" fillId="8" borderId="55" xfId="0" applyFont="1" applyFill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69" fillId="18" borderId="0" xfId="0" applyFont="1" applyFill="1" applyAlignment="1">
      <alignment horizontal="left"/>
    </xf>
    <xf numFmtId="0" fontId="1" fillId="0" borderId="0" xfId="0" applyFont="1" applyAlignment="1"/>
    <xf numFmtId="0" fontId="70" fillId="18" borderId="0" xfId="0" applyFont="1" applyFill="1" applyAlignment="1"/>
    <xf numFmtId="0" fontId="2" fillId="0" borderId="0" xfId="0" applyFont="1" applyAlignment="1"/>
    <xf numFmtId="0" fontId="71" fillId="18" borderId="0" xfId="0" applyFont="1" applyFill="1" applyAlignment="1"/>
    <xf numFmtId="0" fontId="3" fillId="0" borderId="0" xfId="0" applyFont="1" applyAlignment="1"/>
    <xf numFmtId="0" fontId="6" fillId="0" borderId="0" xfId="0" applyFont="1" applyAlignment="1"/>
    <xf numFmtId="0" fontId="73" fillId="18" borderId="0" xfId="0" applyFont="1" applyFill="1" applyAlignment="1"/>
    <xf numFmtId="0" fontId="40" fillId="10" borderId="0" xfId="0" applyFont="1" applyFill="1" applyAlignment="1"/>
    <xf numFmtId="0" fontId="16" fillId="18" borderId="14" xfId="0" applyFont="1" applyFill="1" applyBorder="1" applyAlignment="1"/>
    <xf numFmtId="0" fontId="44" fillId="10" borderId="14" xfId="0" applyFont="1" applyFill="1" applyBorder="1" applyAlignment="1"/>
    <xf numFmtId="0" fontId="16" fillId="18" borderId="0" xfId="0" applyFont="1" applyFill="1" applyAlignment="1"/>
    <xf numFmtId="0" fontId="44" fillId="10" borderId="0" xfId="0" applyFont="1" applyFill="1" applyAlignment="1"/>
    <xf numFmtId="0" fontId="22" fillId="0" borderId="55" xfId="0" applyFont="1" applyBorder="1" applyAlignment="1">
      <alignment vertical="top" wrapText="1"/>
    </xf>
    <xf numFmtId="0" fontId="62" fillId="24" borderId="0" xfId="0" applyFont="1" applyFill="1" applyAlignment="1">
      <alignment horizontal="center"/>
    </xf>
    <xf numFmtId="0" fontId="16" fillId="24" borderId="94" xfId="0" applyFont="1" applyFill="1" applyBorder="1" applyAlignment="1">
      <alignment horizontal="center"/>
    </xf>
    <xf numFmtId="0" fontId="80" fillId="18" borderId="0" xfId="0" applyFont="1" applyFill="1" applyAlignment="1">
      <alignment horizontal="left" vertical="center"/>
    </xf>
    <xf numFmtId="0" fontId="14" fillId="18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31" fillId="0" borderId="0" xfId="0" applyFont="1" applyAlignment="1">
      <alignment horizontal="left" vertical="center" wrapText="1"/>
    </xf>
    <xf numFmtId="0" fontId="20" fillId="0" borderId="0" xfId="0" applyFont="1" applyAlignment="1"/>
    <xf numFmtId="0" fontId="23" fillId="21" borderId="0" xfId="0" applyFont="1" applyFill="1" applyAlignment="1"/>
    <xf numFmtId="0" fontId="19" fillId="0" borderId="0" xfId="0" applyFont="1" applyAlignment="1"/>
    <xf numFmtId="0" fontId="64" fillId="0" borderId="0" xfId="0" applyFont="1" applyAlignment="1"/>
    <xf numFmtId="0" fontId="48" fillId="9" borderId="0" xfId="0" applyFont="1" applyFill="1" applyAlignment="1"/>
    <xf numFmtId="0" fontId="94" fillId="9" borderId="0" xfId="0" applyFont="1" applyFill="1" applyAlignment="1"/>
    <xf numFmtId="0" fontId="48" fillId="21" borderId="0" xfId="0" applyFont="1" applyFill="1" applyAlignment="1"/>
    <xf numFmtId="0" fontId="79" fillId="9" borderId="0" xfId="0" applyFont="1" applyFill="1" applyAlignment="1"/>
    <xf numFmtId="0" fontId="109" fillId="10" borderId="0" xfId="0" applyFont="1" applyFill="1" applyAlignment="1">
      <alignment horizontal="center"/>
    </xf>
    <xf numFmtId="0" fontId="14" fillId="18" borderId="0" xfId="0" applyFont="1" applyFill="1" applyAlignment="1">
      <alignment horizontal="center"/>
    </xf>
    <xf numFmtId="0" fontId="65" fillId="18" borderId="0" xfId="0" applyFont="1" applyFill="1" applyAlignment="1"/>
    <xf numFmtId="0" fontId="81" fillId="12" borderId="0" xfId="0" applyFont="1" applyFill="1" applyAlignment="1">
      <alignment horizontal="left" vertical="center" indent="1"/>
    </xf>
    <xf numFmtId="0" fontId="52" fillId="12" borderId="0" xfId="0" applyFont="1" applyFill="1" applyAlignment="1">
      <alignment horizontal="left" vertical="center" indent="1"/>
    </xf>
    <xf numFmtId="0" fontId="13" fillId="18" borderId="0" xfId="0" applyFont="1" applyFill="1" applyAlignment="1">
      <alignment horizontal="left" vertical="center" indent="1"/>
    </xf>
    <xf numFmtId="0" fontId="16" fillId="18" borderId="0" xfId="0" applyFont="1" applyFill="1" applyAlignment="1">
      <alignment horizontal="left"/>
    </xf>
    <xf numFmtId="0" fontId="65" fillId="18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14" fillId="18" borderId="0" xfId="0" applyFont="1" applyFill="1" applyAlignment="1">
      <alignment horizontal="left"/>
    </xf>
    <xf numFmtId="0" fontId="48" fillId="18" borderId="0" xfId="0" applyFont="1" applyFill="1" applyAlignment="1">
      <alignment horizontal="left"/>
    </xf>
    <xf numFmtId="0" fontId="80" fillId="18" borderId="0" xfId="0" applyFont="1" applyFill="1" applyAlignment="1">
      <alignment horizontal="left" vertical="center" wrapText="1"/>
    </xf>
    <xf numFmtId="0" fontId="32" fillId="18" borderId="0" xfId="0" applyFont="1" applyFill="1" applyAlignment="1">
      <alignment horizontal="center" vertical="center" indent="1"/>
    </xf>
    <xf numFmtId="0" fontId="4" fillId="18" borderId="0" xfId="0" applyFont="1" applyFill="1" applyAlignment="1">
      <alignment horizontal="right" vertical="center" indent="1"/>
    </xf>
    <xf numFmtId="0" fontId="32" fillId="9" borderId="0" xfId="0" applyFont="1" applyFill="1" applyAlignment="1">
      <alignment horizontal="center" vertical="center" indent="1"/>
    </xf>
    <xf numFmtId="0" fontId="4" fillId="9" borderId="0" xfId="0" applyFont="1" applyFill="1" applyAlignment="1">
      <alignment horizontal="right" vertical="center" indent="1"/>
    </xf>
    <xf numFmtId="0" fontId="88" fillId="20" borderId="0" xfId="0" applyFont="1" applyFill="1" applyAlignment="1">
      <alignment horizontal="left" vertical="center" wrapText="1"/>
    </xf>
    <xf numFmtId="0" fontId="88" fillId="0" borderId="0" xfId="0" applyFont="1" applyAlignment="1">
      <alignment horizontal="left" vertical="center" wrapText="1"/>
    </xf>
    <xf numFmtId="0" fontId="4" fillId="18" borderId="0" xfId="0" applyFont="1" applyFill="1" applyAlignment="1">
      <alignment horizontal="left" vertical="center" indent="1"/>
    </xf>
    <xf numFmtId="0" fontId="27" fillId="8" borderId="0" xfId="0" applyFont="1" applyFill="1" applyAlignment="1"/>
    <xf numFmtId="0" fontId="23" fillId="13" borderId="0" xfId="0" applyFont="1" applyFill="1" applyAlignment="1"/>
    <xf numFmtId="0" fontId="80" fillId="18" borderId="0" xfId="0" applyFont="1" applyFill="1" applyAlignment="1">
      <alignment horizontal="left"/>
    </xf>
    <xf numFmtId="0" fontId="88" fillId="0" borderId="0" xfId="0" applyFont="1" applyAlignment="1"/>
    <xf numFmtId="0" fontId="4" fillId="4" borderId="0" xfId="0" applyFont="1" applyFill="1" applyAlignment="1"/>
    <xf numFmtId="0" fontId="23" fillId="9" borderId="0" xfId="0" applyFont="1" applyFill="1" applyAlignment="1"/>
    <xf numFmtId="0" fontId="18" fillId="0" borderId="0" xfId="0" applyFont="1" applyAlignment="1"/>
    <xf numFmtId="0" fontId="6" fillId="4" borderId="0" xfId="0" applyFont="1" applyFill="1" applyAlignment="1"/>
    <xf numFmtId="0" fontId="6" fillId="9" borderId="0" xfId="0" applyFont="1" applyFill="1" applyAlignment="1">
      <alignment horizontal="left" vertical="center" indent="1"/>
    </xf>
    <xf numFmtId="0" fontId="81" fillId="9" borderId="0" xfId="0" applyFont="1" applyFill="1" applyAlignment="1">
      <alignment horizontal="left" vertical="center" indent="1"/>
    </xf>
    <xf numFmtId="0" fontId="62" fillId="18" borderId="0" xfId="0" applyFont="1" applyFill="1" applyAlignment="1">
      <alignment horizontal="left"/>
    </xf>
    <xf numFmtId="0" fontId="49" fillId="0" borderId="0" xfId="0" applyFont="1" applyAlignment="1"/>
    <xf numFmtId="0" fontId="29" fillId="9" borderId="0" xfId="0" applyFont="1" applyFill="1" applyAlignment="1"/>
    <xf numFmtId="10" fontId="151" fillId="0" borderId="67" xfId="0" applyNumberFormat="1" applyFont="1" applyBorder="1" applyAlignment="1">
      <alignment horizontal="center"/>
    </xf>
    <xf numFmtId="0" fontId="156" fillId="0" borderId="67" xfId="0" applyFont="1" applyBorder="1" applyAlignment="1"/>
    <xf numFmtId="0" fontId="0" fillId="0" borderId="67" xfId="0" applyBorder="1" applyAlignment="1"/>
    <xf numFmtId="0" fontId="0" fillId="0" borderId="68" xfId="0" applyBorder="1" applyAlignment="1"/>
    <xf numFmtId="10" fontId="175" fillId="9" borderId="67" xfId="0" applyNumberFormat="1" applyFont="1" applyFill="1" applyBorder="1" applyAlignment="1">
      <alignment horizontal="center"/>
    </xf>
    <xf numFmtId="187" fontId="175" fillId="9" borderId="67" xfId="0" applyNumberFormat="1" applyFont="1" applyFill="1" applyBorder="1" applyAlignment="1">
      <alignment horizontal="center"/>
    </xf>
    <xf numFmtId="0" fontId="149" fillId="9" borderId="67" xfId="0" applyFont="1" applyFill="1" applyBorder="1" applyAlignment="1"/>
    <xf numFmtId="187" fontId="151" fillId="0" borderId="67" xfId="0" applyNumberFormat="1" applyFont="1" applyBorder="1" applyAlignment="1">
      <alignment horizontal="center"/>
    </xf>
    <xf numFmtId="0" fontId="156" fillId="0" borderId="124" xfId="0" applyFont="1" applyBorder="1" applyAlignment="1"/>
    <xf numFmtId="10" fontId="151" fillId="9" borderId="124" xfId="0" applyNumberFormat="1" applyFont="1" applyFill="1" applyBorder="1" applyAlignment="1">
      <alignment horizontal="center"/>
    </xf>
    <xf numFmtId="187" fontId="151" fillId="9" borderId="124" xfId="0" applyNumberFormat="1" applyFont="1" applyFill="1" applyBorder="1" applyAlignment="1">
      <alignment horizontal="center"/>
    </xf>
    <xf numFmtId="10" fontId="151" fillId="9" borderId="131" xfId="0" applyNumberFormat="1" applyFont="1" applyFill="1" applyBorder="1" applyAlignment="1">
      <alignment horizontal="center"/>
    </xf>
    <xf numFmtId="0" fontId="156" fillId="9" borderId="124" xfId="0" applyFont="1" applyFill="1" applyBorder="1" applyAlignment="1"/>
    <xf numFmtId="0" fontId="0" fillId="0" borderId="123" xfId="0" applyBorder="1" applyAlignment="1"/>
    <xf numFmtId="10" fontId="177" fillId="8" borderId="130" xfId="0" applyNumberFormat="1" applyFont="1" applyFill="1" applyBorder="1" applyAlignment="1">
      <alignment horizontal="center"/>
    </xf>
    <xf numFmtId="10" fontId="178" fillId="8" borderId="130" xfId="0" applyNumberFormat="1" applyFont="1" applyFill="1" applyBorder="1" applyAlignment="1">
      <alignment horizontal="center"/>
    </xf>
    <xf numFmtId="10" fontId="170" fillId="8" borderId="130" xfId="0" applyNumberFormat="1" applyFont="1" applyFill="1" applyBorder="1" applyAlignment="1">
      <alignment horizontal="center"/>
    </xf>
    <xf numFmtId="0" fontId="149" fillId="8" borderId="129" xfId="0" applyFont="1" applyFill="1" applyBorder="1" applyAlignment="1"/>
    <xf numFmtId="0" fontId="0" fillId="0" borderId="125" xfId="0" applyBorder="1" applyAlignment="1"/>
    <xf numFmtId="0" fontId="0" fillId="0" borderId="124" xfId="0" applyBorder="1" applyAlignment="1"/>
    <xf numFmtId="0" fontId="0" fillId="0" borderId="71" xfId="0" applyBorder="1" applyAlignment="1"/>
    <xf numFmtId="0" fontId="0" fillId="24" borderId="67" xfId="0" applyFill="1" applyBorder="1" applyAlignment="1"/>
    <xf numFmtId="0" fontId="46" fillId="14" borderId="0" xfId="0" applyFont="1" applyFill="1" applyAlignment="1"/>
    <xf numFmtId="0" fontId="62" fillId="18" borderId="0" xfId="0" applyFont="1" applyFill="1" applyAlignment="1"/>
    <xf numFmtId="0" fontId="38" fillId="0" borderId="0" xfId="0" applyFont="1" applyAlignment="1"/>
    <xf numFmtId="0" fontId="64" fillId="0" borderId="0" xfId="0" applyFont="1" applyAlignment="1">
      <alignment wrapText="1"/>
    </xf>
    <xf numFmtId="0" fontId="0" fillId="0" borderId="0" xfId="0" applyAlignment="1"/>
    <xf numFmtId="0" fontId="16" fillId="18" borderId="0" xfId="0" applyFont="1" applyFill="1" applyAlignment="1">
      <alignment horizontal="left" vertical="center"/>
    </xf>
    <xf numFmtId="0" fontId="16" fillId="18" borderId="0" xfId="0" applyFont="1" applyFill="1" applyAlignment="1">
      <alignment horizontal="right" vertical="center"/>
    </xf>
    <xf numFmtId="0" fontId="23" fillId="15" borderId="41" xfId="0" applyFont="1" applyFill="1" applyBorder="1" applyAlignment="1">
      <alignment horizontal="left"/>
    </xf>
    <xf numFmtId="0" fontId="23" fillId="15" borderId="42" xfId="0" applyFont="1" applyFill="1" applyBorder="1" applyAlignment="1">
      <alignment horizontal="left"/>
    </xf>
    <xf numFmtId="0" fontId="23" fillId="15" borderId="43" xfId="0" applyFont="1" applyFill="1" applyBorder="1" applyAlignment="1">
      <alignment horizontal="left"/>
    </xf>
    <xf numFmtId="0" fontId="67" fillId="0" borderId="28" xfId="0" applyFont="1" applyBorder="1" applyAlignment="1">
      <alignment wrapText="1"/>
    </xf>
    <xf numFmtId="0" fontId="67" fillId="0" borderId="13" xfId="0" applyFont="1" applyBorder="1" applyAlignment="1">
      <alignment wrapText="1"/>
    </xf>
    <xf numFmtId="0" fontId="67" fillId="0" borderId="29" xfId="0" applyFont="1" applyBorder="1" applyAlignment="1">
      <alignment wrapText="1"/>
    </xf>
    <xf numFmtId="0" fontId="23" fillId="16" borderId="41" xfId="0" applyFont="1" applyFill="1" applyBorder="1" applyAlignment="1">
      <alignment horizontal="left"/>
    </xf>
    <xf numFmtId="0" fontId="23" fillId="16" borderId="42" xfId="0" applyFont="1" applyFill="1" applyBorder="1" applyAlignment="1">
      <alignment horizontal="left"/>
    </xf>
    <xf numFmtId="0" fontId="23" fillId="16" borderId="43" xfId="0" applyFont="1" applyFill="1" applyBorder="1" applyAlignment="1">
      <alignment horizontal="left"/>
    </xf>
    <xf numFmtId="0" fontId="23" fillId="17" borderId="41" xfId="0" applyFont="1" applyFill="1" applyBorder="1" applyAlignment="1">
      <alignment horizontal="left"/>
    </xf>
    <xf numFmtId="0" fontId="23" fillId="17" borderId="42" xfId="0" applyFont="1" applyFill="1" applyBorder="1" applyAlignment="1">
      <alignment horizontal="left"/>
    </xf>
    <xf numFmtId="0" fontId="23" fillId="17" borderId="43" xfId="0" applyFont="1" applyFill="1" applyBorder="1" applyAlignment="1">
      <alignment horizontal="left"/>
    </xf>
    <xf numFmtId="0" fontId="62" fillId="18" borderId="0" xfId="0" applyFont="1" applyFill="1" applyAlignment="1">
      <alignment horizontal="left" vertical="center"/>
    </xf>
    <xf numFmtId="0" fontId="77" fillId="9" borderId="0" xfId="0" applyFont="1" applyFill="1" applyAlignment="1"/>
    <xf numFmtId="0" fontId="27" fillId="9" borderId="0" xfId="0" applyFont="1" applyFill="1" applyAlignment="1"/>
    <xf numFmtId="0" fontId="18" fillId="0" borderId="0" xfId="0" applyFont="1" applyAlignment="1">
      <alignment wrapText="1"/>
    </xf>
    <xf numFmtId="0" fontId="8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21" fillId="10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0" fontId="109" fillId="10" borderId="0" xfId="0" applyFont="1" applyFill="1" applyAlignment="1"/>
    <xf numFmtId="0" fontId="26" fillId="0" borderId="0" xfId="0" applyFont="1" applyAlignment="1"/>
    <xf numFmtId="0" fontId="121" fillId="10" borderId="0" xfId="0" applyFont="1" applyFill="1" applyAlignment="1">
      <alignment horizontal="center"/>
    </xf>
    <xf numFmtId="0" fontId="16" fillId="18" borderId="13" xfId="0" applyFont="1" applyFill="1" applyBorder="1" applyAlignment="1"/>
    <xf numFmtId="0" fontId="27" fillId="9" borderId="13" xfId="0" applyFont="1" applyFill="1" applyBorder="1" applyAlignment="1"/>
    <xf numFmtId="0" fontId="46" fillId="9" borderId="0" xfId="0" applyFont="1" applyFill="1" applyAlignment="1"/>
    <xf numFmtId="0" fontId="79" fillId="0" borderId="0" xfId="0" applyFont="1" applyAlignment="1"/>
    <xf numFmtId="173" fontId="136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13"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</dxfs>
  <tableStyles count="0" defaultTableStyle="TableStyleMedium9" defaultPivotStyle="PivotStyleLight16"/>
  <colors>
    <mruColors>
      <color rgb="FFD9E1F2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Waterfall — Base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Memo!$F$21</c:f>
              <c:strCache>
                <c:ptCount val="1"/>
                <c:pt idx="0">
                  <c:v>Invisible base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Memo!$F$22:$F$29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1769.3286168218406</c:v>
                </c:pt>
                <c:pt idx="2">
                  <c:v>0</c:v>
                </c:pt>
                <c:pt idx="3">
                  <c:v>6591.9351921378784</c:v>
                </c:pt>
                <c:pt idx="4">
                  <c:v>6591.9351921378784</c:v>
                </c:pt>
                <c:pt idx="5">
                  <c:v>0</c:v>
                </c:pt>
                <c:pt idx="6">
                  <c:v>7320.5528255488371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4-3F44-BEC8-4375A15E1B4B}"/>
            </c:ext>
          </c:extLst>
        </c:ser>
        <c:ser>
          <c:idx val="1"/>
          <c:order val="1"/>
          <c:tx>
            <c:strRef>
              <c:f>Memo!$G$21</c:f>
              <c:strCache>
                <c:ptCount val="1"/>
                <c:pt idx="0">
                  <c:v>Build/Add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Memo!$G$22:$G$29</c:f>
              <c:numCache>
                <c:formatCode>"$"#,##0;\("$"#,##0\);\-</c:formatCode>
                <c:ptCount val="8"/>
                <c:pt idx="0">
                  <c:v>1769.3286168218406</c:v>
                </c:pt>
                <c:pt idx="1">
                  <c:v>4832.6065753160383</c:v>
                </c:pt>
                <c:pt idx="2">
                  <c:v>0</c:v>
                </c:pt>
                <c:pt idx="3">
                  <c:v>0</c:v>
                </c:pt>
                <c:pt idx="4">
                  <c:v>728.617633410959</c:v>
                </c:pt>
                <c:pt idx="5">
                  <c:v>0</c:v>
                </c:pt>
                <c:pt idx="6">
                  <c:v>940.08677436003336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4-3F44-BEC8-4375A15E1B4B}"/>
            </c:ext>
          </c:extLst>
        </c:ser>
        <c:ser>
          <c:idx val="2"/>
          <c:order val="2"/>
          <c:tx>
            <c:strRef>
              <c:f>Memo!$H$21</c:f>
              <c:strCache>
                <c:ptCount val="1"/>
                <c:pt idx="0">
                  <c:v>Subtract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Memo!$H$22:$H$29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4-3F44-BEC8-4375A15E1B4B}"/>
            </c:ext>
          </c:extLst>
        </c:ser>
        <c:ser>
          <c:idx val="3"/>
          <c:order val="3"/>
          <c:tx>
            <c:strRef>
              <c:f>Memo!$I$21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Memo!$I$22:$I$29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6601.9351921378784</c:v>
                </c:pt>
                <c:pt idx="3">
                  <c:v>0</c:v>
                </c:pt>
                <c:pt idx="4">
                  <c:v>0</c:v>
                </c:pt>
                <c:pt idx="5">
                  <c:v>7320.5528255488371</c:v>
                </c:pt>
                <c:pt idx="6">
                  <c:v>0</c:v>
                </c:pt>
                <c:pt idx="7">
                  <c:v>8260.6395999088709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04-3F44-BEC8-4375A15E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4556352"/>
        <c:axId val="2071735680"/>
      </c:barChart>
      <c:catAx>
        <c:axId val="19445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35680"/>
        <c:crosses val="autoZero"/>
        <c:auto val="1"/>
        <c:lblAlgn val="ctr"/>
        <c:lblOffset val="100"/>
        <c:noMultiLvlLbl val="0"/>
      </c:catAx>
      <c:valAx>
        <c:axId val="20717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Tornado — Base Scenario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Bear Δ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Memo!$Q$35:$Q$47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3-484B-97BC-E605E7F67101}"/>
            </c:ext>
          </c:extLst>
        </c:ser>
        <c:ser>
          <c:idx val="1"/>
          <c:order val="1"/>
          <c:tx>
            <c:v>Bull Δ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Memo!$R$35:$R$47</c:f>
              <c:numCache>
                <c:formatCode>"$"#,##0;\("$"#,##0\);\-</c:formatCode>
                <c:ptCount val="13"/>
                <c:pt idx="0">
                  <c:v>-17</c:v>
                </c:pt>
                <c:pt idx="1">
                  <c:v>-20</c:v>
                </c:pt>
                <c:pt idx="2">
                  <c:v>-72</c:v>
                </c:pt>
                <c:pt idx="3">
                  <c:v>-75</c:v>
                </c:pt>
                <c:pt idx="4">
                  <c:v>0</c:v>
                </c:pt>
                <c:pt idx="5">
                  <c:v>-218</c:v>
                </c:pt>
                <c:pt idx="6">
                  <c:v>-239</c:v>
                </c:pt>
                <c:pt idx="7">
                  <c:v>-243</c:v>
                </c:pt>
                <c:pt idx="8">
                  <c:v>-235</c:v>
                </c:pt>
                <c:pt idx="9">
                  <c:v>365</c:v>
                </c:pt>
                <c:pt idx="10">
                  <c:v>393</c:v>
                </c:pt>
                <c:pt idx="11">
                  <c:v>-405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3-484B-97BC-E605E7F67101}"/>
            </c:ext>
          </c:extLst>
        </c:ser>
        <c:ser>
          <c:idx val="2"/>
          <c:order val="2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val>
            <c:numRef>
              <c:f>Memo!$S$35:$S$47</c:f>
              <c:numCache>
                <c:formatCode>"$"#,##0;\("$"#,##0\);\-</c:formatCode>
                <c:ptCount val="13"/>
                <c:pt idx="0">
                  <c:v>17</c:v>
                </c:pt>
                <c:pt idx="1">
                  <c:v>20</c:v>
                </c:pt>
                <c:pt idx="2">
                  <c:v>72</c:v>
                </c:pt>
                <c:pt idx="3">
                  <c:v>75</c:v>
                </c:pt>
                <c:pt idx="4">
                  <c:v>386</c:v>
                </c:pt>
                <c:pt idx="5">
                  <c:v>218</c:v>
                </c:pt>
                <c:pt idx="6">
                  <c:v>239</c:v>
                </c:pt>
                <c:pt idx="7">
                  <c:v>243</c:v>
                </c:pt>
                <c:pt idx="8">
                  <c:v>353</c:v>
                </c:pt>
                <c:pt idx="9">
                  <c:v>-365</c:v>
                </c:pt>
                <c:pt idx="10">
                  <c:v>-356</c:v>
                </c:pt>
                <c:pt idx="11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3-484B-97BC-E605E7F67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032896"/>
        <c:axId val="2077034688"/>
      </c:barChart>
      <c:catAx>
        <c:axId val="207703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4688"/>
        <c:crosses val="autoZero"/>
        <c:auto val="1"/>
        <c:lblAlgn val="ctr"/>
        <c:lblOffset val="100"/>
        <c:noMultiLvlLbl val="0"/>
      </c:catAx>
      <c:valAx>
        <c:axId val="207703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Tornado — ProbWeighted Scenario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Bear Δ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Memo!$U$36:$U$47</c:f>
              <c:numCache>
                <c:formatCode>General</c:formatCode>
                <c:ptCount val="12"/>
              </c:numCache>
            </c:numRef>
          </c:cat>
          <c:val>
            <c:numRef>
              <c:f>Memo!$V$36:$V$47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F-044D-9958-BA1406686772}"/>
            </c:ext>
          </c:extLst>
        </c:ser>
        <c:ser>
          <c:idx val="1"/>
          <c:order val="1"/>
          <c:tx>
            <c:v>Bull Δ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Memo!$U$36:$U$47</c:f>
              <c:numCache>
                <c:formatCode>General</c:formatCode>
                <c:ptCount val="12"/>
              </c:numCache>
            </c:numRef>
          </c:cat>
          <c:val>
            <c:numRef>
              <c:f>Memo!$W$36:$W$47</c:f>
              <c:numCache>
                <c:formatCode>"$"#,##0;\("$"#,##0\);\-</c:formatCode>
                <c:ptCount val="12"/>
                <c:pt idx="0">
                  <c:v>-23</c:v>
                </c:pt>
                <c:pt idx="1">
                  <c:v>-82</c:v>
                </c:pt>
                <c:pt idx="2">
                  <c:v>-98</c:v>
                </c:pt>
                <c:pt idx="3">
                  <c:v>-113</c:v>
                </c:pt>
                <c:pt idx="4">
                  <c:v>-251</c:v>
                </c:pt>
                <c:pt idx="5">
                  <c:v>-278</c:v>
                </c:pt>
                <c:pt idx="6">
                  <c:v>-283</c:v>
                </c:pt>
                <c:pt idx="7">
                  <c:v>-311</c:v>
                </c:pt>
                <c:pt idx="8">
                  <c:v>423</c:v>
                </c:pt>
                <c:pt idx="9">
                  <c:v>392</c:v>
                </c:pt>
                <c:pt idx="10">
                  <c:v>-596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F-044D-9958-BA140668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079104"/>
        <c:axId val="2077080896"/>
      </c:barChart>
      <c:catAx>
        <c:axId val="207707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80896"/>
        <c:crosses val="autoZero"/>
        <c:auto val="1"/>
        <c:lblAlgn val="ctr"/>
        <c:lblOffset val="100"/>
        <c:noMultiLvlLbl val="0"/>
      </c:catAx>
      <c:valAx>
        <c:axId val="207708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— Multi-Method Valuation ($B Equity)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Memo!$H$54</c:f>
              <c:strCache>
                <c:ptCount val="1"/>
                <c:pt idx="0">
                  <c:v>Low ($B)</c:v>
                </c:pt>
              </c:strCache>
            </c:strRef>
          </c:tx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Memo!$G$55:$G$61</c:f>
              <c:strCache>
                <c:ptCount val="7"/>
                <c:pt idx="0">
                  <c:v>1. Intrinsic DCF (Bear/Base/Bull)</c:v>
                </c:pt>
                <c:pt idx="1">
                  <c:v>1b. DCF + Real Options (excluded from valuation)</c:v>
                </c:pt>
                <c:pt idx="2">
                  <c:v>1c. ProbWeighted DCF (input-level)</c:v>
                </c:pt>
                <c:pt idx="3">
                  <c:v>1d. Scenario-Weighted DCF (P·DCF)</c:v>
                </c:pt>
                <c:pt idx="4">
                  <c:v>2. Public Comps (Three-Thesis)</c:v>
                </c:pt>
                <c:pt idx="5">
                  <c:v>4. Last-Round Implied (Series G)</c:v>
                </c:pt>
                <c:pt idx="6">
                  <c:v>5. Implied IPO Trading Range</c:v>
                </c:pt>
              </c:strCache>
            </c:strRef>
          </c:cat>
          <c:val>
            <c:numRef>
              <c:f>Memo!$H$55:$H$61</c:f>
              <c:numCache>
                <c:formatCode>0.00</c:formatCode>
                <c:ptCount val="7"/>
                <c:pt idx="0">
                  <c:v>2.49675</c:v>
                </c:pt>
                <c:pt idx="1">
                  <c:v>0</c:v>
                </c:pt>
                <c:pt idx="2">
                  <c:v>6.8206499999999997</c:v>
                </c:pt>
                <c:pt idx="3">
                  <c:v>8.2327880000000011</c:v>
                </c:pt>
                <c:pt idx="4">
                  <c:v>1.177</c:v>
                </c:pt>
                <c:pt idx="5">
                  <c:v>10.1</c:v>
                </c:pt>
                <c:pt idx="6">
                  <c:v>13.242222222222221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5-934D-804C-658E869C0E49}"/>
            </c:ext>
          </c:extLst>
        </c:ser>
        <c:ser>
          <c:idx val="1"/>
          <c:order val="1"/>
          <c:tx>
            <c:strRef>
              <c:f>Memo!$I$54</c:f>
              <c:strCache>
                <c:ptCount val="1"/>
                <c:pt idx="0">
                  <c:v>Range ($B)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cat>
            <c:strRef>
              <c:f>Memo!$G$55:$G$61</c:f>
              <c:strCache>
                <c:ptCount val="7"/>
                <c:pt idx="0">
                  <c:v>1. Intrinsic DCF (Bear/Base/Bull)</c:v>
                </c:pt>
                <c:pt idx="1">
                  <c:v>1b. DCF + Real Options (excluded from valuation)</c:v>
                </c:pt>
                <c:pt idx="2">
                  <c:v>1c. ProbWeighted DCF (input-level)</c:v>
                </c:pt>
                <c:pt idx="3">
                  <c:v>1d. Scenario-Weighted DCF (P·DCF)</c:v>
                </c:pt>
                <c:pt idx="4">
                  <c:v>2. Public Comps (Three-Thesis)</c:v>
                </c:pt>
                <c:pt idx="5">
                  <c:v>4. Last-Round Implied (Series G)</c:v>
                </c:pt>
                <c:pt idx="6">
                  <c:v>5. Implied IPO Trading Range</c:v>
                </c:pt>
              </c:strCache>
            </c:strRef>
          </c:cat>
          <c:val>
            <c:numRef>
              <c:f>Memo!$I$55:$I$61</c:f>
              <c:numCache>
                <c:formatCode>0.00</c:formatCode>
                <c:ptCount val="7"/>
                <c:pt idx="0">
                  <c:v>22.160920000000001</c:v>
                </c:pt>
                <c:pt idx="1">
                  <c:v>0</c:v>
                </c:pt>
                <c:pt idx="2">
                  <c:v>1.8432900000000005</c:v>
                </c:pt>
                <c:pt idx="3">
                  <c:v>5.299039999999998</c:v>
                </c:pt>
                <c:pt idx="4">
                  <c:v>6.3717500000000005</c:v>
                </c:pt>
                <c:pt idx="5">
                  <c:v>1E-3</c:v>
                </c:pt>
                <c:pt idx="6">
                  <c:v>6.4710307898259707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5-934D-804C-658E869C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65056"/>
        <c:axId val="2084366848"/>
      </c:barChart>
      <c:catAx>
        <c:axId val="208436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66848"/>
        <c:crosses val="autoZero"/>
        <c:auto val="1"/>
        <c:lblAlgn val="ctr"/>
        <c:lblOffset val="100"/>
        <c:noMultiLvlLbl val="0"/>
      </c:catAx>
      <c:valAx>
        <c:axId val="2084366848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Equity Value ($B)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Four-Lens Convergence — 2033 Ending Members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Up to median</c:v>
          </c:tx>
          <c:spPr>
            <a:solidFill>
              <a:srgbClr val="8FA9C7"/>
            </a:solidFill>
            <a:ln>
              <a:noFill/>
            </a:ln>
            <a:effectLst/>
          </c:spPr>
          <c:invertIfNegative val="0"/>
          <c:cat>
            <c:strRef>
              <c:f>'Member Thesis'!$A$131:$A$134</c:f>
              <c:strCache>
                <c:ptCount val="4"/>
                <c:pt idx="0">
                  <c:v>Lens A — TAM × Terminal Share</c:v>
                </c:pt>
                <c:pt idx="1">
                  <c:v>Lens B — Peloton Stage-Shifted Comp</c:v>
                </c:pt>
                <c:pt idx="2">
                  <c:v>Lens C — Apple/Oura/Garmin Triangulation</c:v>
                </c:pt>
                <c:pt idx="3">
                  <c:v>Lens D — SAM/SOM Bottoms-Up</c:v>
                </c:pt>
              </c:strCache>
            </c:strRef>
          </c:cat>
          <c:val>
            <c:numRef>
              <c:f>'Member Thesis'!$B$131:$B$134</c:f>
              <c:numCache>
                <c:formatCode>0.00</c:formatCode>
                <c:ptCount val="4"/>
                <c:pt idx="0">
                  <c:v>10.917159999999999</c:v>
                </c:pt>
                <c:pt idx="1">
                  <c:v>10.917159999999999</c:v>
                </c:pt>
                <c:pt idx="2">
                  <c:v>10.625</c:v>
                </c:pt>
                <c:pt idx="3">
                  <c:v>8.3789999999999996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B-490B-824F-CF437E46FC14}"/>
            </c:ext>
          </c:extLst>
        </c:ser>
        <c:ser>
          <c:idx val="1"/>
          <c:order val="1"/>
          <c:tx>
            <c:v>Above median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'Member Thesis'!$A$131:$A$134</c:f>
              <c:strCache>
                <c:ptCount val="4"/>
                <c:pt idx="0">
                  <c:v>Lens A — TAM × Terminal Share</c:v>
                </c:pt>
                <c:pt idx="1">
                  <c:v>Lens B — Peloton Stage-Shifted Comp</c:v>
                </c:pt>
                <c:pt idx="2">
                  <c:v>Lens C — Apple/Oura/Garmin Triangulation</c:v>
                </c:pt>
                <c:pt idx="3">
                  <c:v>Lens D — SAM/SOM Bottoms-Up</c:v>
                </c:pt>
              </c:strCache>
            </c:strRef>
          </c:cat>
          <c:val>
            <c:numRef>
              <c:f>'Member Thesis'!$C$131:$C$134</c:f>
              <c:numCache>
                <c:formatCode>0.00</c:formatCode>
                <c:ptCount val="4"/>
                <c:pt idx="0">
                  <c:v>1.0367005589813179</c:v>
                </c:pt>
                <c:pt idx="1">
                  <c:v>0.29215999999999909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B-490B-824F-CF437E46FC14}"/>
            </c:ext>
          </c:extLst>
        </c:ser>
        <c:ser>
          <c:idx val="2"/>
          <c:order val="2"/>
          <c:tx>
            <c:v>Below median (deficit)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'Member Thesis'!$A$131:$A$134</c:f>
              <c:strCache>
                <c:ptCount val="4"/>
                <c:pt idx="0">
                  <c:v>Lens A — TAM × Terminal Share</c:v>
                </c:pt>
                <c:pt idx="1">
                  <c:v>Lens B — Peloton Stage-Shifted Comp</c:v>
                </c:pt>
                <c:pt idx="2">
                  <c:v>Lens C — Apple/Oura/Garmin Triangulation</c:v>
                </c:pt>
                <c:pt idx="3">
                  <c:v>Lens D — SAM/SOM Bottoms-Up</c:v>
                </c:pt>
              </c:strCache>
            </c:strRef>
          </c:cat>
          <c:val>
            <c:numRef>
              <c:f>'Member Thesis'!$D$131:$D$134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0.29215999999999909</c:v>
                </c:pt>
                <c:pt idx="3">
                  <c:v>2.5381599999999995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0B-490B-824F-CF437E46FC14}"/>
            </c:ext>
          </c:extLst>
        </c:ser>
        <c:ser>
          <c:idx val="3"/>
          <c:order val="3"/>
          <c:tx>
            <c:strRef>
              <c:f>'Member Thesis'!$E$130</c:f>
              <c:strCache>
                <c:ptCount val="1"/>
                <c:pt idx="0">
                  <c:v>Total (lens output, 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'Member Thesis'!$A$131:$A$134</c:f>
              <c:strCache>
                <c:ptCount val="4"/>
                <c:pt idx="0">
                  <c:v>Lens A — TAM × Terminal Share</c:v>
                </c:pt>
                <c:pt idx="1">
                  <c:v>Lens B — Peloton Stage-Shifted Comp</c:v>
                </c:pt>
                <c:pt idx="2">
                  <c:v>Lens C — Apple/Oura/Garmin Triangulation</c:v>
                </c:pt>
                <c:pt idx="3">
                  <c:v>Lens D — SAM/SOM Bottoms-Up</c:v>
                </c:pt>
              </c:strCache>
            </c:strRef>
          </c:cat>
          <c:val>
            <c:numRef>
              <c:f>'Member Thesis'!$E$131:$E$134</c:f>
              <c:numCache>
                <c:formatCode>0.00"M"</c:formatCode>
                <c:ptCount val="4"/>
                <c:pt idx="0">
                  <c:v>11.953860558981317</c:v>
                </c:pt>
                <c:pt idx="1">
                  <c:v>11.209319999999998</c:v>
                </c:pt>
                <c:pt idx="2">
                  <c:v>10.625</c:v>
                </c:pt>
                <c:pt idx="3">
                  <c:v>8.3789999999999996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0B-490B-824F-CF437E46F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4179848"/>
        <c:axId val="1934305288"/>
      </c:barChart>
      <c:catAx>
        <c:axId val="193417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05288"/>
        <c:crosses val="autoZero"/>
        <c:auto val="1"/>
        <c:lblAlgn val="ctr"/>
        <c:lblOffset val="100"/>
        <c:noMultiLvlLbl val="0"/>
      </c:catAx>
      <c:valAx>
        <c:axId val="1934305288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2033 Ending Members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7984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WHOOP Member Trajectory by Scenario (2025–2033)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Members!$A$85</c:f>
              <c:strCache>
                <c:ptCount val="1"/>
                <c:pt idx="0">
                  <c:v>Bear</c:v>
                </c:pt>
              </c:strCache>
            </c:strRef>
          </c:tx>
          <c:spPr>
            <a:ln w="317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Members!$B$84:$J$84</c:f>
              <c:numCache>
                <c:formatCode>General</c:formatCode>
                <c:ptCount val="9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</c:numCache>
            </c:numRef>
          </c:cat>
          <c:val>
            <c:numRef>
              <c:f>Members!$B$85:$J$85</c:f>
              <c:numCache>
                <c:formatCode>General</c:formatCode>
                <c:ptCount val="9"/>
                <c:pt idx="0">
                  <c:v>2.5</c:v>
                </c:pt>
                <c:pt idx="1">
                  <c:v>3.3</c:v>
                </c:pt>
                <c:pt idx="2">
                  <c:v>4.03</c:v>
                </c:pt>
                <c:pt idx="3">
                  <c:v>4.63</c:v>
                </c:pt>
                <c:pt idx="4">
                  <c:v>5.09</c:v>
                </c:pt>
                <c:pt idx="5">
                  <c:v>5.45</c:v>
                </c:pt>
                <c:pt idx="6">
                  <c:v>5.72</c:v>
                </c:pt>
                <c:pt idx="7">
                  <c:v>5.89</c:v>
                </c:pt>
                <c:pt idx="8">
                  <c:v>6.01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1C-41E7-AFFA-35A9D71D0D45}"/>
            </c:ext>
          </c:extLst>
        </c:ser>
        <c:ser>
          <c:idx val="1"/>
          <c:order val="1"/>
          <c:tx>
            <c:strRef>
              <c:f>Members!$A$86</c:f>
              <c:strCache>
                <c:ptCount val="1"/>
                <c:pt idx="0">
                  <c:v>Base</c:v>
                </c:pt>
              </c:strCache>
            </c:strRef>
          </c:tx>
          <c:spPr>
            <a:ln w="44450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Members!$B$84:$J$84</c:f>
              <c:numCache>
                <c:formatCode>General</c:formatCode>
                <c:ptCount val="9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</c:numCache>
            </c:numRef>
          </c:cat>
          <c:val>
            <c:numRef>
              <c:f>Members!$B$86:$J$86</c:f>
              <c:numCache>
                <c:formatCode>0.00</c:formatCode>
                <c:ptCount val="9"/>
                <c:pt idx="0">
                  <c:v>2.5</c:v>
                </c:pt>
                <c:pt idx="1">
                  <c:v>3.7224999999999997</c:v>
                </c:pt>
                <c:pt idx="2">
                  <c:v>5.1072699999999989</c:v>
                </c:pt>
                <c:pt idx="3">
                  <c:v>6.4045165799999983</c:v>
                </c:pt>
                <c:pt idx="4">
                  <c:v>7.5957566638799978</c:v>
                </c:pt>
                <c:pt idx="5">
                  <c:v>8.6363753268315584</c:v>
                </c:pt>
                <c:pt idx="6">
                  <c:v>9.5691038621293671</c:v>
                </c:pt>
                <c:pt idx="7">
                  <c:v>10.315493963375458</c:v>
                </c:pt>
                <c:pt idx="8">
                  <c:v>10.924108107214609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E1C-41E7-AFFA-35A9D71D0D45}"/>
            </c:ext>
          </c:extLst>
        </c:ser>
        <c:ser>
          <c:idx val="2"/>
          <c:order val="2"/>
          <c:tx>
            <c:strRef>
              <c:f>Members!$A$87</c:f>
              <c:strCache>
                <c:ptCount val="1"/>
                <c:pt idx="0">
                  <c:v>Bull</c:v>
                </c:pt>
              </c:strCache>
            </c:strRef>
          </c:tx>
          <c:spPr>
            <a:ln w="31750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Members!$B$84:$J$84</c:f>
              <c:numCache>
                <c:formatCode>General</c:formatCode>
                <c:ptCount val="9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</c:numCache>
            </c:numRef>
          </c:cat>
          <c:val>
            <c:numRef>
              <c:f>Members!$B$87:$J$87</c:f>
              <c:numCache>
                <c:formatCode>General</c:formatCode>
                <c:ptCount val="9"/>
                <c:pt idx="0">
                  <c:v>2.5</c:v>
                </c:pt>
                <c:pt idx="1">
                  <c:v>4</c:v>
                </c:pt>
                <c:pt idx="2">
                  <c:v>6</c:v>
                </c:pt>
                <c:pt idx="3">
                  <c:v>8.4</c:v>
                </c:pt>
                <c:pt idx="4">
                  <c:v>10.75</c:v>
                </c:pt>
                <c:pt idx="5">
                  <c:v>12.69</c:v>
                </c:pt>
                <c:pt idx="6">
                  <c:v>14.34</c:v>
                </c:pt>
                <c:pt idx="7">
                  <c:v>15.63</c:v>
                </c:pt>
                <c:pt idx="8">
                  <c:v>16.559999999999999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E1C-41E7-AFFA-35A9D71D0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163847"/>
        <c:axId val="1512169991"/>
      </c:lineChart>
      <c:catAx>
        <c:axId val="1512163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69991"/>
        <c:crosses val="autoZero"/>
        <c:auto val="1"/>
        <c:lblAlgn val="ctr"/>
        <c:lblOffset val="100"/>
        <c:noMultiLvlLbl val="0"/>
      </c:catAx>
      <c:valAx>
        <c:axId val="1512169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Ending Members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6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Three-Thesis Comp Bracketing vs. Series G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Comps!$B$167</c:f>
              <c:strCache>
                <c:ptCount val="1"/>
                <c:pt idx="0">
                  <c:v>Midpoint EV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25-43E5-969D-7C6A85C0979C}"/>
              </c:ext>
            </c:extLst>
          </c:dPt>
          <c:dPt>
            <c:idx val="1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825-43E5-969D-7C6A85C0979C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5-43E5-969D-7C6A85C0979C}"/>
              </c:ext>
            </c:extLst>
          </c:dPt>
          <c:dPt>
            <c:idx val="3"/>
            <c:invertIfNegative val="0"/>
            <c:bubble3D val="0"/>
            <c:spPr>
              <a:solidFill>
                <a:srgbClr val="7F7F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825-43E5-969D-7C6A85C0979C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Comps!$A$168:$A$171</c:f>
              <c:strCache>
                <c:ptCount val="4"/>
                <c:pt idx="0">
                  <c:v>T1: Failed Pivot</c:v>
                </c:pt>
                <c:pt idx="1">
                  <c:v>T2: Subscription Executed</c:v>
                </c:pt>
                <c:pt idx="2">
                  <c:v>T3: Healthcare Platform</c:v>
                </c:pt>
                <c:pt idx="3">
                  <c:v>Series G (March 2026)</c:v>
                </c:pt>
              </c:strCache>
            </c:strRef>
          </c:cat>
          <c:val>
            <c:numRef>
              <c:f>Comps!$B$168:$B$171</c:f>
              <c:numCache>
                <c:formatCode>"$"#,##0" M"</c:formatCode>
                <c:ptCount val="4"/>
                <c:pt idx="0">
                  <c:v>1268.521</c:v>
                </c:pt>
                <c:pt idx="1">
                  <c:v>4643.777</c:v>
                </c:pt>
                <c:pt idx="2">
                  <c:v>4585.8819999999996</c:v>
                </c:pt>
                <c:pt idx="3" formatCode="&quot;$&quot;#,##0">
                  <c:v>10100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5-43E5-969D-7C6A85C09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907911"/>
        <c:axId val="612538375"/>
      </c:barChart>
      <c:catAx>
        <c:axId val="518907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38375"/>
        <c:crosses val="autoZero"/>
        <c:auto val="1"/>
        <c:lblAlgn val="ctr"/>
        <c:lblOffset val="100"/>
        <c:noMultiLvlLbl val="0"/>
      </c:catAx>
      <c:valAx>
        <c:axId val="612538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&quot; 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07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1</xdr:row>
      <xdr:rowOff>101600</xdr:rowOff>
    </xdr:from>
    <xdr:to>
      <xdr:col>14</xdr:col>
      <xdr:colOff>25400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1F16B-B773-3090-B22F-0553682CB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1028700</xdr:colOff>
      <xdr:row>48</xdr:row>
      <xdr:rowOff>152400</xdr:rowOff>
    </xdr:from>
    <xdr:to>
      <xdr:col>14</xdr:col>
      <xdr:colOff>1028700</xdr:colOff>
      <xdr:row>73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DBDF7B-36D8-ECA0-BAAD-4E69C1169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444500</xdr:colOff>
      <xdr:row>78</xdr:row>
      <xdr:rowOff>63500</xdr:rowOff>
    </xdr:from>
    <xdr:to>
      <xdr:col>26</xdr:col>
      <xdr:colOff>254000</xdr:colOff>
      <xdr:row>103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62628-154E-D5E6-D0E3-A96F2A21A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635000</xdr:colOff>
      <xdr:row>89</xdr:row>
      <xdr:rowOff>38100</xdr:rowOff>
    </xdr:from>
    <xdr:to>
      <xdr:col>10</xdr:col>
      <xdr:colOff>571500</xdr:colOff>
      <xdr:row>114</xdr:row>
      <xdr:rowOff>101600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7223F38A-9289-EB6F-7D73-6B6F3A923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676909</xdr:colOff>
      <xdr:row>90</xdr:row>
      <xdr:rowOff>177800</xdr:rowOff>
    </xdr:from>
    <xdr:to>
      <xdr:col>4</xdr:col>
      <xdr:colOff>676909</xdr:colOff>
      <xdr:row>111</xdr:row>
      <xdr:rowOff>114300</xdr:rowOff>
    </xdr:to>
    <xdr:cxnSp macro="">
      <xdr:nvCxnSpPr>
        <xdr:cNvPr id="15" name="SeriesG_Line">
          <a:extLst>
            <a:ext uri="{FF2B5EF4-FFF2-40B4-BE49-F238E27FC236}">
              <a16:creationId xmlns:a16="http://schemas.microsoft.com/office/drawing/2014/main" id="{8AD54C50-40EB-C64C-B101-0289E92B5298}"/>
            </a:ext>
          </a:extLst>
        </xdr:cNvPr>
        <xdr:cNvCxnSpPr/>
      </xdr:nvCxnSpPr>
      <xdr:spPr>
        <a:xfrm>
          <a:off x="7661909" y="17970500"/>
          <a:ext cx="0" cy="3937000"/>
        </a:xfrm>
        <a:prstGeom prst="straightConnector1">
          <a:avLst/>
        </a:prstGeom>
        <a:noFill/>
        <a:ln w="25400" cap="flat" cmpd="sng" algn="ctr">
          <a:solidFill>
            <a:srgbClr val="C00000"/>
          </a:solidFill>
          <a:prstDash val="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740409</xdr:colOff>
      <xdr:row>90</xdr:row>
      <xdr:rowOff>177800</xdr:rowOff>
    </xdr:from>
    <xdr:to>
      <xdr:col>5</xdr:col>
      <xdr:colOff>486409</xdr:colOff>
      <xdr:row>93</xdr:row>
      <xdr:rowOff>12700</xdr:rowOff>
    </xdr:to>
    <xdr:sp macro="" textlink="">
      <xdr:nvSpPr>
        <xdr:cNvPr id="16" name="SeriesG_Line_Label">
          <a:extLst>
            <a:ext uri="{FF2B5EF4-FFF2-40B4-BE49-F238E27FC236}">
              <a16:creationId xmlns:a16="http://schemas.microsoft.com/office/drawing/2014/main" id="{F5B0C495-3C03-8FEB-9FFE-2EDF6BA215E1}"/>
            </a:ext>
          </a:extLst>
        </xdr:cNvPr>
        <xdr:cNvSpPr txBox="1"/>
      </xdr:nvSpPr>
      <xdr:spPr>
        <a:xfrm>
          <a:off x="7725409" y="17970500"/>
          <a:ext cx="1143000" cy="406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/>
            </a:rPr>
            <a:t>Series G
$10.10B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136</xdr:row>
      <xdr:rowOff>0</xdr:rowOff>
    </xdr:from>
    <xdr:to>
      <xdr:col>12</xdr:col>
      <xdr:colOff>0</xdr:colOff>
      <xdr:row>160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6193F-2124-FFE7-C23F-2A1B17DAD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12</xdr:col>
      <xdr:colOff>0</xdr:colOff>
      <xdr:row>110</xdr:row>
      <xdr:rowOff>0</xdr:rowOff>
    </xdr:to>
    <xdr:graphicFrame macro="">
      <xdr:nvGraphicFramePr>
        <xdr:cNvPr id="3" name="MemberTrajectoryChart">
          <a:extLst>
            <a:ext uri="{FF2B5EF4-FFF2-40B4-BE49-F238E27FC236}">
              <a16:creationId xmlns:a16="http://schemas.microsoft.com/office/drawing/2014/main" id="{37B8BB5B-5484-7D49-8FCB-C3D8DF155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166</xdr:row>
      <xdr:rowOff>0</xdr:rowOff>
    </xdr:from>
    <xdr:to>
      <xdr:col>12</xdr:col>
      <xdr:colOff>0</xdr:colOff>
      <xdr:row>186</xdr:row>
      <xdr:rowOff>0</xdr:rowOff>
    </xdr:to>
    <xdr:graphicFrame macro="">
      <xdr:nvGraphicFramePr>
        <xdr:cNvPr id="2" name="CompsThesisChart">
          <a:extLst>
            <a:ext uri="{FF2B5EF4-FFF2-40B4-BE49-F238E27FC236}">
              <a16:creationId xmlns:a16="http://schemas.microsoft.com/office/drawing/2014/main" id="{FDBE207B-ED15-776F-9E2D-15D42C14C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96C390-4071-453A-B3CC-3B20755CBE4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204bd97-4b9e-4599-9b4a-fbaaeb452fb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17D7-C48B-0642-AAAD-D7E691171F15}">
  <dimension ref="A1:F10"/>
  <sheetViews>
    <sheetView workbookViewId="0"/>
  </sheetViews>
  <sheetFormatPr defaultColWidth="11.42578125" defaultRowHeight="15"/>
  <cols>
    <col min="1" max="1" width="8.28515625" customWidth="1"/>
    <col min="2" max="2" width="13.28515625" customWidth="1"/>
    <col min="3" max="6" width="46.7109375" customWidth="1"/>
  </cols>
  <sheetData>
    <row r="1" spans="1:6">
      <c r="A1" s="1191" t="s">
        <v>0</v>
      </c>
      <c r="B1" s="1191" t="s">
        <v>1</v>
      </c>
      <c r="C1" s="1191" t="s">
        <v>2</v>
      </c>
      <c r="D1" s="1191" t="s">
        <v>3</v>
      </c>
      <c r="E1" s="1191" t="s">
        <v>4</v>
      </c>
      <c r="F1" s="1191" t="s">
        <v>5</v>
      </c>
    </row>
    <row r="2" spans="1:6">
      <c r="A2" s="1210">
        <v>1</v>
      </c>
      <c r="B2" s="891">
        <v>46149</v>
      </c>
      <c r="C2" s="1210" t="s">
        <v>6</v>
      </c>
      <c r="D2" s="1210" t="s">
        <v>7</v>
      </c>
      <c r="E2" s="1210" t="s">
        <v>8</v>
      </c>
      <c r="F2" s="1210" t="s">
        <v>9</v>
      </c>
    </row>
    <row r="3" spans="1:6">
      <c r="A3" s="1210">
        <v>2</v>
      </c>
      <c r="B3" s="890">
        <v>46149</v>
      </c>
      <c r="C3" s="1210" t="s">
        <v>10</v>
      </c>
      <c r="D3" s="1210" t="s">
        <v>11</v>
      </c>
      <c r="E3" s="1210" t="s">
        <v>12</v>
      </c>
      <c r="F3" s="1210" t="s">
        <v>13</v>
      </c>
    </row>
    <row r="4" spans="1:6">
      <c r="A4" s="1210">
        <v>3</v>
      </c>
      <c r="B4" s="891">
        <v>46149</v>
      </c>
      <c r="C4" s="1210" t="s">
        <v>14</v>
      </c>
      <c r="D4" s="1210" t="s">
        <v>15</v>
      </c>
      <c r="E4" s="1210" t="s">
        <v>16</v>
      </c>
      <c r="F4" s="1210" t="s">
        <v>17</v>
      </c>
    </row>
    <row r="5" spans="1:6">
      <c r="A5" s="1210">
        <v>4</v>
      </c>
      <c r="B5" s="891">
        <v>46149</v>
      </c>
      <c r="C5" s="1210" t="s">
        <v>18</v>
      </c>
      <c r="D5" s="1210" t="s">
        <v>19</v>
      </c>
      <c r="E5" s="1210" t="s">
        <v>20</v>
      </c>
      <c r="F5" s="1210" t="s">
        <v>21</v>
      </c>
    </row>
    <row r="8" spans="1:6">
      <c r="A8" s="1210">
        <v>7</v>
      </c>
      <c r="B8" s="890">
        <v>46149</v>
      </c>
      <c r="C8" s="1210" t="s">
        <v>22</v>
      </c>
      <c r="D8" s="1210" t="s">
        <v>23</v>
      </c>
      <c r="E8" s="1210" t="s">
        <v>24</v>
      </c>
      <c r="F8" s="1210" t="s">
        <v>25</v>
      </c>
    </row>
    <row r="9" spans="1:6">
      <c r="A9" s="1210">
        <v>8</v>
      </c>
      <c r="B9" s="891">
        <v>46149</v>
      </c>
      <c r="C9" s="1210" t="s">
        <v>26</v>
      </c>
      <c r="D9" s="1210" t="s">
        <v>27</v>
      </c>
      <c r="E9" s="1210" t="s">
        <v>28</v>
      </c>
      <c r="F9" s="1210" t="s">
        <v>29</v>
      </c>
    </row>
    <row r="10" spans="1:6">
      <c r="A10" s="1210">
        <v>9</v>
      </c>
      <c r="B10" s="891">
        <v>46149</v>
      </c>
      <c r="C10" s="1210" t="s">
        <v>30</v>
      </c>
      <c r="D10" s="1210" t="s">
        <v>31</v>
      </c>
      <c r="E10" s="1210" t="s">
        <v>32</v>
      </c>
      <c r="F10" s="12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77"/>
  <sheetViews>
    <sheetView showGridLines="0" topLeftCell="A59" zoomScale="125" workbookViewId="0">
      <selection activeCell="B61" sqref="B61:C61"/>
    </sheetView>
  </sheetViews>
  <sheetFormatPr defaultColWidth="8.85546875" defaultRowHeight="15"/>
  <cols>
    <col min="1" max="1" width="2.42578125" customWidth="1"/>
    <col min="2" max="3" width="46.7109375" customWidth="1"/>
  </cols>
  <sheetData>
    <row r="1" spans="1:3" ht="18.75">
      <c r="A1" s="1209"/>
      <c r="B1" s="1210"/>
      <c r="C1" s="1210"/>
    </row>
    <row r="3" spans="1:3" ht="27.95" customHeight="1">
      <c r="A3" s="1210"/>
      <c r="B3" s="1475" t="s">
        <v>34</v>
      </c>
      <c r="C3" s="1476"/>
    </row>
    <row r="4" spans="1:3" ht="21">
      <c r="A4" s="29"/>
      <c r="B4" s="1477" t="s">
        <v>35</v>
      </c>
      <c r="C4" s="1478"/>
    </row>
    <row r="5" spans="1:3">
      <c r="A5" s="1210"/>
      <c r="B5" s="1479" t="s">
        <v>36</v>
      </c>
      <c r="C5" s="1480"/>
    </row>
    <row r="8" spans="1:3">
      <c r="A8" s="1210"/>
      <c r="B8" s="198" t="s">
        <v>37</v>
      </c>
      <c r="C8" s="195" t="s">
        <v>34</v>
      </c>
    </row>
    <row r="9" spans="1:3">
      <c r="A9" s="1210"/>
      <c r="B9" s="199" t="s">
        <v>38</v>
      </c>
      <c r="C9" s="196" t="s">
        <v>39</v>
      </c>
    </row>
    <row r="10" spans="1:3">
      <c r="A10" s="1210"/>
      <c r="B10" s="199" t="s">
        <v>40</v>
      </c>
      <c r="C10" s="196" t="s">
        <v>41</v>
      </c>
    </row>
    <row r="11" spans="1:3">
      <c r="A11" s="1210"/>
      <c r="B11" s="199" t="s">
        <v>42</v>
      </c>
      <c r="C11" s="196" t="s">
        <v>43</v>
      </c>
    </row>
    <row r="12" spans="1:3">
      <c r="A12" s="1210"/>
      <c r="B12" s="199" t="s">
        <v>44</v>
      </c>
      <c r="C12" s="196" t="s">
        <v>45</v>
      </c>
    </row>
    <row r="13" spans="1:3">
      <c r="A13" s="1210"/>
      <c r="B13" s="199" t="s">
        <v>46</v>
      </c>
      <c r="C13" s="196" t="s">
        <v>47</v>
      </c>
    </row>
    <row r="14" spans="1:3">
      <c r="A14" s="1210"/>
      <c r="B14" s="200" t="s">
        <v>48</v>
      </c>
      <c r="C14" s="197" t="s">
        <v>49</v>
      </c>
    </row>
    <row r="17" spans="2:3">
      <c r="B17" s="1469" t="s">
        <v>50</v>
      </c>
      <c r="C17" s="1481"/>
    </row>
    <row r="18" spans="2:3">
      <c r="B18" s="201" t="s">
        <v>51</v>
      </c>
      <c r="C18" s="74"/>
    </row>
    <row r="19" spans="2:3">
      <c r="B19" s="201" t="s">
        <v>52</v>
      </c>
      <c r="C19" s="74"/>
    </row>
    <row r="20" spans="2:3">
      <c r="B20" s="201" t="s">
        <v>53</v>
      </c>
      <c r="C20" s="74"/>
    </row>
    <row r="21" spans="2:3">
      <c r="B21" s="201" t="s">
        <v>54</v>
      </c>
      <c r="C21" s="74"/>
    </row>
    <row r="22" spans="2:3">
      <c r="B22" s="201" t="s">
        <v>55</v>
      </c>
      <c r="C22" s="74"/>
    </row>
    <row r="25" spans="2:3">
      <c r="B25" s="1469" t="s">
        <v>56</v>
      </c>
      <c r="C25" s="1481"/>
    </row>
    <row r="26" spans="2:3">
      <c r="B26" s="2" t="s">
        <v>57</v>
      </c>
      <c r="C26" s="1210"/>
    </row>
    <row r="27" spans="2:3">
      <c r="B27" s="3" t="s">
        <v>58</v>
      </c>
      <c r="C27" s="1210"/>
    </row>
    <row r="28" spans="2:3">
      <c r="B28" s="4" t="s">
        <v>59</v>
      </c>
      <c r="C28" s="1210"/>
    </row>
    <row r="29" spans="2:3">
      <c r="B29" s="202" t="s">
        <v>60</v>
      </c>
      <c r="C29" s="1210"/>
    </row>
    <row r="32" spans="2:3">
      <c r="B32" s="1469" t="s">
        <v>61</v>
      </c>
      <c r="C32" s="1481"/>
    </row>
    <row r="33" spans="2:3" ht="24" customHeight="1">
      <c r="B33" s="1482" t="s">
        <v>62</v>
      </c>
      <c r="C33" s="1483"/>
    </row>
    <row r="34" spans="2:3">
      <c r="B34" s="204" t="s">
        <v>63</v>
      </c>
      <c r="C34" s="203" t="str">
        <f>Assumptions!$B$3</f>
        <v>Base</v>
      </c>
    </row>
    <row r="35" spans="2:3" ht="15.75" thickBot="1">
      <c r="B35" s="1210"/>
      <c r="C35" s="1210"/>
    </row>
    <row r="36" spans="2:3" ht="15.75">
      <c r="B36" s="206" t="s">
        <v>64</v>
      </c>
      <c r="C36" s="211">
        <f>DCF!C32</f>
        <v>6601.9351921378784</v>
      </c>
    </row>
    <row r="37" spans="2:3">
      <c r="B37" s="90" t="s">
        <v>65</v>
      </c>
      <c r="C37" s="212">
        <f>DCF!C37</f>
        <v>728.617633410959</v>
      </c>
    </row>
    <row r="38" spans="2:3">
      <c r="B38" s="90" t="s">
        <v>66</v>
      </c>
      <c r="C38" s="212">
        <f>DCF!C36</f>
        <v>-10</v>
      </c>
    </row>
    <row r="39" spans="2:3">
      <c r="B39" s="207" t="s">
        <v>67</v>
      </c>
      <c r="C39" s="213">
        <f>DCF!C38</f>
        <v>7320.5528255488371</v>
      </c>
    </row>
    <row r="40" spans="2:3">
      <c r="B40" s="90" t="s">
        <v>68</v>
      </c>
      <c r="C40" s="209">
        <f>DCF!C40</f>
        <v>17.85500689158253</v>
      </c>
    </row>
    <row r="41" spans="2:3">
      <c r="B41" s="90"/>
      <c r="C41" s="210"/>
    </row>
    <row r="42" spans="2:3">
      <c r="B42" s="208" t="s">
        <v>69</v>
      </c>
      <c r="C42" s="212" t="s">
        <v>70</v>
      </c>
    </row>
    <row r="43" spans="2:3" ht="16.5" thickBot="1">
      <c r="B43" s="190" t="s">
        <v>71</v>
      </c>
      <c r="C43" s="214" t="s">
        <v>70</v>
      </c>
    </row>
    <row r="45" spans="2:3">
      <c r="B45" s="218" t="s">
        <v>72</v>
      </c>
      <c r="C45" s="219">
        <f>DCF!C52</f>
        <v>10100</v>
      </c>
    </row>
    <row r="46" spans="2:3">
      <c r="B46" s="208" t="s">
        <v>73</v>
      </c>
      <c r="C46" s="216">
        <f>DCF!C53</f>
        <v>-0.27519278954962012</v>
      </c>
    </row>
    <row r="47" spans="2:3">
      <c r="B47" s="215" t="s">
        <v>74</v>
      </c>
      <c r="C47" s="217" t="str">
        <f>DCF!C54</f>
        <v>n/a</v>
      </c>
    </row>
    <row r="48" spans="2:3" ht="17.25">
      <c r="B48" s="1484" t="s">
        <v>75</v>
      </c>
      <c r="C48" s="1485"/>
    </row>
    <row r="49" spans="2:3" ht="15.75">
      <c r="B49" s="205" t="s">
        <v>76</v>
      </c>
      <c r="C49" s="221">
        <f>'Football Field'!D18*1000</f>
        <v>9086.8228886363631</v>
      </c>
    </row>
    <row r="50" spans="2:3">
      <c r="B50" s="89" t="s">
        <v>68</v>
      </c>
      <c r="C50" s="220">
        <f>'Football Field'!G18</f>
        <v>23.845909484478934</v>
      </c>
    </row>
    <row r="51" spans="2:3">
      <c r="B51" s="189" t="s">
        <v>77</v>
      </c>
      <c r="C51" s="222">
        <f>'Football Field'!D20</f>
        <v>-0.10031456548154827</v>
      </c>
    </row>
    <row r="53" spans="2:3" ht="17.25">
      <c r="B53" s="1486" t="s">
        <v>78</v>
      </c>
      <c r="C53" s="1487"/>
    </row>
    <row r="54" spans="2:3">
      <c r="B54" s="88" t="s">
        <v>79</v>
      </c>
      <c r="C54" s="225">
        <f>Checks!B19</f>
        <v>11</v>
      </c>
    </row>
    <row r="55" spans="2:3">
      <c r="B55" s="89" t="s">
        <v>80</v>
      </c>
      <c r="C55" s="226">
        <f>Checks!B20</f>
        <v>1</v>
      </c>
    </row>
    <row r="56" spans="2:3">
      <c r="B56" s="223" t="s">
        <v>81</v>
      </c>
      <c r="C56" s="227">
        <f>Checks!B21</f>
        <v>0</v>
      </c>
    </row>
    <row r="57" spans="2:3">
      <c r="B57" s="224" t="s">
        <v>82</v>
      </c>
      <c r="C57" s="228" t="str">
        <f>Checks!B22</f>
        <v>WARN</v>
      </c>
    </row>
    <row r="58" spans="2:3">
      <c r="B58" s="49"/>
      <c r="C58" s="1210"/>
    </row>
    <row r="59" spans="2:3" ht="17.25">
      <c r="B59" s="1486" t="s">
        <v>83</v>
      </c>
      <c r="C59" s="1487"/>
    </row>
    <row r="60" spans="2:3" ht="99.95" customHeight="1">
      <c r="B60" s="1488" t="s">
        <v>84</v>
      </c>
      <c r="C60" s="1474"/>
    </row>
    <row r="61" spans="2:3" ht="80.099999999999994" customHeight="1">
      <c r="B61" s="1473" t="s">
        <v>85</v>
      </c>
      <c r="C61" s="1474"/>
    </row>
    <row r="63" spans="2:3" ht="18.75">
      <c r="B63" s="1208" t="s">
        <v>86</v>
      </c>
      <c r="C63" s="1210"/>
    </row>
    <row r="64" spans="2:3">
      <c r="B64" s="716" t="s">
        <v>87</v>
      </c>
      <c r="C64" s="1210"/>
    </row>
    <row r="66" spans="2:3">
      <c r="B66" s="788" t="s">
        <v>88</v>
      </c>
      <c r="C66" s="909" t="s">
        <v>89</v>
      </c>
    </row>
    <row r="67" spans="2:3">
      <c r="B67" s="1210" t="s">
        <v>90</v>
      </c>
      <c r="C67" s="931">
        <f>DCF!C60</f>
        <v>2496.75</v>
      </c>
    </row>
    <row r="68" spans="2:3">
      <c r="B68" s="1210" t="s">
        <v>91</v>
      </c>
      <c r="C68" s="931">
        <f>DCF!C61</f>
        <v>7320.55</v>
      </c>
    </row>
    <row r="69" spans="2:3">
      <c r="B69" s="1210" t="s">
        <v>92</v>
      </c>
      <c r="C69" s="931">
        <f>DCF!C62</f>
        <v>24657.67</v>
      </c>
    </row>
    <row r="70" spans="2:3">
      <c r="B70" s="1198" t="s">
        <v>93</v>
      </c>
      <c r="C70" s="932">
        <f>DCF!C63</f>
        <v>8185.67</v>
      </c>
    </row>
    <row r="71" spans="2:3">
      <c r="B71" s="792" t="s">
        <v>94</v>
      </c>
      <c r="C71" s="933">
        <f>DCF!C65</f>
        <v>11556.925999999999</v>
      </c>
    </row>
    <row r="72" spans="2:3">
      <c r="B72" s="79" t="s">
        <v>95</v>
      </c>
      <c r="C72" s="934">
        <f>DCF!C52</f>
        <v>10100</v>
      </c>
    </row>
    <row r="73" spans="2:3">
      <c r="B73" s="935" t="s">
        <v>96</v>
      </c>
      <c r="C73" s="936">
        <f>C71-C70</f>
        <v>3371.2559999999994</v>
      </c>
    </row>
    <row r="74" spans="2:3">
      <c r="B74" s="104" t="s">
        <v>97</v>
      </c>
      <c r="C74" s="937">
        <f>C71/C70-1</f>
        <v>0.4118485108732699</v>
      </c>
    </row>
    <row r="76" spans="2:3">
      <c r="B76" s="646" t="s">
        <v>98</v>
      </c>
      <c r="C76" s="1210"/>
    </row>
    <row r="77" spans="2:3">
      <c r="B77" s="929" t="s">
        <v>99</v>
      </c>
      <c r="C77" s="1210"/>
    </row>
  </sheetData>
  <mergeCells count="12">
    <mergeCell ref="B61:C61"/>
    <mergeCell ref="B3:C3"/>
    <mergeCell ref="B4:C4"/>
    <mergeCell ref="B5:C5"/>
    <mergeCell ref="B17:C17"/>
    <mergeCell ref="B25:C25"/>
    <mergeCell ref="B32:C32"/>
    <mergeCell ref="B33:C33"/>
    <mergeCell ref="B48:C48"/>
    <mergeCell ref="B53:C53"/>
    <mergeCell ref="B59:C59"/>
    <mergeCell ref="B60:C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BEBE-035B-4047-AF69-39F5B1D26145}">
  <sheetPr>
    <tabColor rgb="FF2F5496"/>
  </sheetPr>
  <dimension ref="A1:Y87"/>
  <sheetViews>
    <sheetView showGridLines="0" topLeftCell="H1" workbookViewId="0">
      <selection activeCell="B87" sqref="B87"/>
    </sheetView>
  </sheetViews>
  <sheetFormatPr defaultColWidth="11.42578125" defaultRowHeight="15"/>
  <cols>
    <col min="1" max="1" width="36.7109375" customWidth="1"/>
    <col min="2" max="5" width="18.28515625" customWidth="1"/>
    <col min="9" max="9" width="8.28515625" customWidth="1"/>
    <col min="10" max="10" width="33.28515625" customWidth="1"/>
    <col min="11" max="15" width="16.7109375" customWidth="1"/>
  </cols>
  <sheetData>
    <row r="1" spans="1:5" ht="23.25">
      <c r="A1" s="1064" t="s">
        <v>100</v>
      </c>
      <c r="B1" s="1210"/>
      <c r="C1" s="1210"/>
      <c r="D1" s="1210"/>
      <c r="E1" s="1210"/>
    </row>
    <row r="2" spans="1:5">
      <c r="A2" s="716" t="s">
        <v>101</v>
      </c>
      <c r="B2" s="1210"/>
      <c r="C2" s="1210"/>
      <c r="D2" s="1210"/>
      <c r="E2" s="1210"/>
    </row>
    <row r="4" spans="1:5" ht="18.75">
      <c r="A4" s="1065" t="str">
        <f>"Headline: ProbWeighted Equity = $"&amp;TEXT(DCF!C63,"#,##0")&amp;"M  |  Series G mark = $"&amp;TEXT(DCF!C52,"#,##0")&amp;"M  |  Implied premium / (discount) = "&amp;TEXT(DCF!C63/DCF!C52-1,"+0.0%;-0.0%")</f>
        <v>Headline: ProbWeighted Equity = $8,186M  |  Series G mark = $10,100M  |  Implied premium / (discount) = -19.0%</v>
      </c>
      <c r="B4" s="1210"/>
      <c r="C4" s="1210"/>
      <c r="D4" s="1210"/>
      <c r="E4" s="1210"/>
    </row>
    <row r="6" spans="1:5" ht="18.75">
      <c r="A6" s="1208" t="s">
        <v>102</v>
      </c>
      <c r="B6" s="1210"/>
      <c r="C6" s="1210"/>
      <c r="D6" s="1210"/>
      <c r="E6" s="1210"/>
    </row>
    <row r="7" spans="1:5">
      <c r="A7" s="1195" t="s">
        <v>103</v>
      </c>
      <c r="B7" s="1210"/>
      <c r="C7" s="1210"/>
      <c r="D7" s="1210"/>
      <c r="E7" s="1210"/>
    </row>
    <row r="8" spans="1:5" ht="15.75" thickBot="1">
      <c r="A8" s="1210"/>
      <c r="B8" s="1210"/>
      <c r="C8" s="1210"/>
      <c r="D8" s="1210"/>
      <c r="E8" s="1210"/>
    </row>
    <row r="9" spans="1:5" ht="15.75" thickBot="1">
      <c r="A9" s="1086" t="s">
        <v>104</v>
      </c>
      <c r="B9" s="1087" t="s">
        <v>105</v>
      </c>
      <c r="C9" s="1087" t="s">
        <v>106</v>
      </c>
      <c r="D9" s="1087" t="s">
        <v>107</v>
      </c>
      <c r="E9" s="1088" t="s">
        <v>108</v>
      </c>
    </row>
    <row r="10" spans="1:5">
      <c r="A10" s="1084" t="s">
        <v>109</v>
      </c>
      <c r="B10" s="1067">
        <f>Assumptions!C2</f>
        <v>0.2</v>
      </c>
      <c r="C10" s="1068">
        <f>Assumptions!E2</f>
        <v>0.5</v>
      </c>
      <c r="D10" s="1069">
        <f>Assumptions!G2</f>
        <v>0.3</v>
      </c>
      <c r="E10" s="1089">
        <f>B10+C10+D10</f>
        <v>1</v>
      </c>
    </row>
    <row r="11" spans="1:5">
      <c r="A11" s="1084" t="s">
        <v>110</v>
      </c>
      <c r="B11" s="1070">
        <f>DCF!C60</f>
        <v>2496.75</v>
      </c>
      <c r="C11" s="1071">
        <f>DCF!C61</f>
        <v>7320.55</v>
      </c>
      <c r="D11" s="1072">
        <f>DCF!C62</f>
        <v>24657.67</v>
      </c>
      <c r="E11" s="1090">
        <f>DCF!C63</f>
        <v>8185.67</v>
      </c>
    </row>
    <row r="12" spans="1:5">
      <c r="A12" s="1084" t="s">
        <v>111</v>
      </c>
      <c r="B12" s="1070" t="s">
        <v>70</v>
      </c>
      <c r="C12" s="1071" t="s">
        <v>70</v>
      </c>
      <c r="D12" s="1072" t="s">
        <v>70</v>
      </c>
      <c r="E12" s="1090" t="s">
        <v>70</v>
      </c>
    </row>
    <row r="13" spans="1:5">
      <c r="A13" s="1084" t="s">
        <v>112</v>
      </c>
      <c r="B13" s="1073">
        <f>B11/Assumptions!F54</f>
        <v>6.0896341463414636</v>
      </c>
      <c r="C13" s="1074">
        <f>C11/Assumptions!F54</f>
        <v>17.855</v>
      </c>
      <c r="D13" s="1075">
        <f>D11/Assumptions!F54</f>
        <v>60.140658536585363</v>
      </c>
      <c r="E13" s="1091">
        <f>E11/Assumptions!F54</f>
        <v>19.965048780487805</v>
      </c>
    </row>
    <row r="14" spans="1:5">
      <c r="A14" s="1084" t="s">
        <v>113</v>
      </c>
      <c r="B14" s="1076">
        <f>B11/DCF!$C$52-1</f>
        <v>-0.75279702970297024</v>
      </c>
      <c r="C14" s="1077">
        <f>C11/DCF!$C$52-1</f>
        <v>-0.27519306930693066</v>
      </c>
      <c r="D14" s="1078">
        <f>D11/DCF!$C$52-1</f>
        <v>1.4413534653465345</v>
      </c>
      <c r="E14" s="1092">
        <f>E11/DCF!$C$52-1</f>
        <v>-0.18953762376237626</v>
      </c>
    </row>
    <row r="15" spans="1:5" ht="15.75" thickBot="1">
      <c r="A15" s="1085" t="s">
        <v>114</v>
      </c>
      <c r="B15" s="1081">
        <f>Assumptions!C74</f>
        <v>0.12175650636531818</v>
      </c>
      <c r="C15" s="1082">
        <f>Assumptions!D74</f>
        <v>0.115874493309381</v>
      </c>
      <c r="D15" s="1083">
        <f>Assumptions!E74</f>
        <v>0.11003836564433836</v>
      </c>
      <c r="E15" s="1093">
        <f>Assumptions!J74</f>
        <v>0.11530005762105565</v>
      </c>
    </row>
    <row r="18" spans="1:9" ht="18.75">
      <c r="A18" s="1208" t="s">
        <v>115</v>
      </c>
      <c r="B18" s="1210"/>
      <c r="C18" s="1210"/>
      <c r="D18" s="1210"/>
      <c r="E18" s="1210"/>
      <c r="F18" s="1210"/>
      <c r="G18" s="1210"/>
      <c r="H18" s="1210"/>
      <c r="I18" s="1210"/>
    </row>
    <row r="19" spans="1:9">
      <c r="A19" s="1195" t="s">
        <v>116</v>
      </c>
      <c r="B19" s="1210"/>
      <c r="C19" s="1210"/>
      <c r="D19" s="1210"/>
      <c r="E19" s="1210"/>
      <c r="F19" s="1210"/>
      <c r="G19" s="1210"/>
      <c r="H19" s="1210"/>
      <c r="I19" s="1210"/>
    </row>
    <row r="20" spans="1:9" ht="15.75" thickBot="1">
      <c r="A20" s="1210"/>
      <c r="B20" s="1210"/>
      <c r="C20" s="1210"/>
      <c r="D20" s="1210"/>
      <c r="E20" s="1210"/>
      <c r="F20" s="1210"/>
      <c r="G20" s="1210"/>
      <c r="H20" s="1210"/>
      <c r="I20" s="1210"/>
    </row>
    <row r="21" spans="1:9">
      <c r="A21" s="1079" t="s">
        <v>117</v>
      </c>
      <c r="B21" s="1079" t="s">
        <v>118</v>
      </c>
      <c r="C21" s="1079" t="s">
        <v>119</v>
      </c>
      <c r="D21" s="1079" t="s">
        <v>120</v>
      </c>
      <c r="E21" s="788" t="s">
        <v>117</v>
      </c>
      <c r="F21" s="788" t="s">
        <v>121</v>
      </c>
      <c r="G21" s="788" t="s">
        <v>122</v>
      </c>
      <c r="H21" s="788" t="s">
        <v>123</v>
      </c>
      <c r="I21" s="788" t="s">
        <v>124</v>
      </c>
    </row>
    <row r="22" spans="1:9">
      <c r="A22" s="1094" t="s">
        <v>125</v>
      </c>
      <c r="B22" s="1095">
        <f>DCF!C30</f>
        <v>1769.3286168218406</v>
      </c>
      <c r="C22" s="1095">
        <f>B22</f>
        <v>1769.3286168218406</v>
      </c>
      <c r="D22" s="1096" t="s">
        <v>126</v>
      </c>
      <c r="E22" s="1110" t="str">
        <f t="shared" ref="E22:E29" si="0">A22</f>
        <v>PV of FCFs (2026-2033)</v>
      </c>
      <c r="F22" s="1109">
        <f>0</f>
        <v>0</v>
      </c>
      <c r="G22" s="1109">
        <f>B22</f>
        <v>1769.3286168218406</v>
      </c>
      <c r="H22" s="1109">
        <f>0</f>
        <v>0</v>
      </c>
      <c r="I22" s="1109">
        <f>0</f>
        <v>0</v>
      </c>
    </row>
    <row r="23" spans="1:9">
      <c r="A23" s="1094" t="s">
        <v>127</v>
      </c>
      <c r="B23" s="1095">
        <f>DCF!C31</f>
        <v>4832.6065753160383</v>
      </c>
      <c r="C23" s="1095">
        <f>C22+B23</f>
        <v>6601.9351921378784</v>
      </c>
      <c r="D23" s="1096" t="s">
        <v>126</v>
      </c>
      <c r="E23" s="1110" t="str">
        <f t="shared" si="0"/>
        <v>PV of Terminal Value</v>
      </c>
      <c r="F23" s="1109">
        <f>C22</f>
        <v>1769.3286168218406</v>
      </c>
      <c r="G23" s="1109">
        <f>B23</f>
        <v>4832.6065753160383</v>
      </c>
      <c r="H23" s="1109">
        <f>0</f>
        <v>0</v>
      </c>
      <c r="I23" s="1109">
        <f>0</f>
        <v>0</v>
      </c>
    </row>
    <row r="24" spans="1:9">
      <c r="A24" s="1097" t="s">
        <v>128</v>
      </c>
      <c r="B24" s="1098">
        <f>DCF!C32</f>
        <v>6601.9351921378784</v>
      </c>
      <c r="C24" s="1098">
        <f>C23</f>
        <v>6601.9351921378784</v>
      </c>
      <c r="D24" s="1099" t="s">
        <v>124</v>
      </c>
      <c r="E24" s="1110" t="str">
        <f t="shared" si="0"/>
        <v>Enterprise Value</v>
      </c>
      <c r="F24" s="1109">
        <f>0</f>
        <v>0</v>
      </c>
      <c r="G24" s="1109">
        <f>0</f>
        <v>0</v>
      </c>
      <c r="H24" s="1109">
        <f>0</f>
        <v>0</v>
      </c>
      <c r="I24" s="1109">
        <f>C24</f>
        <v>6601.9351921378784</v>
      </c>
    </row>
    <row r="25" spans="1:9">
      <c r="A25" s="1100" t="s">
        <v>129</v>
      </c>
      <c r="B25" s="1101">
        <f>DCF!C36</f>
        <v>-10</v>
      </c>
      <c r="C25" s="1101">
        <f>C24+B25</f>
        <v>6591.9351921378784</v>
      </c>
      <c r="D25" s="1102" t="s">
        <v>123</v>
      </c>
      <c r="E25" s="1110" t="str">
        <f t="shared" si="0"/>
        <v>Less: Debt</v>
      </c>
      <c r="F25" s="1109">
        <f>C25</f>
        <v>6591.9351921378784</v>
      </c>
      <c r="G25" s="1109">
        <f>0</f>
        <v>0</v>
      </c>
      <c r="H25" s="1109">
        <f>-B25</f>
        <v>10</v>
      </c>
      <c r="I25" s="1109">
        <f>0</f>
        <v>0</v>
      </c>
    </row>
    <row r="26" spans="1:9">
      <c r="A26" s="1103" t="s">
        <v>130</v>
      </c>
      <c r="B26" s="1104">
        <f>DCF!C37</f>
        <v>728.617633410959</v>
      </c>
      <c r="C26" s="1104">
        <f>C25+B26</f>
        <v>7320.5528255488371</v>
      </c>
      <c r="D26" s="1105" t="s">
        <v>131</v>
      </c>
      <c r="E26" s="1110" t="str">
        <f t="shared" si="0"/>
        <v>Plus: Cash</v>
      </c>
      <c r="F26" s="1109">
        <f>C25</f>
        <v>6591.9351921378784</v>
      </c>
      <c r="G26" s="1109">
        <f>B26</f>
        <v>728.617633410959</v>
      </c>
      <c r="H26" s="1109">
        <f>0</f>
        <v>0</v>
      </c>
      <c r="I26" s="1109">
        <f>0</f>
        <v>0</v>
      </c>
    </row>
    <row r="27" spans="1:9">
      <c r="A27" s="1097" t="s">
        <v>132</v>
      </c>
      <c r="B27" s="1098">
        <f>DCF!C38</f>
        <v>7320.5528255488371</v>
      </c>
      <c r="C27" s="1098">
        <f>C26</f>
        <v>7320.5528255488371</v>
      </c>
      <c r="D27" s="1099" t="s">
        <v>124</v>
      </c>
      <c r="E27" s="1110" t="str">
        <f t="shared" si="0"/>
        <v>Equity Value (DCF Base)</v>
      </c>
      <c r="F27" s="1109">
        <f>0</f>
        <v>0</v>
      </c>
      <c r="G27" s="1109">
        <f>0</f>
        <v>0</v>
      </c>
      <c r="H27" s="1109">
        <f>0</f>
        <v>0</v>
      </c>
      <c r="I27" s="1109">
        <f>C27</f>
        <v>7320.5528255488371</v>
      </c>
    </row>
    <row r="28" spans="1:9">
      <c r="A28" s="1103" t="s">
        <v>133</v>
      </c>
      <c r="B28" s="1104">
        <f>DCF!C45</f>
        <v>940.08677436003336</v>
      </c>
      <c r="C28" s="1104">
        <f>C27+B28</f>
        <v>8260.6395999088709</v>
      </c>
      <c r="D28" s="1105" t="s">
        <v>131</v>
      </c>
      <c r="E28" s="1110" t="str">
        <f t="shared" si="0"/>
        <v>Plus: Real Options (Active)</v>
      </c>
      <c r="F28" s="1109">
        <f>C27</f>
        <v>7320.5528255488371</v>
      </c>
      <c r="G28" s="1109">
        <f>B28</f>
        <v>940.08677436003336</v>
      </c>
      <c r="H28" s="1109">
        <f>0</f>
        <v>0</v>
      </c>
      <c r="I28" s="1109">
        <f>0</f>
        <v>0</v>
      </c>
    </row>
    <row r="29" spans="1:9" ht="15.75" thickBot="1">
      <c r="A29" s="1106" t="s">
        <v>134</v>
      </c>
      <c r="B29" s="1107">
        <f>C28</f>
        <v>8260.6395999088709</v>
      </c>
      <c r="C29" s="1107">
        <f>C28</f>
        <v>8260.6395999088709</v>
      </c>
      <c r="D29" s="1108" t="s">
        <v>124</v>
      </c>
      <c r="E29" s="1110" t="str">
        <f t="shared" si="0"/>
        <v>Equity + Real Options</v>
      </c>
      <c r="F29" s="1109">
        <f>0</f>
        <v>0</v>
      </c>
      <c r="G29" s="1109">
        <f>0</f>
        <v>0</v>
      </c>
      <c r="H29" s="1109">
        <f>0</f>
        <v>0</v>
      </c>
      <c r="I29" s="1109">
        <f>C29</f>
        <v>8260.6395999088709</v>
      </c>
    </row>
    <row r="31" spans="1:9" ht="18.75">
      <c r="A31" s="1208" t="s">
        <v>135</v>
      </c>
      <c r="B31" s="1210"/>
      <c r="C31" s="1210"/>
      <c r="D31" s="1210"/>
      <c r="E31" s="1210"/>
      <c r="F31" s="1210"/>
      <c r="G31" s="1210"/>
      <c r="H31" s="1210"/>
      <c r="I31" s="1210"/>
    </row>
    <row r="32" spans="1:9">
      <c r="A32" s="1195" t="s">
        <v>136</v>
      </c>
      <c r="B32" s="1210"/>
      <c r="C32" s="1210"/>
      <c r="D32" s="1210"/>
      <c r="E32" s="1210"/>
      <c r="F32" s="1210"/>
      <c r="G32" s="1210"/>
      <c r="H32" s="1210"/>
      <c r="I32" s="1210"/>
    </row>
    <row r="34" spans="1:25">
      <c r="A34" s="1066" t="s">
        <v>137</v>
      </c>
      <c r="B34" s="1066" t="s">
        <v>138</v>
      </c>
      <c r="C34" s="1066" t="s">
        <v>139</v>
      </c>
      <c r="D34" s="1066" t="s">
        <v>140</v>
      </c>
      <c r="E34" s="1066" t="s">
        <v>141</v>
      </c>
      <c r="F34" s="1066" t="s">
        <v>142</v>
      </c>
      <c r="G34" s="1066" t="s">
        <v>143</v>
      </c>
      <c r="H34" s="1210"/>
      <c r="I34" s="1066" t="s">
        <v>137</v>
      </c>
      <c r="J34" s="1066" t="s">
        <v>138</v>
      </c>
      <c r="K34" s="1066" t="s">
        <v>139</v>
      </c>
      <c r="L34" s="1066" t="s">
        <v>144</v>
      </c>
      <c r="M34" s="1066" t="s">
        <v>141</v>
      </c>
      <c r="N34" s="1066" t="s">
        <v>142</v>
      </c>
      <c r="O34" s="1066" t="s">
        <v>143</v>
      </c>
      <c r="P34" s="1210"/>
      <c r="Q34" s="1045" t="s">
        <v>138</v>
      </c>
      <c r="R34" s="1045" t="s">
        <v>145</v>
      </c>
      <c r="S34" s="1045" t="s">
        <v>146</v>
      </c>
      <c r="T34" s="1045" t="s">
        <v>147</v>
      </c>
      <c r="U34" s="1210"/>
      <c r="V34" s="1045" t="s">
        <v>138</v>
      </c>
      <c r="W34" s="1045" t="s">
        <v>145</v>
      </c>
      <c r="X34" s="1045" t="s">
        <v>146</v>
      </c>
      <c r="Y34" s="1045" t="s">
        <v>147</v>
      </c>
    </row>
    <row r="35" spans="1:25">
      <c r="A35" s="1194">
        <v>1</v>
      </c>
      <c r="B35" s="1111" t="s">
        <v>148</v>
      </c>
      <c r="C35" s="71">
        <v>4989</v>
      </c>
      <c r="D35" s="71">
        <v>7336</v>
      </c>
      <c r="E35" s="71">
        <v>8087</v>
      </c>
      <c r="F35" s="1112">
        <v>-2347</v>
      </c>
      <c r="G35" s="1113">
        <v>751</v>
      </c>
      <c r="H35" s="1210"/>
      <c r="I35" s="1194">
        <v>1</v>
      </c>
      <c r="J35" s="1111" t="s">
        <v>148</v>
      </c>
      <c r="K35" s="71">
        <v>5290</v>
      </c>
      <c r="L35" s="71">
        <v>8091</v>
      </c>
      <c r="M35" s="71">
        <v>8561</v>
      </c>
      <c r="N35" s="1112">
        <v>-2801</v>
      </c>
      <c r="O35" s="1113">
        <v>470</v>
      </c>
      <c r="P35" s="1210"/>
      <c r="Q35" s="1210" t="str">
        <f>B47</f>
        <v>SBC IPO 2027 override</v>
      </c>
      <c r="R35" s="39">
        <f>F47</f>
        <v>-17</v>
      </c>
      <c r="S35" s="39">
        <f>G47</f>
        <v>17</v>
      </c>
      <c r="T35" s="988">
        <f t="shared" ref="T35:T46" si="1">ABS(R36)+ABS(S36)</f>
        <v>40</v>
      </c>
      <c r="U35" s="1210"/>
      <c r="V35" s="1210" t="str">
        <f>J47</f>
        <v>SBC IPO 2027 override</v>
      </c>
      <c r="W35" s="39">
        <f>N47</f>
        <v>-20</v>
      </c>
      <c r="X35" s="39">
        <f>O47</f>
        <v>15</v>
      </c>
      <c r="Y35" s="988">
        <f t="shared" ref="Y35:Y46" si="2">ABS(W36)+ABS(X36)</f>
        <v>41</v>
      </c>
    </row>
    <row r="36" spans="1:25">
      <c r="A36" s="103">
        <v>2</v>
      </c>
      <c r="B36" s="1041" t="s">
        <v>149</v>
      </c>
      <c r="C36" s="1039">
        <v>6931</v>
      </c>
      <c r="D36" s="1039">
        <v>7336</v>
      </c>
      <c r="E36" s="1039">
        <v>8147</v>
      </c>
      <c r="F36" s="1112">
        <v>-405</v>
      </c>
      <c r="G36" s="1113">
        <v>811</v>
      </c>
      <c r="H36" s="1210"/>
      <c r="I36" s="103">
        <v>2</v>
      </c>
      <c r="J36" s="1041" t="s">
        <v>149</v>
      </c>
      <c r="K36" s="1039">
        <v>7495</v>
      </c>
      <c r="L36" s="1039">
        <v>8091</v>
      </c>
      <c r="M36" s="1039">
        <v>8771</v>
      </c>
      <c r="N36" s="1112">
        <v>-596</v>
      </c>
      <c r="O36" s="1113">
        <v>680</v>
      </c>
      <c r="P36" s="1210"/>
      <c r="Q36" s="1210" t="str">
        <f>B46</f>
        <v>SBC IPO 2028 override</v>
      </c>
      <c r="R36" s="39">
        <f>F46</f>
        <v>-20</v>
      </c>
      <c r="S36" s="39">
        <f>G46</f>
        <v>20</v>
      </c>
      <c r="T36" s="988">
        <f t="shared" si="1"/>
        <v>144</v>
      </c>
      <c r="U36" s="1210"/>
      <c r="V36" s="1210" t="str">
        <f>J46</f>
        <v>SBC IPO 2028 override</v>
      </c>
      <c r="W36" s="39">
        <f>N46</f>
        <v>-23</v>
      </c>
      <c r="X36" s="39">
        <f>O46</f>
        <v>18</v>
      </c>
      <c r="Y36" s="988">
        <f t="shared" si="2"/>
        <v>148</v>
      </c>
    </row>
    <row r="37" spans="1:25">
      <c r="A37" s="1194">
        <v>3</v>
      </c>
      <c r="B37" s="1111" t="s">
        <v>150</v>
      </c>
      <c r="C37" s="71">
        <v>7729</v>
      </c>
      <c r="D37" s="71">
        <v>7336</v>
      </c>
      <c r="E37" s="71">
        <v>6980</v>
      </c>
      <c r="F37" s="1112">
        <v>393</v>
      </c>
      <c r="G37" s="1113">
        <v>-356</v>
      </c>
      <c r="H37" s="1210"/>
      <c r="I37" s="1194">
        <v>3</v>
      </c>
      <c r="J37" s="1111" t="s">
        <v>150</v>
      </c>
      <c r="K37" s="71">
        <v>8483</v>
      </c>
      <c r="L37" s="71">
        <v>8091</v>
      </c>
      <c r="M37" s="71">
        <v>7657</v>
      </c>
      <c r="N37" s="1112">
        <v>392</v>
      </c>
      <c r="O37" s="1113">
        <v>-434</v>
      </c>
      <c r="P37" s="1210"/>
      <c r="Q37" s="1210" t="str">
        <f>B45</f>
        <v>SBC % Rev (current)</v>
      </c>
      <c r="R37" s="39">
        <f>F45</f>
        <v>-72</v>
      </c>
      <c r="S37" s="39">
        <f>G45</f>
        <v>72</v>
      </c>
      <c r="T37" s="988">
        <f t="shared" si="1"/>
        <v>150</v>
      </c>
      <c r="U37" s="1210"/>
      <c r="V37" s="1210" t="str">
        <f>J45</f>
        <v>SBC % Rev (current)</v>
      </c>
      <c r="W37" s="39">
        <f>N45</f>
        <v>-82</v>
      </c>
      <c r="X37" s="39">
        <f>O45</f>
        <v>66</v>
      </c>
      <c r="Y37" s="988">
        <f t="shared" si="2"/>
        <v>177</v>
      </c>
    </row>
    <row r="38" spans="1:25">
      <c r="A38" s="103">
        <v>4</v>
      </c>
      <c r="B38" s="1041" t="s">
        <v>151</v>
      </c>
      <c r="C38" s="1039">
        <v>7701</v>
      </c>
      <c r="D38" s="1039">
        <v>7336</v>
      </c>
      <c r="E38" s="1039">
        <v>6971</v>
      </c>
      <c r="F38" s="1112">
        <v>365</v>
      </c>
      <c r="G38" s="1113">
        <v>-365</v>
      </c>
      <c r="H38" s="1210"/>
      <c r="I38" s="103">
        <v>4</v>
      </c>
      <c r="J38" s="1041" t="s">
        <v>151</v>
      </c>
      <c r="K38" s="1039">
        <v>8514</v>
      </c>
      <c r="L38" s="1039">
        <v>8091</v>
      </c>
      <c r="M38" s="1039">
        <v>7744</v>
      </c>
      <c r="N38" s="1112">
        <v>423</v>
      </c>
      <c r="O38" s="1113">
        <v>-347</v>
      </c>
      <c r="P38" s="1210"/>
      <c r="Q38" s="1210" t="str">
        <f>B44</f>
        <v>Tax Rate</v>
      </c>
      <c r="R38" s="39">
        <f>F44</f>
        <v>-75</v>
      </c>
      <c r="S38" s="39">
        <f>G44</f>
        <v>75</v>
      </c>
      <c r="T38" s="988">
        <f t="shared" si="1"/>
        <v>386</v>
      </c>
      <c r="U38" s="1210"/>
      <c r="V38" s="1210" t="str">
        <f>J44</f>
        <v>Tax Rate</v>
      </c>
      <c r="W38" s="39">
        <f>N44</f>
        <v>-98</v>
      </c>
      <c r="X38" s="39">
        <f>O44</f>
        <v>79</v>
      </c>
      <c r="Y38" s="988">
        <f t="shared" si="2"/>
        <v>404</v>
      </c>
    </row>
    <row r="39" spans="1:25">
      <c r="A39" s="1194">
        <v>5</v>
      </c>
      <c r="B39" s="1111" t="s">
        <v>152</v>
      </c>
      <c r="C39" s="71">
        <v>7101</v>
      </c>
      <c r="D39" s="71">
        <v>7336</v>
      </c>
      <c r="E39" s="71">
        <v>7689</v>
      </c>
      <c r="F39" s="1112">
        <v>-235</v>
      </c>
      <c r="G39" s="1113">
        <v>353</v>
      </c>
      <c r="H39" s="1210"/>
      <c r="I39" s="1194">
        <v>5</v>
      </c>
      <c r="J39" s="1111" t="s">
        <v>152</v>
      </c>
      <c r="K39" s="71">
        <v>7780</v>
      </c>
      <c r="L39" s="71">
        <v>8091</v>
      </c>
      <c r="M39" s="71">
        <v>8401</v>
      </c>
      <c r="N39" s="1112">
        <v>-311</v>
      </c>
      <c r="O39" s="1113">
        <v>310</v>
      </c>
      <c r="P39" s="1210"/>
      <c r="Q39" s="1210" t="str">
        <f>B43</f>
        <v>Y3+ Cohort Churn</v>
      </c>
      <c r="R39" s="39">
        <f>F43</f>
        <v>0</v>
      </c>
      <c r="S39" s="39">
        <f>G43</f>
        <v>386</v>
      </c>
      <c r="T39" s="988">
        <f t="shared" si="1"/>
        <v>436</v>
      </c>
      <c r="U39" s="1210"/>
      <c r="V39" s="1210" t="str">
        <f>J43</f>
        <v>Y3+ Cohort Churn</v>
      </c>
      <c r="W39" s="39">
        <f>N43</f>
        <v>-113</v>
      </c>
      <c r="X39" s="39">
        <f>O43</f>
        <v>291</v>
      </c>
      <c r="Y39" s="988">
        <f t="shared" si="2"/>
        <v>456</v>
      </c>
    </row>
    <row r="40" spans="1:25">
      <c r="A40" s="103">
        <v>6</v>
      </c>
      <c r="B40" s="1041" t="s">
        <v>153</v>
      </c>
      <c r="C40" s="1039">
        <v>7093</v>
      </c>
      <c r="D40" s="1039">
        <v>7336</v>
      </c>
      <c r="E40" s="1039">
        <v>7579</v>
      </c>
      <c r="F40" s="1112">
        <v>-243</v>
      </c>
      <c r="G40" s="1113">
        <v>243</v>
      </c>
      <c r="H40" s="1210"/>
      <c r="I40" s="103">
        <v>6</v>
      </c>
      <c r="J40" s="1041" t="s">
        <v>153</v>
      </c>
      <c r="K40" s="1039">
        <v>7808</v>
      </c>
      <c r="L40" s="1039">
        <v>8091</v>
      </c>
      <c r="M40" s="1039">
        <v>8322</v>
      </c>
      <c r="N40" s="1112">
        <v>-283</v>
      </c>
      <c r="O40" s="1113">
        <v>231</v>
      </c>
      <c r="P40" s="1210"/>
      <c r="Q40" s="1210" t="str">
        <f>B42</f>
        <v>CapEx % Rev</v>
      </c>
      <c r="R40" s="39">
        <f>F42</f>
        <v>-218</v>
      </c>
      <c r="S40" s="39">
        <f>G42</f>
        <v>218</v>
      </c>
      <c r="T40" s="988">
        <f t="shared" si="1"/>
        <v>478</v>
      </c>
      <c r="U40" s="1210"/>
      <c r="V40" s="1210" t="str">
        <f>J42</f>
        <v>CapEx % Rev</v>
      </c>
      <c r="W40" s="39">
        <f>N42</f>
        <v>-251</v>
      </c>
      <c r="X40" s="39">
        <f>O42</f>
        <v>205</v>
      </c>
      <c r="Y40" s="988">
        <f t="shared" si="2"/>
        <v>505</v>
      </c>
    </row>
    <row r="41" spans="1:25">
      <c r="A41" s="1194">
        <v>7</v>
      </c>
      <c r="B41" s="1111" t="s">
        <v>154</v>
      </c>
      <c r="C41" s="71">
        <v>7097</v>
      </c>
      <c r="D41" s="71">
        <v>7336</v>
      </c>
      <c r="E41" s="71">
        <v>7575</v>
      </c>
      <c r="F41" s="1112">
        <v>-239</v>
      </c>
      <c r="G41" s="1113">
        <v>239</v>
      </c>
      <c r="H41" s="1210"/>
      <c r="I41" s="1194">
        <v>7</v>
      </c>
      <c r="J41" s="1111" t="s">
        <v>154</v>
      </c>
      <c r="K41" s="71">
        <v>7813</v>
      </c>
      <c r="L41" s="71">
        <v>8091</v>
      </c>
      <c r="M41" s="71">
        <v>8318</v>
      </c>
      <c r="N41" s="1112">
        <v>-278</v>
      </c>
      <c r="O41" s="1113">
        <v>227</v>
      </c>
      <c r="P41" s="1210"/>
      <c r="Q41" s="1210" t="str">
        <f>B41</f>
        <v>Terminal COGS % (C7d_end)</v>
      </c>
      <c r="R41" s="39">
        <f>F41</f>
        <v>-239</v>
      </c>
      <c r="S41" s="39">
        <f>G41</f>
        <v>239</v>
      </c>
      <c r="T41" s="988">
        <f t="shared" si="1"/>
        <v>486</v>
      </c>
      <c r="U41" s="1210"/>
      <c r="V41" s="1210" t="str">
        <f>J41</f>
        <v>Terminal COGS % (C7d_end)</v>
      </c>
      <c r="W41" s="39">
        <f>N41</f>
        <v>-278</v>
      </c>
      <c r="X41" s="39">
        <f>O41</f>
        <v>227</v>
      </c>
      <c r="Y41" s="988">
        <f t="shared" si="2"/>
        <v>514</v>
      </c>
    </row>
    <row r="42" spans="1:25">
      <c r="A42" s="103">
        <v>8</v>
      </c>
      <c r="B42" s="1041" t="s">
        <v>155</v>
      </c>
      <c r="C42" s="1039">
        <v>7118</v>
      </c>
      <c r="D42" s="1039">
        <v>7336</v>
      </c>
      <c r="E42" s="1039">
        <v>7554</v>
      </c>
      <c r="F42" s="1112">
        <v>-218</v>
      </c>
      <c r="G42" s="1113">
        <v>218</v>
      </c>
      <c r="H42" s="1210"/>
      <c r="I42" s="103">
        <v>8</v>
      </c>
      <c r="J42" s="1041" t="s">
        <v>155</v>
      </c>
      <c r="K42" s="1039">
        <v>7840</v>
      </c>
      <c r="L42" s="1039">
        <v>8091</v>
      </c>
      <c r="M42" s="1039">
        <v>8296</v>
      </c>
      <c r="N42" s="1112">
        <v>-251</v>
      </c>
      <c r="O42" s="1113">
        <v>205</v>
      </c>
      <c r="P42" s="1210"/>
      <c r="Q42" s="1210" t="str">
        <f>B40</f>
        <v>G&amp;A % Rev (terminal)</v>
      </c>
      <c r="R42" s="39">
        <f>F40</f>
        <v>-243</v>
      </c>
      <c r="S42" s="39">
        <f>G40</f>
        <v>243</v>
      </c>
      <c r="T42" s="988">
        <f t="shared" si="1"/>
        <v>588</v>
      </c>
      <c r="U42" s="1210"/>
      <c r="V42" s="1210" t="str">
        <f>J40</f>
        <v>G&amp;A % Rev (terminal)</v>
      </c>
      <c r="W42" s="39">
        <f>N40</f>
        <v>-283</v>
      </c>
      <c r="X42" s="39">
        <f>O40</f>
        <v>231</v>
      </c>
      <c r="Y42" s="988">
        <f t="shared" si="2"/>
        <v>621</v>
      </c>
    </row>
    <row r="43" spans="1:25">
      <c r="A43" s="1194">
        <v>9</v>
      </c>
      <c r="B43" s="1111" t="s">
        <v>156</v>
      </c>
      <c r="C43" s="71">
        <v>7336</v>
      </c>
      <c r="D43" s="71">
        <v>7336</v>
      </c>
      <c r="E43" s="71">
        <v>7722</v>
      </c>
      <c r="F43" s="1112">
        <v>0</v>
      </c>
      <c r="G43" s="1113">
        <v>386</v>
      </c>
      <c r="H43" s="1210"/>
      <c r="I43" s="1194">
        <v>9</v>
      </c>
      <c r="J43" s="1111" t="s">
        <v>156</v>
      </c>
      <c r="K43" s="71">
        <v>7978</v>
      </c>
      <c r="L43" s="71">
        <v>8091</v>
      </c>
      <c r="M43" s="71">
        <v>8382</v>
      </c>
      <c r="N43" s="1112">
        <v>-113</v>
      </c>
      <c r="O43" s="1113">
        <v>291</v>
      </c>
      <c r="P43" s="1210"/>
      <c r="Q43" s="1210" t="str">
        <f>B39</f>
        <v>SBC % Rev (terminal)</v>
      </c>
      <c r="R43" s="39">
        <f>F39</f>
        <v>-235</v>
      </c>
      <c r="S43" s="39">
        <f>G39</f>
        <v>353</v>
      </c>
      <c r="T43" s="988">
        <f t="shared" si="1"/>
        <v>730</v>
      </c>
      <c r="U43" s="1210"/>
      <c r="V43" s="1210" t="str">
        <f>J39</f>
        <v>SBC % Rev (terminal)</v>
      </c>
      <c r="W43" s="39">
        <f>N39</f>
        <v>-311</v>
      </c>
      <c r="X43" s="39">
        <f>O39</f>
        <v>310</v>
      </c>
      <c r="Y43" s="988">
        <f t="shared" si="2"/>
        <v>770</v>
      </c>
    </row>
    <row r="44" spans="1:25">
      <c r="A44" s="103">
        <v>10</v>
      </c>
      <c r="B44" s="1041" t="s">
        <v>157</v>
      </c>
      <c r="C44" s="1039">
        <v>7261</v>
      </c>
      <c r="D44" s="1039">
        <v>7336</v>
      </c>
      <c r="E44" s="1039">
        <v>7411</v>
      </c>
      <c r="F44" s="1112">
        <v>-75</v>
      </c>
      <c r="G44" s="1113">
        <v>75</v>
      </c>
      <c r="H44" s="1210"/>
      <c r="I44" s="103">
        <v>10</v>
      </c>
      <c r="J44" s="1041" t="s">
        <v>157</v>
      </c>
      <c r="K44" s="1039">
        <v>7993</v>
      </c>
      <c r="L44" s="1039">
        <v>8091</v>
      </c>
      <c r="M44" s="1039">
        <v>8170</v>
      </c>
      <c r="N44" s="1112">
        <v>-98</v>
      </c>
      <c r="O44" s="1113">
        <v>79</v>
      </c>
      <c r="P44" s="1210"/>
      <c r="Q44" s="1210" t="str">
        <f>B38</f>
        <v>R&amp;D % Rev (terminal)</v>
      </c>
      <c r="R44" s="39">
        <f>F38</f>
        <v>365</v>
      </c>
      <c r="S44" s="39">
        <f>G38</f>
        <v>-365</v>
      </c>
      <c r="T44" s="988">
        <f t="shared" si="1"/>
        <v>749</v>
      </c>
      <c r="U44" s="1210"/>
      <c r="V44" s="1210" t="str">
        <f>J38</f>
        <v>R&amp;D % Rev (terminal)</v>
      </c>
      <c r="W44" s="39">
        <f>N38</f>
        <v>423</v>
      </c>
      <c r="X44" s="39">
        <f>O38</f>
        <v>-347</v>
      </c>
      <c r="Y44" s="988">
        <f t="shared" si="2"/>
        <v>826</v>
      </c>
    </row>
    <row r="45" spans="1:25">
      <c r="A45" s="1194">
        <v>11</v>
      </c>
      <c r="B45" s="1111" t="s">
        <v>158</v>
      </c>
      <c r="C45" s="71">
        <v>7264</v>
      </c>
      <c r="D45" s="71">
        <v>7336</v>
      </c>
      <c r="E45" s="71">
        <v>7408</v>
      </c>
      <c r="F45" s="1112">
        <v>-72</v>
      </c>
      <c r="G45" s="1113">
        <v>72</v>
      </c>
      <c r="H45" s="1210"/>
      <c r="I45" s="1194">
        <v>11</v>
      </c>
      <c r="J45" s="1111" t="s">
        <v>158</v>
      </c>
      <c r="K45" s="71">
        <v>8009</v>
      </c>
      <c r="L45" s="71">
        <v>8091</v>
      </c>
      <c r="M45" s="71">
        <v>8157</v>
      </c>
      <c r="N45" s="1112">
        <v>-82</v>
      </c>
      <c r="O45" s="1113">
        <v>66</v>
      </c>
      <c r="P45" s="1210"/>
      <c r="Q45" s="1210" t="str">
        <f>B37</f>
        <v>Bottoms-Up WACC</v>
      </c>
      <c r="R45" s="39">
        <f>F37</f>
        <v>393</v>
      </c>
      <c r="S45" s="39">
        <f>G37</f>
        <v>-356</v>
      </c>
      <c r="T45" s="988">
        <f t="shared" si="1"/>
        <v>1216</v>
      </c>
      <c r="U45" s="1210"/>
      <c r="V45" s="1210" t="str">
        <f>J37</f>
        <v>Bottoms-Up WACC</v>
      </c>
      <c r="W45" s="39">
        <f>N37</f>
        <v>392</v>
      </c>
      <c r="X45" s="39">
        <f>O37</f>
        <v>-434</v>
      </c>
      <c r="Y45" s="988">
        <f t="shared" si="2"/>
        <v>1276</v>
      </c>
    </row>
    <row r="46" spans="1:25">
      <c r="A46" s="103">
        <v>12</v>
      </c>
      <c r="B46" s="1041" t="s">
        <v>159</v>
      </c>
      <c r="C46" s="1039">
        <v>7316</v>
      </c>
      <c r="D46" s="1039">
        <v>7336</v>
      </c>
      <c r="E46" s="1039">
        <v>7356</v>
      </c>
      <c r="F46" s="1112">
        <v>-20</v>
      </c>
      <c r="G46" s="1113">
        <v>20</v>
      </c>
      <c r="H46" s="1210"/>
      <c r="I46" s="103">
        <v>12</v>
      </c>
      <c r="J46" s="1041" t="s">
        <v>159</v>
      </c>
      <c r="K46" s="1039">
        <v>8068</v>
      </c>
      <c r="L46" s="1039">
        <v>8091</v>
      </c>
      <c r="M46" s="1039">
        <v>8109</v>
      </c>
      <c r="N46" s="1112">
        <v>-23</v>
      </c>
      <c r="O46" s="1113">
        <v>18</v>
      </c>
      <c r="P46" s="1210"/>
      <c r="Q46" s="1210" t="str">
        <f>B36</f>
        <v>Terminal EV/Rev Multiple</v>
      </c>
      <c r="R46" s="39">
        <f>F36</f>
        <v>-405</v>
      </c>
      <c r="S46" s="39">
        <f>G36</f>
        <v>811</v>
      </c>
      <c r="T46" s="988">
        <f t="shared" si="1"/>
        <v>0</v>
      </c>
      <c r="U46" s="1210"/>
      <c r="V46" s="1210" t="str">
        <f>J36</f>
        <v>Terminal EV/Rev Multiple</v>
      </c>
      <c r="W46" s="39">
        <f>N36</f>
        <v>-596</v>
      </c>
      <c r="X46" s="39">
        <f>O36</f>
        <v>680</v>
      </c>
      <c r="Y46" s="988">
        <f t="shared" si="2"/>
        <v>0</v>
      </c>
    </row>
    <row r="47" spans="1:25">
      <c r="A47" s="1194">
        <v>13</v>
      </c>
      <c r="B47" s="1111" t="s">
        <v>160</v>
      </c>
      <c r="C47" s="71">
        <v>7319</v>
      </c>
      <c r="D47" s="71">
        <v>7336</v>
      </c>
      <c r="E47" s="71">
        <v>7353</v>
      </c>
      <c r="F47" s="1112">
        <v>-17</v>
      </c>
      <c r="G47" s="1113">
        <v>17</v>
      </c>
      <c r="H47" s="1210"/>
      <c r="I47" s="1194">
        <v>13</v>
      </c>
      <c r="J47" s="1111" t="s">
        <v>160</v>
      </c>
      <c r="K47" s="71">
        <v>8071</v>
      </c>
      <c r="L47" s="71">
        <v>8091</v>
      </c>
      <c r="M47" s="71">
        <v>8106</v>
      </c>
      <c r="N47" s="1112">
        <v>-20</v>
      </c>
      <c r="O47" s="1113">
        <v>15</v>
      </c>
      <c r="P47" s="1210"/>
      <c r="Q47" s="1210"/>
      <c r="R47" s="39"/>
      <c r="S47" s="39"/>
      <c r="T47" s="988"/>
      <c r="U47" s="1210"/>
      <c r="V47" s="1210"/>
      <c r="W47" s="39"/>
      <c r="X47" s="39"/>
      <c r="Y47" s="988"/>
    </row>
    <row r="48" spans="1:25" ht="15.75" thickBot="1">
      <c r="A48" s="1017"/>
      <c r="B48" s="1044"/>
      <c r="C48" s="1058"/>
      <c r="D48" s="1058"/>
      <c r="E48" s="1058"/>
      <c r="F48" s="1114"/>
      <c r="G48" s="1115"/>
      <c r="H48" s="1210"/>
      <c r="I48" s="1017"/>
      <c r="J48" s="1044"/>
      <c r="K48" s="1058"/>
      <c r="L48" s="1058"/>
      <c r="M48" s="1058"/>
      <c r="N48" s="1114"/>
      <c r="O48" s="1115"/>
      <c r="P48" s="1210"/>
      <c r="Q48" s="1210"/>
      <c r="R48" s="39"/>
      <c r="S48" s="39"/>
      <c r="T48" s="988"/>
      <c r="U48" s="1210"/>
      <c r="V48" s="1210"/>
      <c r="W48" s="39"/>
      <c r="X48" s="39"/>
      <c r="Y48" s="988"/>
    </row>
    <row r="51" spans="1:20" ht="18.75">
      <c r="A51" s="1208" t="s">
        <v>161</v>
      </c>
      <c r="B51" s="1210"/>
      <c r="C51" s="1210"/>
      <c r="D51" s="1210"/>
      <c r="E51" s="1210"/>
      <c r="F51" s="1210"/>
      <c r="G51" s="1210"/>
      <c r="H51" s="1210"/>
      <c r="I51" s="1210"/>
      <c r="J51" s="1210"/>
      <c r="K51" s="1210"/>
      <c r="L51" s="1210"/>
      <c r="M51" s="1210"/>
      <c r="N51" s="1210"/>
      <c r="O51" s="1210"/>
      <c r="P51" s="1210"/>
      <c r="Q51" s="1210"/>
      <c r="R51" s="1210"/>
      <c r="S51" s="1210"/>
      <c r="T51" s="1210"/>
    </row>
    <row r="52" spans="1:20">
      <c r="A52" s="1195" t="s">
        <v>162</v>
      </c>
      <c r="B52" s="1210"/>
      <c r="C52" s="1210"/>
      <c r="D52" s="1210"/>
      <c r="E52" s="1210"/>
      <c r="F52" s="1210"/>
      <c r="G52" s="1210"/>
      <c r="H52" s="1210"/>
      <c r="I52" s="1210"/>
      <c r="J52" s="1210"/>
      <c r="K52" s="1210"/>
      <c r="L52" s="1210"/>
      <c r="M52" s="1210"/>
      <c r="N52" s="1210"/>
      <c r="O52" s="1210"/>
      <c r="P52" s="1210"/>
      <c r="Q52" s="1210"/>
      <c r="R52" s="1210"/>
      <c r="S52" s="1210"/>
      <c r="T52" s="1210"/>
    </row>
    <row r="53" spans="1:20" ht="15.75" thickBot="1">
      <c r="A53" s="1210"/>
      <c r="B53" s="1210"/>
      <c r="C53" s="1210"/>
      <c r="D53" s="1210"/>
      <c r="E53" s="1210"/>
      <c r="F53" s="1210"/>
      <c r="G53" s="1210"/>
      <c r="H53" s="1210"/>
      <c r="I53" s="1210"/>
      <c r="J53" s="1210"/>
      <c r="K53" s="1210"/>
      <c r="L53" s="1210"/>
      <c r="M53" s="1210"/>
      <c r="N53" s="1210"/>
      <c r="O53" s="1210"/>
      <c r="P53" s="1210"/>
      <c r="Q53" s="1210"/>
      <c r="R53" s="1210"/>
      <c r="S53" s="1210"/>
      <c r="T53" s="1210"/>
    </row>
    <row r="54" spans="1:20">
      <c r="A54" s="1079" t="s">
        <v>88</v>
      </c>
      <c r="B54" s="1079" t="s">
        <v>163</v>
      </c>
      <c r="C54" s="1079" t="s">
        <v>164</v>
      </c>
      <c r="D54" s="1079" t="s">
        <v>165</v>
      </c>
      <c r="E54" s="1079" t="s">
        <v>166</v>
      </c>
      <c r="F54" s="1045" t="s">
        <v>167</v>
      </c>
      <c r="G54" s="1186" t="s">
        <v>88</v>
      </c>
      <c r="H54" s="1186" t="s">
        <v>163</v>
      </c>
      <c r="I54" s="1186" t="s">
        <v>166</v>
      </c>
      <c r="J54" s="1210"/>
      <c r="K54" s="1210"/>
      <c r="L54" s="1210"/>
      <c r="M54" s="1210"/>
      <c r="N54" s="1210"/>
      <c r="O54" s="1210"/>
      <c r="P54" s="1210"/>
      <c r="Q54" s="788" t="s">
        <v>88</v>
      </c>
      <c r="R54" s="788" t="s">
        <v>168</v>
      </c>
      <c r="S54" s="788" t="s">
        <v>169</v>
      </c>
      <c r="T54" s="788" t="s">
        <v>170</v>
      </c>
    </row>
    <row r="55" spans="1:20">
      <c r="A55" s="1111" t="s">
        <v>171</v>
      </c>
      <c r="B55" s="1116">
        <f>DCF!C60/1000</f>
        <v>2.49675</v>
      </c>
      <c r="C55" s="1116">
        <f>DCF!C61/1000</f>
        <v>7.3205499999999999</v>
      </c>
      <c r="D55" s="1116">
        <f>DCF!C62/1000</f>
        <v>24.65767</v>
      </c>
      <c r="E55" s="135">
        <f t="shared" ref="E55:E61" si="3">D55-B55</f>
        <v>22.160920000000001</v>
      </c>
      <c r="F55" s="1195" t="s">
        <v>172</v>
      </c>
      <c r="G55" s="1186" t="str">
        <f t="shared" ref="G55:H61" si="4">A55</f>
        <v>1. Intrinsic DCF (Bear/Base/Bull)</v>
      </c>
      <c r="H55" s="1187">
        <f t="shared" si="4"/>
        <v>2.49675</v>
      </c>
      <c r="I55" s="1187">
        <f t="shared" ref="I55:I61" si="5">MAX(D55-B55,0.001)</f>
        <v>22.160920000000001</v>
      </c>
      <c r="J55" s="1174"/>
      <c r="K55" s="1210"/>
      <c r="L55" s="1210"/>
      <c r="M55" s="1210"/>
      <c r="N55" s="1210"/>
      <c r="O55" s="1210"/>
      <c r="P55" s="1210"/>
      <c r="Q55" s="1110" t="s">
        <v>173</v>
      </c>
      <c r="R55" s="1118">
        <f>B60</f>
        <v>10.1</v>
      </c>
      <c r="S55" s="1118">
        <f>D60-B60</f>
        <v>0</v>
      </c>
      <c r="T55" s="1118">
        <f>DCF!$C$52/1000</f>
        <v>10.1</v>
      </c>
    </row>
    <row r="56" spans="1:20">
      <c r="A56" s="1041" t="s">
        <v>174</v>
      </c>
      <c r="B56" s="1117" t="s">
        <v>70</v>
      </c>
      <c r="C56" s="1117" t="s">
        <v>70</v>
      </c>
      <c r="D56" s="1117" t="s">
        <v>70</v>
      </c>
      <c r="E56" s="131" t="s">
        <v>70</v>
      </c>
      <c r="F56" s="349" t="s">
        <v>175</v>
      </c>
      <c r="G56" s="1186" t="str">
        <f t="shared" si="4"/>
        <v>1b. DCF + Real Options (excluded from valuation)</v>
      </c>
      <c r="H56" s="1187" t="str">
        <f t="shared" si="4"/>
        <v>n/a</v>
      </c>
      <c r="I56" s="1187" t="s">
        <v>70</v>
      </c>
      <c r="J56" s="1174"/>
      <c r="K56" s="1210"/>
      <c r="L56" s="1210"/>
      <c r="M56" s="1210"/>
      <c r="N56" s="1210"/>
      <c r="O56" s="1210"/>
      <c r="P56" s="1210"/>
      <c r="Q56" s="1110" t="s">
        <v>176</v>
      </c>
      <c r="R56" s="1118">
        <f>B59</f>
        <v>1.177</v>
      </c>
      <c r="S56" s="1118">
        <f>D59-B59</f>
        <v>6.3717500000000005</v>
      </c>
      <c r="T56" s="1118">
        <f>DCF!$C$52/1000</f>
        <v>10.1</v>
      </c>
    </row>
    <row r="57" spans="1:20">
      <c r="A57" s="1177" t="s">
        <v>177</v>
      </c>
      <c r="B57" s="1178">
        <f>Scenarios!F16/1000</f>
        <v>6.8206499999999997</v>
      </c>
      <c r="C57" s="1178">
        <f>Scenarios!F17/1000</f>
        <v>8.18567</v>
      </c>
      <c r="D57" s="1178">
        <f>Scenarios!F18/1000</f>
        <v>8.6639400000000002</v>
      </c>
      <c r="E57" s="1179">
        <f t="shared" si="3"/>
        <v>1.8432900000000005</v>
      </c>
      <c r="F57" s="547" t="s">
        <v>178</v>
      </c>
      <c r="G57" s="1186" t="str">
        <f t="shared" si="4"/>
        <v>1c. ProbWeighted DCF (input-level)</v>
      </c>
      <c r="H57" s="1187">
        <f t="shared" si="4"/>
        <v>6.8206499999999997</v>
      </c>
      <c r="I57" s="1187">
        <f t="shared" si="5"/>
        <v>1.8432900000000005</v>
      </c>
      <c r="J57" s="1174"/>
      <c r="K57" s="1210"/>
      <c r="L57" s="1210"/>
      <c r="M57" s="1210"/>
      <c r="N57" s="1210"/>
      <c r="O57" s="1210"/>
      <c r="P57" s="1210"/>
      <c r="Q57" s="1110" t="s">
        <v>179</v>
      </c>
      <c r="R57" s="1118">
        <f>B58</f>
        <v>8.2327880000000011</v>
      </c>
      <c r="S57" s="1118">
        <f>D58-B58</f>
        <v>5.299039999999998</v>
      </c>
      <c r="T57" s="1118">
        <f>DCF!$C$52/1000</f>
        <v>10.1</v>
      </c>
    </row>
    <row r="58" spans="1:20">
      <c r="A58" s="1180" t="s">
        <v>180</v>
      </c>
      <c r="B58" s="1181">
        <f>Scenarios!E16/1000</f>
        <v>8.2327880000000011</v>
      </c>
      <c r="C58" s="1181">
        <f>Scenarios!E17/1000</f>
        <v>11.556925999999999</v>
      </c>
      <c r="D58" s="1181">
        <f>Scenarios!E18/1000</f>
        <v>13.531827999999999</v>
      </c>
      <c r="E58" s="894">
        <f t="shared" si="3"/>
        <v>5.299039999999998</v>
      </c>
      <c r="F58" s="1182" t="s">
        <v>181</v>
      </c>
      <c r="G58" s="1186" t="str">
        <f t="shared" si="4"/>
        <v>1d. Scenario-Weighted DCF (P·DCF)</v>
      </c>
      <c r="H58" s="1187">
        <f t="shared" si="4"/>
        <v>8.2327880000000011</v>
      </c>
      <c r="I58" s="1187">
        <f t="shared" si="5"/>
        <v>5.299039999999998</v>
      </c>
      <c r="J58" s="1174"/>
      <c r="K58" s="1210"/>
      <c r="L58" s="1210"/>
      <c r="M58" s="1210"/>
      <c r="N58" s="1210"/>
      <c r="O58" s="1210"/>
      <c r="P58" s="1210"/>
      <c r="Q58" s="1110" t="s">
        <v>182</v>
      </c>
      <c r="R58" s="1118">
        <f>B57</f>
        <v>6.8206499999999997</v>
      </c>
      <c r="S58" s="1118">
        <f>D57-B57</f>
        <v>1.8432900000000005</v>
      </c>
      <c r="T58" s="1118">
        <f>DCF!$C$52/1000</f>
        <v>10.1</v>
      </c>
    </row>
    <row r="59" spans="1:20">
      <c r="A59" s="1111" t="s">
        <v>183</v>
      </c>
      <c r="B59" s="1116">
        <f>Comps!D43/1000</f>
        <v>1.177</v>
      </c>
      <c r="C59" s="1116">
        <f>Comps!D55/1000</f>
        <v>3.5726175000000007</v>
      </c>
      <c r="D59" s="1116">
        <f>Comps!D56/1000</f>
        <v>7.5487500000000001</v>
      </c>
      <c r="E59" s="135">
        <f t="shared" si="3"/>
        <v>6.3717500000000005</v>
      </c>
      <c r="F59" s="1195" t="s">
        <v>184</v>
      </c>
      <c r="G59" s="1186" t="str">
        <f t="shared" si="4"/>
        <v>2. Public Comps (Three-Thesis)</v>
      </c>
      <c r="H59" s="1187">
        <f t="shared" si="4"/>
        <v>1.177</v>
      </c>
      <c r="I59" s="1187">
        <f t="shared" si="5"/>
        <v>6.3717500000000005</v>
      </c>
      <c r="J59" s="1174"/>
      <c r="K59" s="1210"/>
      <c r="L59" s="1210"/>
      <c r="M59" s="1210"/>
      <c r="N59" s="1210"/>
      <c r="O59" s="1210"/>
      <c r="P59" s="1210"/>
      <c r="Q59" s="1110" t="s">
        <v>185</v>
      </c>
      <c r="R59" s="1118" t="str">
        <f>B56</f>
        <v>n/a</v>
      </c>
      <c r="S59" s="1118" t="s">
        <v>70</v>
      </c>
      <c r="T59" s="1118">
        <f>DCF!$C$52/1000</f>
        <v>10.1</v>
      </c>
    </row>
    <row r="60" spans="1:20" ht="15.75" thickBot="1">
      <c r="A60" s="1059" t="s">
        <v>186</v>
      </c>
      <c r="B60" s="1175">
        <f>DCF!C52/1000</f>
        <v>10.1</v>
      </c>
      <c r="C60" s="1175">
        <f>DCF!C52/1000</f>
        <v>10.1</v>
      </c>
      <c r="D60" s="1175">
        <f>DCF!C52/1000</f>
        <v>10.1</v>
      </c>
      <c r="E60" s="1176">
        <f t="shared" si="3"/>
        <v>0</v>
      </c>
      <c r="F60" s="349" t="s">
        <v>187</v>
      </c>
      <c r="G60" s="1186" t="str">
        <f t="shared" si="4"/>
        <v>4. Last-Round Implied (Series G)</v>
      </c>
      <c r="H60" s="1187">
        <f t="shared" si="4"/>
        <v>10.1</v>
      </c>
      <c r="I60" s="1187">
        <f t="shared" si="5"/>
        <v>1E-3</v>
      </c>
      <c r="J60" s="1174"/>
      <c r="K60" s="1210"/>
      <c r="L60" s="1210"/>
      <c r="M60" s="1210"/>
      <c r="N60" s="1210"/>
      <c r="O60" s="1210"/>
      <c r="P60" s="1210"/>
      <c r="Q60" s="1110" t="s">
        <v>188</v>
      </c>
      <c r="R60" s="1118">
        <f>B55</f>
        <v>2.49675</v>
      </c>
      <c r="S60" s="1118">
        <f>D55-B55</f>
        <v>22.160920000000001</v>
      </c>
      <c r="T60" s="1118">
        <f>DCF!$C$52/1000</f>
        <v>10.1</v>
      </c>
    </row>
    <row r="61" spans="1:20" ht="15.75" thickBot="1">
      <c r="A61" s="1080" t="s">
        <v>189</v>
      </c>
      <c r="B61" s="1183">
        <f>Assumptions!C94/1000</f>
        <v>13.242222222222221</v>
      </c>
      <c r="C61" s="1183">
        <f>Assumptions!D94/1000</f>
        <v>14.690909090909091</v>
      </c>
      <c r="D61" s="1183">
        <f>Assumptions!E94/1000</f>
        <v>19.713253012048192</v>
      </c>
      <c r="E61" s="1184">
        <f>D61-B61</f>
        <v>6.4710307898259707</v>
      </c>
      <c r="F61" s="1185" t="s">
        <v>190</v>
      </c>
      <c r="G61" s="1186" t="str">
        <f t="shared" si="4"/>
        <v>5. Implied IPO Trading Range</v>
      </c>
      <c r="H61" s="1187">
        <f t="shared" si="4"/>
        <v>13.242222222222221</v>
      </c>
      <c r="I61" s="1187">
        <f t="shared" si="5"/>
        <v>6.4710307898259707</v>
      </c>
      <c r="J61" s="1174"/>
      <c r="K61" s="1210"/>
      <c r="L61" s="1210"/>
      <c r="M61" s="1210"/>
      <c r="N61" s="1210"/>
      <c r="O61" s="1210"/>
      <c r="P61" s="1210"/>
      <c r="Q61" s="1210"/>
      <c r="R61" s="1210"/>
      <c r="S61" s="1210"/>
      <c r="T61" s="1210"/>
    </row>
    <row r="63" spans="1:20" ht="18.75">
      <c r="A63" s="1208" t="s">
        <v>191</v>
      </c>
      <c r="B63" s="1210"/>
      <c r="C63" s="1210"/>
      <c r="D63" s="1210"/>
      <c r="E63" s="1210"/>
      <c r="F63" s="1210"/>
      <c r="G63" s="1210"/>
      <c r="H63" s="1210"/>
      <c r="I63" s="1210"/>
      <c r="J63" s="1210"/>
      <c r="K63" s="1210"/>
      <c r="L63" s="1210"/>
      <c r="M63" s="1210"/>
      <c r="N63" s="1210"/>
      <c r="O63" s="1210"/>
      <c r="P63" s="1210"/>
      <c r="Q63" s="1210"/>
      <c r="R63" s="1210"/>
      <c r="S63" s="1210"/>
      <c r="T63" s="1210"/>
    </row>
    <row r="64" spans="1:20">
      <c r="A64" s="1195" t="s">
        <v>192</v>
      </c>
      <c r="B64" s="1210"/>
      <c r="C64" s="1210"/>
      <c r="D64" s="1210"/>
      <c r="E64" s="1210"/>
      <c r="F64" s="1210"/>
      <c r="G64" s="1210"/>
      <c r="H64" s="1210"/>
      <c r="I64" s="1210"/>
      <c r="J64" s="1210"/>
      <c r="K64" s="1210"/>
      <c r="L64" s="1210"/>
      <c r="M64" s="1210"/>
      <c r="N64" s="1210"/>
      <c r="O64" s="1210"/>
      <c r="P64" s="1210"/>
      <c r="Q64" s="1210"/>
      <c r="R64" s="1210"/>
      <c r="S64" s="1210"/>
      <c r="T64" s="1210"/>
    </row>
    <row r="66" spans="1:8">
      <c r="A66" s="1010" t="s">
        <v>193</v>
      </c>
      <c r="B66" s="1120">
        <f>Sensitivity!B5</f>
        <v>2</v>
      </c>
      <c r="C66" s="1120">
        <f>Sensitivity!C5</f>
        <v>2.5</v>
      </c>
      <c r="D66" s="1120">
        <f>Sensitivity!D5</f>
        <v>3</v>
      </c>
      <c r="E66" s="1120">
        <f>Sensitivity!E5</f>
        <v>3.5</v>
      </c>
      <c r="F66" s="1120">
        <f>Sensitivity!F5</f>
        <v>4</v>
      </c>
      <c r="G66" s="1120">
        <f>Sensitivity!G5</f>
        <v>4.5</v>
      </c>
      <c r="H66" s="1120">
        <f>Sensitivity!H5</f>
        <v>5</v>
      </c>
    </row>
    <row r="67" spans="1:8">
      <c r="A67" s="1121">
        <f>Sensitivity!A6</f>
        <v>0.1009</v>
      </c>
      <c r="B67" s="1122">
        <f>Sensitivity!B6</f>
        <v>5.4764550663515887</v>
      </c>
      <c r="C67" s="1122">
        <f>Sensitivity!C6</f>
        <v>6.3726979227046989</v>
      </c>
      <c r="D67" s="1122">
        <f>Sensitivity!D6</f>
        <v>7.2689407790578091</v>
      </c>
      <c r="E67" s="1122">
        <f>Sensitivity!E6</f>
        <v>8.1651836354109193</v>
      </c>
      <c r="F67" s="1122">
        <f>Sensitivity!F6</f>
        <v>9.0614264917640277</v>
      </c>
      <c r="G67" s="1122">
        <f>Sensitivity!G6</f>
        <v>9.9576693481171379</v>
      </c>
      <c r="H67" s="1122">
        <f>Sensitivity!H6</f>
        <v>10.85391220447025</v>
      </c>
    </row>
    <row r="68" spans="1:8">
      <c r="A68" s="1121">
        <f>Sensitivity!A7</f>
        <v>0.10589999999999999</v>
      </c>
      <c r="B68" s="1122">
        <f>Sensitivity!B7</f>
        <v>5.3146254157985187</v>
      </c>
      <c r="C68" s="1122">
        <f>Sensitivity!C7</f>
        <v>6.1809204192999347</v>
      </c>
      <c r="D68" s="1122">
        <f>Sensitivity!D7</f>
        <v>7.0472154228013508</v>
      </c>
      <c r="E68" s="1122">
        <f>Sensitivity!E7</f>
        <v>7.9135104263027669</v>
      </c>
      <c r="F68" s="1122">
        <f>Sensitivity!F7</f>
        <v>8.7798054298041848</v>
      </c>
      <c r="G68" s="1122">
        <f>Sensitivity!G7</f>
        <v>9.6461004333056</v>
      </c>
      <c r="H68" s="1122">
        <f>Sensitivity!H7</f>
        <v>10.512395436807017</v>
      </c>
    </row>
    <row r="69" spans="1:8" ht="15.75" thickBot="1">
      <c r="A69" s="1121">
        <f>Sensitivity!A8</f>
        <v>0.1109</v>
      </c>
      <c r="B69" s="1122">
        <f>Sensitivity!B8</f>
        <v>5.1585810662261196</v>
      </c>
      <c r="C69" s="1122">
        <f>Sensitivity!C8</f>
        <v>5.9960573056427275</v>
      </c>
      <c r="D69" s="1122">
        <f>Sensitivity!D8</f>
        <v>6.8335335450593337</v>
      </c>
      <c r="E69" s="1122">
        <f>Sensitivity!E8</f>
        <v>7.6710097844759417</v>
      </c>
      <c r="F69" s="1122">
        <f>Sensitivity!F8</f>
        <v>8.5084860238925497</v>
      </c>
      <c r="G69" s="1122">
        <f>Sensitivity!G8</f>
        <v>9.3459622633091559</v>
      </c>
      <c r="H69" s="1122">
        <f>Sensitivity!H8</f>
        <v>10.183438502725767</v>
      </c>
    </row>
    <row r="70" spans="1:8" ht="16.5" thickTop="1" thickBot="1">
      <c r="A70" s="1121">
        <f>Sensitivity!A9</f>
        <v>0.1159</v>
      </c>
      <c r="B70" s="1122">
        <f>Sensitivity!B9</f>
        <v>5.0080866987156369</v>
      </c>
      <c r="C70" s="1122">
        <f>Sensitivity!C9</f>
        <v>5.8178258966171299</v>
      </c>
      <c r="D70" s="1122">
        <f>Sensitivity!D9</f>
        <v>6.6275650945186211</v>
      </c>
      <c r="E70" s="1123">
        <f>Sensitivity!E9</f>
        <v>7.4373042924201123</v>
      </c>
      <c r="F70" s="1122">
        <f>Sensitivity!F9</f>
        <v>8.2470434903216052</v>
      </c>
      <c r="G70" s="1122">
        <f>Sensitivity!G9</f>
        <v>9.0567826882230982</v>
      </c>
      <c r="H70" s="1122">
        <f>Sensitivity!H9</f>
        <v>9.8665218861245911</v>
      </c>
    </row>
    <row r="71" spans="1:8" ht="15.75" thickTop="1">
      <c r="A71" s="1121">
        <f>Sensitivity!A10</f>
        <v>0.12089999999999999</v>
      </c>
      <c r="B71" s="1122">
        <f>Sensitivity!B10</f>
        <v>4.8629176395346949</v>
      </c>
      <c r="C71" s="1122">
        <f>Sensitivity!C10</f>
        <v>5.6459563388290608</v>
      </c>
      <c r="D71" s="1122">
        <f>Sensitivity!D10</f>
        <v>6.4289950381234267</v>
      </c>
      <c r="E71" s="1122">
        <f>Sensitivity!E10</f>
        <v>7.2120337374177925</v>
      </c>
      <c r="F71" s="1122">
        <f>Sensitivity!F10</f>
        <v>7.9950724367121602</v>
      </c>
      <c r="G71" s="1122">
        <f>Sensitivity!G10</f>
        <v>8.778111136006526</v>
      </c>
      <c r="H71" s="1122">
        <f>Sensitivity!H10</f>
        <v>9.5611498353008937</v>
      </c>
    </row>
    <row r="72" spans="1:8">
      <c r="A72" s="1121">
        <f>Sensitivity!A11</f>
        <v>0.12590000000000001</v>
      </c>
      <c r="B72" s="1122">
        <f>Sensitivity!B11</f>
        <v>4.7228593318995209</v>
      </c>
      <c r="C72" s="1122">
        <f>Sensitivity!C11</f>
        <v>5.4801909723050093</v>
      </c>
      <c r="D72" s="1122">
        <f>Sensitivity!D11</f>
        <v>6.2375226127104977</v>
      </c>
      <c r="E72" s="1122">
        <f>Sensitivity!E11</f>
        <v>6.994854253115987</v>
      </c>
      <c r="F72" s="1122">
        <f>Sensitivity!F11</f>
        <v>7.7521858935214771</v>
      </c>
      <c r="G72" s="1122">
        <f>Sensitivity!G11</f>
        <v>8.5095175339269655</v>
      </c>
      <c r="H72" s="1122">
        <f>Sensitivity!H11</f>
        <v>9.266849174332453</v>
      </c>
    </row>
    <row r="73" spans="1:8">
      <c r="A73" s="1121">
        <f>Sensitivity!A12</f>
        <v>0.13089999999999999</v>
      </c>
      <c r="B73" s="1122">
        <f>Sensitivity!B12</f>
        <v>4.5877068362084525</v>
      </c>
      <c r="C73" s="1122">
        <f>Sensitivity!C12</f>
        <v>5.3202837266577241</v>
      </c>
      <c r="D73" s="1122">
        <f>Sensitivity!D12</f>
        <v>6.0528606171069947</v>
      </c>
      <c r="E73" s="1122">
        <f>Sensitivity!E12</f>
        <v>6.7854375075562672</v>
      </c>
      <c r="F73" s="1122">
        <f>Sensitivity!F12</f>
        <v>7.5180143980055396</v>
      </c>
      <c r="G73" s="1122">
        <f>Sensitivity!G12</f>
        <v>8.2505912884548103</v>
      </c>
      <c r="H73" s="1122">
        <f>Sensitivity!H12</f>
        <v>8.9831681789040836</v>
      </c>
    </row>
    <row r="76" spans="1:8" ht="18.75">
      <c r="A76" s="1208" t="s">
        <v>194</v>
      </c>
      <c r="B76" s="1210"/>
      <c r="C76" s="1210"/>
      <c r="D76" s="1210"/>
      <c r="E76" s="1210"/>
      <c r="F76" s="1210"/>
      <c r="G76" s="1210"/>
      <c r="H76" s="1210"/>
    </row>
    <row r="77" spans="1:8">
      <c r="A77" s="1195" t="s">
        <v>195</v>
      </c>
      <c r="B77" s="1210"/>
      <c r="C77" s="1210"/>
      <c r="D77" s="1210"/>
      <c r="E77" s="1210"/>
      <c r="F77" s="1210"/>
      <c r="G77" s="1210"/>
      <c r="H77" s="1210"/>
    </row>
    <row r="79" spans="1:8">
      <c r="A79" s="1066" t="s">
        <v>196</v>
      </c>
      <c r="B79" s="1066" t="s">
        <v>89</v>
      </c>
      <c r="C79" s="1066" t="s">
        <v>197</v>
      </c>
      <c r="D79" s="1066" t="s">
        <v>198</v>
      </c>
      <c r="E79" s="1210"/>
      <c r="F79" s="1210"/>
      <c r="G79" s="1210"/>
      <c r="H79" s="1210"/>
    </row>
    <row r="80" spans="1:8">
      <c r="A80" s="1124" t="s">
        <v>199</v>
      </c>
      <c r="B80" s="1125">
        <f>DCF!C60</f>
        <v>2496.75</v>
      </c>
      <c r="C80" s="1126">
        <f>B80/DCF!$C$52-1</f>
        <v>-0.75279702970297024</v>
      </c>
      <c r="D80" s="1135" t="s">
        <v>200</v>
      </c>
      <c r="E80" s="1210"/>
      <c r="F80" s="1210"/>
      <c r="G80" s="1210"/>
      <c r="H80" s="1210"/>
    </row>
    <row r="81" spans="1:4">
      <c r="A81" s="1012" t="s">
        <v>201</v>
      </c>
      <c r="B81" s="1013">
        <f>DCF!C61</f>
        <v>7320.55</v>
      </c>
      <c r="C81" s="1127">
        <f>B81/DCF!$C$52-1</f>
        <v>-0.27519306930693066</v>
      </c>
      <c r="D81" s="1136" t="s">
        <v>202</v>
      </c>
    </row>
    <row r="82" spans="1:4">
      <c r="A82" s="1128" t="s">
        <v>203</v>
      </c>
      <c r="B82" s="1129">
        <f>DCF!C62</f>
        <v>24657.67</v>
      </c>
      <c r="C82" s="1130">
        <f>B82/DCF!$C$52-1</f>
        <v>1.4413534653465345</v>
      </c>
      <c r="D82" s="1137" t="s">
        <v>204</v>
      </c>
    </row>
    <row r="83" spans="1:4">
      <c r="A83" s="787" t="s">
        <v>205</v>
      </c>
      <c r="B83" s="1046">
        <f>DCF!C63</f>
        <v>8185.67</v>
      </c>
      <c r="C83" s="1131">
        <f>B83/DCF!$C$52-1</f>
        <v>-0.18953762376237626</v>
      </c>
      <c r="D83" s="1138" t="s">
        <v>206</v>
      </c>
    </row>
    <row r="84" spans="1:4">
      <c r="A84" s="1132" t="s">
        <v>94</v>
      </c>
      <c r="B84" s="1014">
        <f>DCF!C65</f>
        <v>11556.925999999999</v>
      </c>
      <c r="C84" s="1133">
        <f>B84/DCF!$C$52-1</f>
        <v>0.14425009900990093</v>
      </c>
      <c r="D84" s="1139" t="s">
        <v>207</v>
      </c>
    </row>
    <row r="85" spans="1:4">
      <c r="A85" s="103" t="s">
        <v>95</v>
      </c>
      <c r="B85" s="231">
        <f>DCF!C52</f>
        <v>10100</v>
      </c>
      <c r="C85" s="1134">
        <f>B85/DCF!$C$52-1</f>
        <v>0</v>
      </c>
      <c r="D85" s="1140" t="s">
        <v>208</v>
      </c>
    </row>
    <row r="86" spans="1:4" ht="15.75" thickBot="1">
      <c r="A86" s="1141" t="s">
        <v>209</v>
      </c>
      <c r="B86" s="1142">
        <f>DCF!C65-DCF!C63</f>
        <v>3371.2559999999994</v>
      </c>
      <c r="C86" s="1143">
        <f>B86/DCF!$C$52</f>
        <v>0.3337877227722772</v>
      </c>
      <c r="D86" s="1144" t="s">
        <v>210</v>
      </c>
    </row>
    <row r="87" spans="1:4">
      <c r="A87" s="1210"/>
      <c r="B87" s="1188"/>
      <c r="C87" s="1210"/>
      <c r="D87" s="1210"/>
    </row>
  </sheetData>
  <conditionalFormatting sqref="B67:H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N285"/>
  <sheetViews>
    <sheetView showGridLines="0" topLeftCell="A207" zoomScale="125" zoomScaleNormal="100" workbookViewId="0">
      <selection activeCell="C245" sqref="C245"/>
    </sheetView>
  </sheetViews>
  <sheetFormatPr defaultColWidth="8.85546875" defaultRowHeight="15"/>
  <cols>
    <col min="1" max="1" width="13.28515625" customWidth="1"/>
    <col min="2" max="2" width="36.7109375" customWidth="1"/>
    <col min="3" max="5" width="11.7109375" customWidth="1"/>
    <col min="6" max="6" width="13.28515625" customWidth="1"/>
    <col min="7" max="9" width="10.85546875" customWidth="1"/>
    <col min="10" max="10" width="13.28515625" customWidth="1"/>
    <col min="11" max="11" width="12.42578125" customWidth="1"/>
  </cols>
  <sheetData>
    <row r="1" spans="1:14" ht="27.95" customHeight="1">
      <c r="A1" s="1491" t="s">
        <v>211</v>
      </c>
      <c r="B1" s="1491"/>
      <c r="C1" s="1491"/>
      <c r="D1" s="1491"/>
      <c r="E1" s="1491"/>
      <c r="F1" s="1491"/>
      <c r="G1" s="1491"/>
      <c r="H1" s="1491"/>
      <c r="I1" s="1491"/>
      <c r="J1" s="1491"/>
      <c r="K1" s="1491"/>
      <c r="L1" s="1491"/>
      <c r="M1" s="1491"/>
      <c r="N1" s="1491"/>
    </row>
    <row r="2" spans="1:14">
      <c r="A2" s="924" t="s">
        <v>212</v>
      </c>
      <c r="B2" s="159" t="s">
        <v>213</v>
      </c>
      <c r="C2" s="908">
        <v>0.2</v>
      </c>
      <c r="D2" s="159" t="s">
        <v>214</v>
      </c>
      <c r="E2" s="908">
        <v>0.5</v>
      </c>
      <c r="F2" s="159" t="s">
        <v>215</v>
      </c>
      <c r="G2" s="908">
        <v>0.3</v>
      </c>
      <c r="H2" s="159" t="s">
        <v>216</v>
      </c>
      <c r="I2" s="907">
        <f>C2+E2+G2</f>
        <v>1</v>
      </c>
      <c r="J2" s="1210"/>
      <c r="K2" s="1210"/>
      <c r="L2" s="1210"/>
      <c r="M2" s="1210"/>
      <c r="N2" s="1210"/>
    </row>
    <row r="3" spans="1:14" ht="21.95" customHeight="1">
      <c r="A3" s="51" t="s">
        <v>217</v>
      </c>
      <c r="B3" s="518" t="s">
        <v>106</v>
      </c>
      <c r="C3" s="1506" t="s">
        <v>218</v>
      </c>
      <c r="D3" s="1507"/>
      <c r="E3" s="1507"/>
      <c r="F3" s="1507"/>
      <c r="G3" s="1507"/>
      <c r="H3" s="1507"/>
      <c r="I3" s="1507"/>
      <c r="J3" s="1210"/>
      <c r="K3" s="1210"/>
      <c r="L3" s="1210"/>
      <c r="M3" s="1210"/>
      <c r="N3" s="1210"/>
    </row>
    <row r="5" spans="1:14" ht="21.95" customHeight="1">
      <c r="A5" s="520" t="s">
        <v>219</v>
      </c>
      <c r="B5" s="520" t="s">
        <v>220</v>
      </c>
      <c r="C5" s="519" t="s">
        <v>105</v>
      </c>
      <c r="D5" s="519" t="s">
        <v>106</v>
      </c>
      <c r="E5" s="519" t="s">
        <v>107</v>
      </c>
      <c r="F5" s="519" t="s">
        <v>221</v>
      </c>
      <c r="G5" s="519" t="s">
        <v>222</v>
      </c>
      <c r="H5" s="519" t="s">
        <v>223</v>
      </c>
      <c r="I5" s="520" t="s">
        <v>198</v>
      </c>
      <c r="J5" s="901" t="s">
        <v>108</v>
      </c>
      <c r="K5" s="1210"/>
      <c r="L5" s="1210"/>
      <c r="M5" s="1210"/>
      <c r="N5" s="1210"/>
    </row>
    <row r="6" spans="1:14">
      <c r="A6" s="1210"/>
      <c r="B6" s="1210"/>
      <c r="C6" s="1210"/>
      <c r="D6" s="1210"/>
      <c r="E6" s="1210"/>
      <c r="F6" s="530"/>
      <c r="G6" s="1210"/>
      <c r="H6" s="1210"/>
      <c r="I6" s="1210"/>
      <c r="J6" s="1210"/>
      <c r="K6" s="1210"/>
      <c r="L6" s="1210"/>
      <c r="M6" s="1210"/>
      <c r="N6" s="1210"/>
    </row>
    <row r="7" spans="1:14" ht="21.95" customHeight="1">
      <c r="A7" s="1492" t="s">
        <v>224</v>
      </c>
      <c r="B7" s="1492"/>
      <c r="C7" s="1492"/>
      <c r="D7" s="1492"/>
      <c r="E7" s="1492"/>
      <c r="F7" s="1492"/>
      <c r="G7" s="1492"/>
      <c r="H7" s="1492"/>
      <c r="I7" s="1492"/>
      <c r="J7" s="1210"/>
      <c r="K7" s="1210"/>
      <c r="L7" s="1210"/>
      <c r="M7" s="1210"/>
      <c r="N7" s="1210"/>
    </row>
    <row r="8" spans="1:14" ht="96">
      <c r="A8" s="201" t="s">
        <v>225</v>
      </c>
      <c r="B8" s="396" t="s">
        <v>226</v>
      </c>
      <c r="C8" s="551">
        <v>1.5</v>
      </c>
      <c r="D8" s="551">
        <v>1.3</v>
      </c>
      <c r="E8" s="551">
        <v>1.1000000000000001</v>
      </c>
      <c r="F8" s="531">
        <f t="shared" ref="F8:F27" si="0">IF($B$3="Bear",C8,IF($B$3="Bull",E8,D8))</f>
        <v>1.3</v>
      </c>
      <c r="G8" s="552" t="s">
        <v>227</v>
      </c>
      <c r="H8" s="552" t="s">
        <v>228</v>
      </c>
      <c r="I8" s="553" t="s">
        <v>229</v>
      </c>
      <c r="J8" s="1210"/>
      <c r="K8" s="1210"/>
      <c r="L8" s="1210"/>
      <c r="M8" s="1210"/>
      <c r="N8" s="1210"/>
    </row>
    <row r="9" spans="1:14" ht="60">
      <c r="A9" s="3" t="s">
        <v>230</v>
      </c>
      <c r="B9" s="18" t="s">
        <v>231</v>
      </c>
      <c r="C9" s="15">
        <v>2.2999999999999998</v>
      </c>
      <c r="D9" s="15">
        <v>2.5</v>
      </c>
      <c r="E9" s="15">
        <v>2.7</v>
      </c>
      <c r="F9" s="531">
        <f t="shared" si="0"/>
        <v>2.5</v>
      </c>
      <c r="G9" s="521" t="s">
        <v>232</v>
      </c>
      <c r="H9" s="521" t="s">
        <v>233</v>
      </c>
      <c r="I9" s="1385" t="s">
        <v>234</v>
      </c>
      <c r="J9" s="1210"/>
      <c r="K9" s="1210"/>
      <c r="L9" s="1210"/>
      <c r="M9" s="1210"/>
      <c r="N9" s="1210"/>
    </row>
    <row r="10" spans="1:14" ht="96">
      <c r="A10" s="201" t="s">
        <v>235</v>
      </c>
      <c r="B10" s="396" t="s">
        <v>236</v>
      </c>
      <c r="C10" s="551">
        <f>(C8+C9)/2</f>
        <v>1.9</v>
      </c>
      <c r="D10" s="551">
        <f>(D8+D9)/2</f>
        <v>1.9</v>
      </c>
      <c r="E10" s="551">
        <f>(E8+E9)/2</f>
        <v>1.9000000000000001</v>
      </c>
      <c r="F10" s="531">
        <f t="shared" si="0"/>
        <v>1.9</v>
      </c>
      <c r="G10" s="552" t="s">
        <v>237</v>
      </c>
      <c r="H10" s="552" t="s">
        <v>233</v>
      </c>
      <c r="I10" s="553" t="s">
        <v>238</v>
      </c>
      <c r="J10" s="1210"/>
      <c r="K10" s="1210"/>
      <c r="L10" s="1210"/>
      <c r="M10" s="1210"/>
      <c r="N10" s="1210"/>
    </row>
    <row r="11" spans="1:14" ht="288">
      <c r="A11" s="3" t="s">
        <v>239</v>
      </c>
      <c r="B11" s="18" t="s">
        <v>240</v>
      </c>
      <c r="C11" s="52">
        <v>270</v>
      </c>
      <c r="D11" s="72">
        <f>ARPU!D10</f>
        <v>274</v>
      </c>
      <c r="E11" s="52">
        <v>340</v>
      </c>
      <c r="F11" s="532">
        <f t="shared" si="0"/>
        <v>274</v>
      </c>
      <c r="G11" s="521" t="s">
        <v>227</v>
      </c>
      <c r="H11" s="521" t="s">
        <v>233</v>
      </c>
      <c r="I11" s="1385" t="s">
        <v>241</v>
      </c>
      <c r="J11" s="1210"/>
      <c r="K11" s="1210"/>
      <c r="L11" s="1210"/>
      <c r="M11" s="1210"/>
      <c r="N11" s="1210"/>
    </row>
    <row r="12" spans="1:14" ht="228">
      <c r="A12" s="201" t="s">
        <v>242</v>
      </c>
      <c r="B12" s="396" t="s">
        <v>243</v>
      </c>
      <c r="C12" s="554">
        <f>C10*C11</f>
        <v>513</v>
      </c>
      <c r="D12" s="554">
        <f>D10*D11</f>
        <v>520.6</v>
      </c>
      <c r="E12" s="554">
        <f>E10*E11</f>
        <v>646</v>
      </c>
      <c r="F12" s="532">
        <f t="shared" si="0"/>
        <v>520.6</v>
      </c>
      <c r="G12" s="552" t="s">
        <v>237</v>
      </c>
      <c r="H12" s="552" t="s">
        <v>233</v>
      </c>
      <c r="I12" s="553" t="s">
        <v>244</v>
      </c>
      <c r="J12" s="1210"/>
      <c r="K12" s="1210"/>
      <c r="L12" s="1210"/>
      <c r="M12" s="1210"/>
      <c r="N12" s="1210"/>
    </row>
    <row r="13" spans="1:14" ht="144">
      <c r="A13" s="3" t="s">
        <v>245</v>
      </c>
      <c r="B13" s="18" t="s">
        <v>246</v>
      </c>
      <c r="C13" s="52">
        <v>1100</v>
      </c>
      <c r="D13" s="52">
        <v>1100</v>
      </c>
      <c r="E13" s="52">
        <v>1100</v>
      </c>
      <c r="F13" s="532">
        <f t="shared" si="0"/>
        <v>1100</v>
      </c>
      <c r="G13" s="521" t="s">
        <v>232</v>
      </c>
      <c r="H13" s="521" t="s">
        <v>247</v>
      </c>
      <c r="I13" s="1385" t="s">
        <v>248</v>
      </c>
      <c r="J13" s="1210"/>
      <c r="K13" s="1210"/>
      <c r="L13" s="1210"/>
      <c r="M13" s="1210"/>
      <c r="N13" s="1210"/>
    </row>
    <row r="14" spans="1:14" ht="36">
      <c r="A14" s="201" t="s">
        <v>249</v>
      </c>
      <c r="B14" s="396" t="s">
        <v>250</v>
      </c>
      <c r="C14" s="555">
        <v>0.8</v>
      </c>
      <c r="D14" s="555">
        <v>0.85</v>
      </c>
      <c r="E14" s="555">
        <v>0.88</v>
      </c>
      <c r="F14" s="533">
        <f t="shared" si="0"/>
        <v>0.85</v>
      </c>
      <c r="G14" s="552" t="s">
        <v>251</v>
      </c>
      <c r="H14" s="552" t="s">
        <v>228</v>
      </c>
      <c r="I14" s="553" t="s">
        <v>252</v>
      </c>
      <c r="J14" s="1210"/>
      <c r="K14" s="1210"/>
      <c r="L14" s="1210"/>
      <c r="M14" s="1210"/>
      <c r="N14" s="1210"/>
    </row>
    <row r="15" spans="1:14" ht="48">
      <c r="A15" s="3" t="s">
        <v>253</v>
      </c>
      <c r="B15" s="18" t="s">
        <v>254</v>
      </c>
      <c r="C15" s="16">
        <v>1.03</v>
      </c>
      <c r="D15" s="16">
        <v>1.03</v>
      </c>
      <c r="E15" s="16">
        <v>1.03</v>
      </c>
      <c r="F15" s="533">
        <f t="shared" si="0"/>
        <v>1.03</v>
      </c>
      <c r="G15" s="521" t="s">
        <v>232</v>
      </c>
      <c r="H15" s="521" t="s">
        <v>247</v>
      </c>
      <c r="I15" s="1385" t="s">
        <v>255</v>
      </c>
      <c r="J15" s="1210"/>
      <c r="K15" s="1210"/>
      <c r="L15" s="1210"/>
      <c r="M15" s="1210"/>
      <c r="N15" s="1210"/>
    </row>
    <row r="16" spans="1:14" ht="72">
      <c r="A16" s="201" t="s">
        <v>256</v>
      </c>
      <c r="B16" s="396" t="s">
        <v>257</v>
      </c>
      <c r="C16" s="555">
        <v>0.5</v>
      </c>
      <c r="D16" s="555">
        <v>0.7</v>
      </c>
      <c r="E16" s="555">
        <v>0.9</v>
      </c>
      <c r="F16" s="533">
        <f t="shared" si="0"/>
        <v>0.7</v>
      </c>
      <c r="G16" s="552" t="s">
        <v>227</v>
      </c>
      <c r="H16" s="552" t="s">
        <v>233</v>
      </c>
      <c r="I16" s="553" t="s">
        <v>258</v>
      </c>
      <c r="J16" s="1210"/>
      <c r="K16" s="1210"/>
      <c r="L16" s="1210"/>
      <c r="M16" s="1210"/>
      <c r="N16" s="1210"/>
    </row>
    <row r="17" spans="1:10" ht="84">
      <c r="A17" s="3" t="s">
        <v>259</v>
      </c>
      <c r="B17" s="18" t="s">
        <v>260</v>
      </c>
      <c r="C17" s="16">
        <v>0.15</v>
      </c>
      <c r="D17" s="16">
        <v>0.25</v>
      </c>
      <c r="E17" s="16">
        <v>0.4</v>
      </c>
      <c r="F17" s="533">
        <f t="shared" si="0"/>
        <v>0.25</v>
      </c>
      <c r="G17" s="521" t="s">
        <v>227</v>
      </c>
      <c r="H17" s="521" t="s">
        <v>233</v>
      </c>
      <c r="I17" s="1385" t="s">
        <v>261</v>
      </c>
      <c r="J17" s="1210"/>
    </row>
    <row r="18" spans="1:10" ht="48">
      <c r="A18" s="201" t="s">
        <v>262</v>
      </c>
      <c r="B18" s="396" t="s">
        <v>263</v>
      </c>
      <c r="C18" s="555">
        <v>0.05</v>
      </c>
      <c r="D18" s="555">
        <v>0.12</v>
      </c>
      <c r="E18" s="555">
        <v>0.2</v>
      </c>
      <c r="F18" s="533">
        <f t="shared" si="0"/>
        <v>0.12</v>
      </c>
      <c r="G18" s="552" t="s">
        <v>227</v>
      </c>
      <c r="H18" s="552" t="s">
        <v>228</v>
      </c>
      <c r="I18" s="553" t="s">
        <v>264</v>
      </c>
      <c r="J18" s="1210"/>
    </row>
    <row r="19" spans="1:10" ht="84">
      <c r="A19" s="54" t="s">
        <v>265</v>
      </c>
      <c r="B19" s="55" t="s">
        <v>266</v>
      </c>
      <c r="C19" s="20">
        <v>0.3</v>
      </c>
      <c r="D19" s="20">
        <v>0.22</v>
      </c>
      <c r="E19" s="20">
        <v>0.15</v>
      </c>
      <c r="F19" s="533">
        <f>IF($B$3="Bear",C19,IF($B$3="Bull",E19,D19))</f>
        <v>0.22</v>
      </c>
      <c r="G19" s="522" t="s">
        <v>227</v>
      </c>
      <c r="H19" s="56" t="s">
        <v>233</v>
      </c>
      <c r="I19" s="546" t="s">
        <v>267</v>
      </c>
      <c r="J19" s="902"/>
    </row>
    <row r="20" spans="1:10" ht="24">
      <c r="A20" s="201" t="s">
        <v>268</v>
      </c>
      <c r="B20" s="396" t="s">
        <v>269</v>
      </c>
      <c r="C20" s="555">
        <v>0.18</v>
      </c>
      <c r="D20" s="555">
        <v>0.15</v>
      </c>
      <c r="E20" s="555">
        <v>0.1</v>
      </c>
      <c r="F20" s="533">
        <f>IF($B$3="Bear",C20,IF($B$3="Bull",E20,D20))</f>
        <v>0.15</v>
      </c>
      <c r="G20" s="552" t="s">
        <v>227</v>
      </c>
      <c r="H20" s="556" t="s">
        <v>233</v>
      </c>
      <c r="I20" s="553" t="s">
        <v>270</v>
      </c>
      <c r="J20" s="902"/>
    </row>
    <row r="21" spans="1:10" ht="48">
      <c r="A21" s="54" t="s">
        <v>271</v>
      </c>
      <c r="B21" s="55" t="s">
        <v>272</v>
      </c>
      <c r="C21" s="20">
        <v>0.12</v>
      </c>
      <c r="D21" s="20">
        <v>0.12</v>
      </c>
      <c r="E21" s="20">
        <v>0.05</v>
      </c>
      <c r="F21" s="533">
        <f>IF($B$3="Bear",C21,IF($B$3="Bull",E21,IF($B$3="ProbWeighted",J21,D21)))</f>
        <v>0.12</v>
      </c>
      <c r="G21" s="522" t="s">
        <v>227</v>
      </c>
      <c r="H21" s="56" t="s">
        <v>233</v>
      </c>
      <c r="I21" s="546" t="s">
        <v>273</v>
      </c>
      <c r="J21" s="902">
        <f>$C$2*C21+$E$2*D21+$G$2*E21</f>
        <v>9.8999999999999991E-2</v>
      </c>
    </row>
    <row r="22" spans="1:10" ht="72">
      <c r="A22" s="3" t="s">
        <v>274</v>
      </c>
      <c r="B22" s="18" t="s">
        <v>275</v>
      </c>
      <c r="C22" s="16">
        <v>0.12</v>
      </c>
      <c r="D22" s="16">
        <v>0.18</v>
      </c>
      <c r="E22" s="16">
        <v>0.25</v>
      </c>
      <c r="F22" s="533">
        <f t="shared" si="0"/>
        <v>0.18</v>
      </c>
      <c r="G22" s="521" t="s">
        <v>251</v>
      </c>
      <c r="H22" s="521" t="s">
        <v>276</v>
      </c>
      <c r="I22" s="1385" t="s">
        <v>277</v>
      </c>
      <c r="J22" s="1210"/>
    </row>
    <row r="23" spans="1:10" ht="168">
      <c r="A23" s="54" t="s">
        <v>278</v>
      </c>
      <c r="B23" s="55" t="s">
        <v>279</v>
      </c>
      <c r="C23" s="20">
        <v>0.03</v>
      </c>
      <c r="D23" s="20">
        <v>0.1</v>
      </c>
      <c r="E23" s="20">
        <v>0.25</v>
      </c>
      <c r="F23" s="533">
        <f t="shared" si="0"/>
        <v>0.1</v>
      </c>
      <c r="G23" s="522" t="s">
        <v>227</v>
      </c>
      <c r="H23" s="56" t="s">
        <v>233</v>
      </c>
      <c r="I23" s="546" t="s">
        <v>280</v>
      </c>
      <c r="J23" s="1210"/>
    </row>
    <row r="24" spans="1:10" ht="72">
      <c r="A24" s="54" t="s">
        <v>281</v>
      </c>
      <c r="B24" s="55" t="s">
        <v>282</v>
      </c>
      <c r="C24" s="57">
        <v>250</v>
      </c>
      <c r="D24" s="57">
        <v>300</v>
      </c>
      <c r="E24" s="57">
        <v>350</v>
      </c>
      <c r="F24" s="532">
        <f t="shared" si="0"/>
        <v>300</v>
      </c>
      <c r="G24" s="522" t="s">
        <v>227</v>
      </c>
      <c r="H24" s="56" t="s">
        <v>228</v>
      </c>
      <c r="I24" s="546" t="s">
        <v>283</v>
      </c>
      <c r="J24" s="1210"/>
    </row>
    <row r="25" spans="1:10" ht="48">
      <c r="A25" s="3" t="s">
        <v>284</v>
      </c>
      <c r="B25" s="18" t="s">
        <v>285</v>
      </c>
      <c r="C25" s="16">
        <v>0.02</v>
      </c>
      <c r="D25" s="16">
        <v>0.03</v>
      </c>
      <c r="E25" s="16">
        <v>0.04</v>
      </c>
      <c r="F25" s="533">
        <f t="shared" si="0"/>
        <v>0.03</v>
      </c>
      <c r="G25" s="521" t="s">
        <v>227</v>
      </c>
      <c r="H25" s="521" t="s">
        <v>276</v>
      </c>
      <c r="I25" s="1385" t="s">
        <v>286</v>
      </c>
      <c r="J25" s="1210"/>
    </row>
    <row r="26" spans="1:10" ht="144">
      <c r="A26" s="54" t="s">
        <v>287</v>
      </c>
      <c r="B26" s="55" t="s">
        <v>288</v>
      </c>
      <c r="C26" s="21">
        <v>1.5</v>
      </c>
      <c r="D26" s="21">
        <v>1.9</v>
      </c>
      <c r="E26" s="21">
        <v>2.2999999999999998</v>
      </c>
      <c r="F26" s="531">
        <f t="shared" si="0"/>
        <v>1.9</v>
      </c>
      <c r="G26" s="522" t="s">
        <v>227</v>
      </c>
      <c r="H26" s="56" t="s">
        <v>233</v>
      </c>
      <c r="I26" s="546" t="s">
        <v>289</v>
      </c>
      <c r="J26" s="1210"/>
    </row>
    <row r="27" spans="1:10" ht="96">
      <c r="A27" s="3" t="s">
        <v>290</v>
      </c>
      <c r="B27" s="18" t="s">
        <v>291</v>
      </c>
      <c r="C27" s="16">
        <v>-0.1</v>
      </c>
      <c r="D27" s="16">
        <v>-0.08</v>
      </c>
      <c r="E27" s="16">
        <v>-0.05</v>
      </c>
      <c r="F27" s="533">
        <f t="shared" si="0"/>
        <v>-0.08</v>
      </c>
      <c r="G27" s="521" t="s">
        <v>227</v>
      </c>
      <c r="H27" s="521" t="s">
        <v>276</v>
      </c>
      <c r="I27" s="1385" t="s">
        <v>292</v>
      </c>
      <c r="J27" s="1210"/>
    </row>
    <row r="28" spans="1:10">
      <c r="A28" s="1194"/>
      <c r="B28" s="1194"/>
      <c r="C28" s="1192"/>
      <c r="D28" s="1192"/>
      <c r="E28" s="1192"/>
      <c r="F28" s="1193"/>
      <c r="G28" s="1194"/>
      <c r="H28" s="1194"/>
      <c r="I28" s="1195"/>
      <c r="J28" s="1210"/>
    </row>
    <row r="29" spans="1:10" ht="21.95" customHeight="1">
      <c r="A29" s="1492" t="s">
        <v>293</v>
      </c>
      <c r="B29" s="1493"/>
      <c r="C29" s="1493"/>
      <c r="D29" s="1493"/>
      <c r="E29" s="1493"/>
      <c r="F29" s="1493"/>
      <c r="G29" s="1493"/>
      <c r="H29" s="1493"/>
      <c r="I29" s="1493"/>
      <c r="J29" s="1210"/>
    </row>
    <row r="30" spans="1:10" ht="84">
      <c r="A30" s="54" t="s">
        <v>294</v>
      </c>
      <c r="B30" s="55" t="s">
        <v>295</v>
      </c>
      <c r="C30" s="57">
        <v>100</v>
      </c>
      <c r="D30" s="57">
        <v>80</v>
      </c>
      <c r="E30" s="57">
        <v>60</v>
      </c>
      <c r="F30" s="532">
        <f t="shared" ref="F30:F50" si="1">IF($B$3="Bear",C30,IF($B$3="Bull",E30,D30))</f>
        <v>80</v>
      </c>
      <c r="G30" s="522" t="s">
        <v>227</v>
      </c>
      <c r="H30" s="56" t="s">
        <v>233</v>
      </c>
      <c r="I30" s="546" t="s">
        <v>296</v>
      </c>
      <c r="J30" s="1210"/>
    </row>
    <row r="31" spans="1:10" ht="84">
      <c r="A31" s="54" t="s">
        <v>297</v>
      </c>
      <c r="B31" s="55" t="s">
        <v>298</v>
      </c>
      <c r="C31" s="57">
        <v>150</v>
      </c>
      <c r="D31" s="57">
        <v>120</v>
      </c>
      <c r="E31" s="57">
        <v>90</v>
      </c>
      <c r="F31" s="532">
        <f t="shared" si="1"/>
        <v>120</v>
      </c>
      <c r="G31" s="522" t="s">
        <v>227</v>
      </c>
      <c r="H31" s="56" t="s">
        <v>233</v>
      </c>
      <c r="I31" s="546" t="s">
        <v>299</v>
      </c>
      <c r="J31" s="1210"/>
    </row>
    <row r="32" spans="1:10" ht="72">
      <c r="A32" s="3" t="s">
        <v>300</v>
      </c>
      <c r="B32" s="18" t="s">
        <v>301</v>
      </c>
      <c r="C32" s="16">
        <v>0.15</v>
      </c>
      <c r="D32" s="16">
        <v>0.1</v>
      </c>
      <c r="E32" s="16">
        <v>0.08</v>
      </c>
      <c r="F32" s="533">
        <f t="shared" si="1"/>
        <v>0.1</v>
      </c>
      <c r="G32" s="521" t="s">
        <v>227</v>
      </c>
      <c r="H32" s="521" t="s">
        <v>228</v>
      </c>
      <c r="I32" s="1385" t="s">
        <v>302</v>
      </c>
      <c r="J32" s="1210"/>
    </row>
    <row r="33" spans="1:10" ht="96">
      <c r="A33" s="3" t="s">
        <v>303</v>
      </c>
      <c r="B33" s="18" t="s">
        <v>304</v>
      </c>
      <c r="C33" s="16">
        <v>0.72</v>
      </c>
      <c r="D33" s="16">
        <v>0.78</v>
      </c>
      <c r="E33" s="16">
        <v>0.83</v>
      </c>
      <c r="F33" s="533">
        <f t="shared" si="1"/>
        <v>0.78</v>
      </c>
      <c r="G33" s="521" t="s">
        <v>227</v>
      </c>
      <c r="H33" s="521" t="s">
        <v>233</v>
      </c>
      <c r="I33" s="1385" t="s">
        <v>305</v>
      </c>
      <c r="J33" s="1210"/>
    </row>
    <row r="34" spans="1:10" ht="72">
      <c r="A34" s="3" t="s">
        <v>306</v>
      </c>
      <c r="B34" s="18" t="s">
        <v>307</v>
      </c>
      <c r="C34" s="16">
        <v>-0.1</v>
      </c>
      <c r="D34" s="16">
        <v>-0.02</v>
      </c>
      <c r="E34" s="16">
        <v>0.05</v>
      </c>
      <c r="F34" s="533">
        <f t="shared" si="1"/>
        <v>-0.02</v>
      </c>
      <c r="G34" s="521" t="s">
        <v>227</v>
      </c>
      <c r="H34" s="521" t="s">
        <v>233</v>
      </c>
      <c r="I34" s="1385" t="s">
        <v>308</v>
      </c>
      <c r="J34" s="1210"/>
    </row>
    <row r="35" spans="1:10" ht="21.95" customHeight="1">
      <c r="A35" s="3" t="s">
        <v>309</v>
      </c>
      <c r="B35" s="3" t="s">
        <v>310</v>
      </c>
      <c r="C35" s="562">
        <v>0.56000000000000005</v>
      </c>
      <c r="D35" s="562">
        <v>0.6</v>
      </c>
      <c r="E35" s="562">
        <v>0.64</v>
      </c>
      <c r="F35" s="642">
        <f>IF($B$3="Bear",C35,IF($B$3="Bull",E35,D35))</f>
        <v>0.6</v>
      </c>
      <c r="G35" s="3" t="s">
        <v>227</v>
      </c>
      <c r="H35" s="3" t="s">
        <v>228</v>
      </c>
      <c r="I35" s="896" t="s">
        <v>311</v>
      </c>
      <c r="J35" s="902"/>
    </row>
    <row r="36" spans="1:10" ht="48">
      <c r="A36" s="3" t="s">
        <v>312</v>
      </c>
      <c r="B36" s="18" t="s">
        <v>313</v>
      </c>
      <c r="C36" s="16">
        <v>0.63</v>
      </c>
      <c r="D36" s="16">
        <v>0.67</v>
      </c>
      <c r="E36" s="16">
        <v>0.72</v>
      </c>
      <c r="F36" s="533">
        <f>IF($B$3="Bear",C36,IF($B$3="Bull",E36,D36))</f>
        <v>0.67</v>
      </c>
      <c r="G36" s="521" t="s">
        <v>227</v>
      </c>
      <c r="H36" s="521" t="s">
        <v>228</v>
      </c>
      <c r="I36" s="1385" t="s">
        <v>314</v>
      </c>
      <c r="J36" s="902"/>
    </row>
    <row r="37" spans="1:10" ht="84">
      <c r="A37" s="3" t="s">
        <v>315</v>
      </c>
      <c r="B37" s="18" t="s">
        <v>316</v>
      </c>
      <c r="C37" s="16">
        <v>0.72</v>
      </c>
      <c r="D37" s="16">
        <v>0.76</v>
      </c>
      <c r="E37" s="16">
        <v>0.8</v>
      </c>
      <c r="F37" s="533">
        <f>IF($B$3="Bear",C37,IF($B$3="Bull",E37,D37))</f>
        <v>0.76</v>
      </c>
      <c r="G37" s="521" t="s">
        <v>227</v>
      </c>
      <c r="H37" s="521" t="s">
        <v>228</v>
      </c>
      <c r="I37" s="1385" t="s">
        <v>317</v>
      </c>
      <c r="J37" s="902"/>
    </row>
    <row r="38" spans="1:10" ht="60">
      <c r="A38" s="3" t="s">
        <v>318</v>
      </c>
      <c r="B38" s="18" t="s">
        <v>319</v>
      </c>
      <c r="C38" s="16">
        <v>0.25</v>
      </c>
      <c r="D38" s="16">
        <v>0.22</v>
      </c>
      <c r="E38" s="16">
        <v>0.2</v>
      </c>
      <c r="F38" s="533">
        <f>IF($B$3="Bear",C38,IF($B$3="Bull",E38,D38))</f>
        <v>0.22</v>
      </c>
      <c r="G38" s="521" t="s">
        <v>227</v>
      </c>
      <c r="H38" s="521" t="s">
        <v>228</v>
      </c>
      <c r="I38" s="1385" t="s">
        <v>320</v>
      </c>
      <c r="J38" s="355"/>
    </row>
    <row r="39" spans="1:10" ht="24">
      <c r="A39" s="3" t="s">
        <v>321</v>
      </c>
      <c r="B39" s="18" t="s">
        <v>322</v>
      </c>
      <c r="C39" s="16">
        <v>0.13</v>
      </c>
      <c r="D39" s="16">
        <v>0.16</v>
      </c>
      <c r="E39" s="16">
        <v>0.19</v>
      </c>
      <c r="F39" s="533">
        <f>IF($B$3="Bear",C39,IF($B$3="Bull",E39,IF($B$3="ProbWeighted",J39,D39)))</f>
        <v>0.16</v>
      </c>
      <c r="G39" s="521" t="s">
        <v>227</v>
      </c>
      <c r="H39" s="521" t="s">
        <v>276</v>
      </c>
      <c r="I39" s="1385" t="s">
        <v>323</v>
      </c>
      <c r="J39" s="355">
        <f>$C$2*C39+$E$2*D39+$G$2*E39</f>
        <v>0.16300000000000001</v>
      </c>
    </row>
    <row r="40" spans="1:10" ht="72">
      <c r="A40" s="3" t="s">
        <v>324</v>
      </c>
      <c r="B40" s="18" t="s">
        <v>325</v>
      </c>
      <c r="C40" s="16">
        <v>0.35</v>
      </c>
      <c r="D40" s="16">
        <v>0.3</v>
      </c>
      <c r="E40" s="16">
        <v>0.25</v>
      </c>
      <c r="F40" s="533">
        <f>IF($B$3="Bear",C40,IF($B$3="Bull",E40,D40))</f>
        <v>0.3</v>
      </c>
      <c r="G40" s="521" t="s">
        <v>227</v>
      </c>
      <c r="H40" s="521" t="s">
        <v>233</v>
      </c>
      <c r="I40" s="1385" t="s">
        <v>326</v>
      </c>
      <c r="J40" s="355"/>
    </row>
    <row r="41" spans="1:10" ht="72">
      <c r="A41" s="54" t="s">
        <v>327</v>
      </c>
      <c r="B41" s="55" t="s">
        <v>328</v>
      </c>
      <c r="C41" s="57">
        <v>220</v>
      </c>
      <c r="D41" s="57">
        <v>175</v>
      </c>
      <c r="E41" s="57">
        <v>130</v>
      </c>
      <c r="F41" s="532">
        <f t="shared" si="1"/>
        <v>175</v>
      </c>
      <c r="G41" s="522" t="s">
        <v>227</v>
      </c>
      <c r="H41" s="56" t="s">
        <v>233</v>
      </c>
      <c r="I41" s="546" t="s">
        <v>329</v>
      </c>
      <c r="J41" s="1210"/>
    </row>
    <row r="42" spans="1:10" ht="60">
      <c r="A42" s="54" t="s">
        <v>330</v>
      </c>
      <c r="B42" s="55" t="s">
        <v>331</v>
      </c>
      <c r="C42" s="57">
        <v>100</v>
      </c>
      <c r="D42" s="57">
        <v>60</v>
      </c>
      <c r="E42" s="57">
        <v>30</v>
      </c>
      <c r="F42" s="532">
        <f t="shared" si="1"/>
        <v>60</v>
      </c>
      <c r="G42" s="522" t="s">
        <v>227</v>
      </c>
      <c r="H42" s="56" t="s">
        <v>228</v>
      </c>
      <c r="I42" s="546" t="s">
        <v>332</v>
      </c>
      <c r="J42" s="1210"/>
    </row>
    <row r="43" spans="1:10" ht="60">
      <c r="A43" s="3" t="s">
        <v>333</v>
      </c>
      <c r="B43" s="18" t="s">
        <v>334</v>
      </c>
      <c r="C43" s="16">
        <v>0.2</v>
      </c>
      <c r="D43" s="16">
        <v>0.17</v>
      </c>
      <c r="E43" s="16">
        <v>0.15</v>
      </c>
      <c r="F43" s="533">
        <f t="shared" si="1"/>
        <v>0.17</v>
      </c>
      <c r="G43" s="521" t="s">
        <v>227</v>
      </c>
      <c r="H43" s="521" t="s">
        <v>228</v>
      </c>
      <c r="I43" s="1385" t="s">
        <v>335</v>
      </c>
      <c r="J43" s="1210"/>
    </row>
    <row r="44" spans="1:10" ht="60">
      <c r="A44" s="3" t="s">
        <v>336</v>
      </c>
      <c r="B44" s="18" t="s">
        <v>337</v>
      </c>
      <c r="C44" s="16">
        <v>0.18</v>
      </c>
      <c r="D44" s="16">
        <v>0.15</v>
      </c>
      <c r="E44" s="16">
        <v>0.12</v>
      </c>
      <c r="F44" s="533">
        <f>IF($B$3="Bear",C44,IF($B$3="Bull",E44,D44))</f>
        <v>0.15</v>
      </c>
      <c r="G44" s="521" t="s">
        <v>227</v>
      </c>
      <c r="H44" s="521" t="s">
        <v>276</v>
      </c>
      <c r="I44" s="1385" t="s">
        <v>338</v>
      </c>
      <c r="J44" s="355"/>
    </row>
    <row r="45" spans="1:10" ht="24">
      <c r="A45" s="3" t="s">
        <v>339</v>
      </c>
      <c r="B45" s="18" t="s">
        <v>340</v>
      </c>
      <c r="C45" s="16">
        <v>0.13</v>
      </c>
      <c r="D45" s="16">
        <v>0.11</v>
      </c>
      <c r="E45" s="16">
        <v>0.09</v>
      </c>
      <c r="F45" s="533">
        <f>IF($B$3="Bear",C45,IF($B$3="Bull",E45,IF($B$3="ProbWeighted",J45,D45)))</f>
        <v>0.11</v>
      </c>
      <c r="G45" s="521" t="s">
        <v>227</v>
      </c>
      <c r="H45" s="521" t="s">
        <v>276</v>
      </c>
      <c r="I45" s="1385" t="s">
        <v>323</v>
      </c>
      <c r="J45" s="355">
        <f>$C$2*C45+$E$2*D45+$G$2*E45</f>
        <v>0.108</v>
      </c>
    </row>
    <row r="46" spans="1:10" ht="72">
      <c r="A46" s="3" t="s">
        <v>341</v>
      </c>
      <c r="B46" s="18" t="s">
        <v>342</v>
      </c>
      <c r="C46" s="16">
        <v>0.16</v>
      </c>
      <c r="D46" s="16">
        <v>0.14000000000000001</v>
      </c>
      <c r="E46" s="16">
        <v>0.12</v>
      </c>
      <c r="F46" s="533">
        <f>IF($B$3="Bear",C46,IF($B$3="Bull",E46,IF($B$3="ProbWeighted",J46,D46)))</f>
        <v>0.14000000000000001</v>
      </c>
      <c r="G46" s="521" t="s">
        <v>227</v>
      </c>
      <c r="H46" s="521" t="s">
        <v>228</v>
      </c>
      <c r="I46" s="1385" t="s">
        <v>343</v>
      </c>
      <c r="J46" s="355">
        <f>$C$2*C46+$E$2*D46+$G$2*E46</f>
        <v>0.13800000000000001</v>
      </c>
    </row>
    <row r="47" spans="1:10" ht="120">
      <c r="A47" s="3" t="s">
        <v>344</v>
      </c>
      <c r="B47" s="18" t="s">
        <v>345</v>
      </c>
      <c r="C47" s="16">
        <v>0.13</v>
      </c>
      <c r="D47" s="16">
        <v>0.11</v>
      </c>
      <c r="E47" s="16">
        <v>0.08</v>
      </c>
      <c r="F47" s="533">
        <f>IF($B$3="Bear",C47,IF($B$3="Bull",E47,IF($B$3="ProbWeighted",J47,D47)))</f>
        <v>0.11</v>
      </c>
      <c r="G47" s="521" t="s">
        <v>227</v>
      </c>
      <c r="H47" s="521" t="s">
        <v>228</v>
      </c>
      <c r="I47" s="1385" t="s">
        <v>346</v>
      </c>
      <c r="J47" s="355">
        <f>$C$2*C47+$E$2*D47+$G$2*E47</f>
        <v>0.10500000000000001</v>
      </c>
    </row>
    <row r="48" spans="1:10" ht="48">
      <c r="A48" s="3" t="s">
        <v>347</v>
      </c>
      <c r="B48" s="18" t="s">
        <v>348</v>
      </c>
      <c r="C48" s="16">
        <v>0.05</v>
      </c>
      <c r="D48" s="16">
        <v>0.04</v>
      </c>
      <c r="E48" s="16">
        <v>0.03</v>
      </c>
      <c r="F48" s="533">
        <f>IF($B$3="Bear",C48,IF($B$3="Bull",E48,IF($B$3="ProbWeighted",J48,D48)))</f>
        <v>0.04</v>
      </c>
      <c r="G48" s="521" t="s">
        <v>227</v>
      </c>
      <c r="H48" s="521" t="s">
        <v>276</v>
      </c>
      <c r="I48" s="1385" t="s">
        <v>349</v>
      </c>
      <c r="J48" s="355">
        <f>$C$2*C48+$E$2*D48+$G$2*E48</f>
        <v>3.9E-2</v>
      </c>
    </row>
    <row r="49" spans="1:10" ht="72">
      <c r="A49" s="3" t="s">
        <v>350</v>
      </c>
      <c r="B49" s="18" t="s">
        <v>351</v>
      </c>
      <c r="C49" s="16">
        <v>-0.05</v>
      </c>
      <c r="D49" s="16">
        <v>-0.08</v>
      </c>
      <c r="E49" s="16">
        <v>-0.1</v>
      </c>
      <c r="F49" s="533">
        <f>IF($B$3="Bear",C49,IF($B$3="Bull",E49,D49))</f>
        <v>-0.08</v>
      </c>
      <c r="G49" s="521" t="s">
        <v>227</v>
      </c>
      <c r="H49" s="521" t="s">
        <v>228</v>
      </c>
      <c r="I49" s="1385" t="s">
        <v>352</v>
      </c>
      <c r="J49" s="355"/>
    </row>
    <row r="50" spans="1:10" ht="60">
      <c r="A50" s="3" t="s">
        <v>353</v>
      </c>
      <c r="B50" s="18" t="s">
        <v>354</v>
      </c>
      <c r="C50" s="16">
        <v>0.7</v>
      </c>
      <c r="D50" s="16">
        <v>0.65</v>
      </c>
      <c r="E50" s="16">
        <v>0.6</v>
      </c>
      <c r="F50" s="533">
        <f t="shared" si="1"/>
        <v>0.65</v>
      </c>
      <c r="G50" s="521" t="s">
        <v>227</v>
      </c>
      <c r="H50" s="521" t="s">
        <v>228</v>
      </c>
      <c r="I50" s="1385" t="s">
        <v>355</v>
      </c>
      <c r="J50" s="1210"/>
    </row>
    <row r="51" spans="1:10" ht="48">
      <c r="A51" s="3" t="s">
        <v>356</v>
      </c>
      <c r="B51" s="18" t="s">
        <v>357</v>
      </c>
      <c r="C51" s="16">
        <v>0.25</v>
      </c>
      <c r="D51" s="16">
        <v>0.23</v>
      </c>
      <c r="E51" s="16">
        <v>0.21</v>
      </c>
      <c r="F51" s="533">
        <f>IF($B$3="Bear",C51,IF($B$3="Bull",E51,IF($B$3="ProbWeighted",J51,D51)))</f>
        <v>0.23</v>
      </c>
      <c r="G51" s="521" t="s">
        <v>251</v>
      </c>
      <c r="H51" s="521" t="s">
        <v>276</v>
      </c>
      <c r="I51" s="1385" t="s">
        <v>358</v>
      </c>
      <c r="J51" s="355">
        <f>$C$2*C51+$E$2*D51+$G$2*E51</f>
        <v>0.22800000000000001</v>
      </c>
    </row>
    <row r="52" spans="1:10" ht="21.95" customHeight="1">
      <c r="A52" s="1197" t="s">
        <v>359</v>
      </c>
      <c r="B52" s="1194" t="s">
        <v>360</v>
      </c>
      <c r="C52" s="525">
        <v>4.4999999999999998E-2</v>
      </c>
      <c r="D52" s="525">
        <v>3.5000000000000003E-2</v>
      </c>
      <c r="E52" s="525">
        <v>2.5000000000000001E-2</v>
      </c>
      <c r="F52" s="529">
        <f>IF($B$3="Bear",C52,IF($B$3="Bull",E52,D52))</f>
        <v>3.5000000000000003E-2</v>
      </c>
      <c r="G52" s="1194" t="s">
        <v>251</v>
      </c>
      <c r="H52" s="1194" t="s">
        <v>276</v>
      </c>
      <c r="I52" s="1195" t="s">
        <v>361</v>
      </c>
      <c r="J52" s="1210"/>
    </row>
    <row r="53" spans="1:10" ht="21.95" customHeight="1">
      <c r="A53" s="1492" t="s">
        <v>362</v>
      </c>
      <c r="B53" s="1493"/>
      <c r="C53" s="1493"/>
      <c r="D53" s="1493"/>
      <c r="E53" s="1493"/>
      <c r="F53" s="1493"/>
      <c r="G53" s="1493"/>
      <c r="H53" s="1493"/>
      <c r="I53" s="1493"/>
      <c r="J53" s="1210"/>
    </row>
    <row r="54" spans="1:10" ht="96">
      <c r="A54" s="54" t="s">
        <v>363</v>
      </c>
      <c r="B54" s="55" t="s">
        <v>364</v>
      </c>
      <c r="C54" s="22">
        <v>420</v>
      </c>
      <c r="D54" s="22">
        <v>410</v>
      </c>
      <c r="E54" s="22">
        <v>400</v>
      </c>
      <c r="F54" s="534">
        <f t="shared" ref="F54:F64" si="2">IF($B$3="Bear",C54,IF($B$3="Bull",E54,D54))</f>
        <v>410</v>
      </c>
      <c r="G54" s="522" t="s">
        <v>227</v>
      </c>
      <c r="H54" s="56" t="s">
        <v>233</v>
      </c>
      <c r="I54" s="546" t="s">
        <v>365</v>
      </c>
      <c r="J54" s="1210"/>
    </row>
    <row r="55" spans="1:10" ht="84">
      <c r="A55" s="54" t="s">
        <v>366</v>
      </c>
      <c r="B55" s="55" t="s">
        <v>367</v>
      </c>
      <c r="C55" s="23">
        <v>28</v>
      </c>
      <c r="D55" s="23">
        <v>28</v>
      </c>
      <c r="E55" s="23">
        <v>28</v>
      </c>
      <c r="F55" s="535">
        <f t="shared" si="2"/>
        <v>28</v>
      </c>
      <c r="G55" s="522" t="s">
        <v>251</v>
      </c>
      <c r="H55" s="56" t="s">
        <v>228</v>
      </c>
      <c r="I55" s="546" t="s">
        <v>368</v>
      </c>
      <c r="J55" s="1210"/>
    </row>
    <row r="56" spans="1:10" ht="96">
      <c r="A56" s="3" t="s">
        <v>369</v>
      </c>
      <c r="B56" s="18" t="s">
        <v>370</v>
      </c>
      <c r="C56" s="58" t="s">
        <v>371</v>
      </c>
      <c r="D56" s="58" t="s">
        <v>372</v>
      </c>
      <c r="E56" s="58" t="s">
        <v>372</v>
      </c>
      <c r="F56" s="536" t="str">
        <f t="shared" si="2"/>
        <v>1x non-participating</v>
      </c>
      <c r="G56" s="521" t="s">
        <v>251</v>
      </c>
      <c r="H56" s="521" t="s">
        <v>247</v>
      </c>
      <c r="I56" s="1385" t="s">
        <v>373</v>
      </c>
      <c r="J56" s="1210"/>
    </row>
    <row r="57" spans="1:10" ht="84">
      <c r="A57" s="3" t="s">
        <v>374</v>
      </c>
      <c r="B57" s="18" t="s">
        <v>375</v>
      </c>
      <c r="C57" s="52">
        <v>1400</v>
      </c>
      <c r="D57" s="52">
        <v>1400</v>
      </c>
      <c r="E57" s="52">
        <v>1400</v>
      </c>
      <c r="F57" s="532">
        <f t="shared" si="2"/>
        <v>1400</v>
      </c>
      <c r="G57" s="521" t="s">
        <v>251</v>
      </c>
      <c r="H57" s="521" t="s">
        <v>228</v>
      </c>
      <c r="I57" s="1385" t="s">
        <v>376</v>
      </c>
      <c r="J57" s="1210"/>
    </row>
    <row r="58" spans="1:10" ht="84">
      <c r="A58" s="54" t="s">
        <v>377</v>
      </c>
      <c r="B58" s="55" t="s">
        <v>378</v>
      </c>
      <c r="C58" s="20">
        <v>0.15</v>
      </c>
      <c r="D58" s="20">
        <v>0.12</v>
      </c>
      <c r="E58" s="20">
        <v>0.1</v>
      </c>
      <c r="F58" s="533">
        <f t="shared" si="2"/>
        <v>0.12</v>
      </c>
      <c r="G58" s="522" t="s">
        <v>227</v>
      </c>
      <c r="H58" s="56" t="s">
        <v>228</v>
      </c>
      <c r="I58" s="546" t="s">
        <v>379</v>
      </c>
      <c r="J58" s="1210"/>
    </row>
    <row r="59" spans="1:10" ht="21.95" customHeight="1">
      <c r="A59" s="3" t="s">
        <v>380</v>
      </c>
      <c r="B59" s="3" t="s">
        <v>381</v>
      </c>
      <c r="C59" s="562">
        <v>0.1</v>
      </c>
      <c r="D59" s="562">
        <v>0.14000000000000001</v>
      </c>
      <c r="E59" s="562">
        <v>0.18</v>
      </c>
      <c r="F59" s="642">
        <f>IF($B$3="Bear",C59,IF($B$3="Bull",E59,D59))</f>
        <v>0.14000000000000001</v>
      </c>
      <c r="G59" s="3" t="s">
        <v>227</v>
      </c>
      <c r="H59" s="3" t="s">
        <v>276</v>
      </c>
      <c r="I59" s="1199" t="s">
        <v>382</v>
      </c>
      <c r="J59" s="1210"/>
    </row>
    <row r="60" spans="1:10" ht="84">
      <c r="A60" s="3" t="s">
        <v>383</v>
      </c>
      <c r="B60" s="18" t="s">
        <v>384</v>
      </c>
      <c r="C60" s="16">
        <v>0.3</v>
      </c>
      <c r="D60" s="16">
        <v>0.22</v>
      </c>
      <c r="E60" s="16">
        <v>0.15</v>
      </c>
      <c r="F60" s="533">
        <f t="shared" si="2"/>
        <v>0.22</v>
      </c>
      <c r="G60" s="521" t="s">
        <v>251</v>
      </c>
      <c r="H60" s="521" t="s">
        <v>228</v>
      </c>
      <c r="I60" s="1385" t="s">
        <v>385</v>
      </c>
      <c r="J60" s="1210"/>
    </row>
    <row r="61" spans="1:10" ht="84">
      <c r="A61" s="3" t="s">
        <v>386</v>
      </c>
      <c r="B61" s="18" t="s">
        <v>387</v>
      </c>
      <c r="C61" s="52">
        <v>50</v>
      </c>
      <c r="D61" s="52">
        <v>10</v>
      </c>
      <c r="E61" s="52">
        <v>0</v>
      </c>
      <c r="F61" s="532">
        <f t="shared" si="2"/>
        <v>10</v>
      </c>
      <c r="G61" s="521" t="s">
        <v>251</v>
      </c>
      <c r="H61" s="521" t="s">
        <v>388</v>
      </c>
      <c r="I61" s="1385" t="s">
        <v>389</v>
      </c>
      <c r="J61" s="1210"/>
    </row>
    <row r="62" spans="1:10" ht="84">
      <c r="A62" s="54" t="s">
        <v>390</v>
      </c>
      <c r="B62" s="55" t="s">
        <v>391</v>
      </c>
      <c r="C62" s="57">
        <v>500</v>
      </c>
      <c r="D62" s="57">
        <v>700</v>
      </c>
      <c r="E62" s="57">
        <v>850</v>
      </c>
      <c r="F62" s="532">
        <f t="shared" si="2"/>
        <v>700</v>
      </c>
      <c r="G62" s="522" t="s">
        <v>227</v>
      </c>
      <c r="H62" s="56" t="s">
        <v>276</v>
      </c>
      <c r="I62" s="546" t="s">
        <v>392</v>
      </c>
      <c r="J62" s="1210"/>
    </row>
    <row r="63" spans="1:10" ht="48">
      <c r="A63" s="3" t="s">
        <v>393</v>
      </c>
      <c r="B63" s="18" t="s">
        <v>394</v>
      </c>
      <c r="C63" s="548">
        <f>C62-C61</f>
        <v>450</v>
      </c>
      <c r="D63" s="548">
        <f>D62-D61</f>
        <v>690</v>
      </c>
      <c r="E63" s="548">
        <f>E62-E61</f>
        <v>850</v>
      </c>
      <c r="F63" s="532">
        <f t="shared" si="2"/>
        <v>690</v>
      </c>
      <c r="G63" s="521" t="s">
        <v>237</v>
      </c>
      <c r="H63" s="521" t="s">
        <v>228</v>
      </c>
      <c r="I63" s="1385" t="s">
        <v>395</v>
      </c>
      <c r="J63" s="1210"/>
    </row>
    <row r="64" spans="1:10" ht="108">
      <c r="A64" s="54" t="s">
        <v>396</v>
      </c>
      <c r="B64" s="55" t="s">
        <v>397</v>
      </c>
      <c r="C64" s="60" t="s">
        <v>398</v>
      </c>
      <c r="D64" s="60" t="s">
        <v>399</v>
      </c>
      <c r="E64" s="60" t="s">
        <v>400</v>
      </c>
      <c r="F64" s="536" t="str">
        <f t="shared" si="2"/>
        <v>Likely extinguished</v>
      </c>
      <c r="G64" s="522" t="s">
        <v>227</v>
      </c>
      <c r="H64" s="56" t="s">
        <v>228</v>
      </c>
      <c r="I64" s="546" t="s">
        <v>401</v>
      </c>
      <c r="J64" s="1210"/>
    </row>
    <row r="65" spans="1:10" ht="21.95" customHeight="1">
      <c r="A65" s="3" t="s">
        <v>402</v>
      </c>
      <c r="B65" s="3"/>
      <c r="C65" s="3"/>
      <c r="D65" s="3"/>
      <c r="E65" s="3"/>
      <c r="F65" s="3"/>
      <c r="G65" s="3"/>
      <c r="H65" s="3"/>
      <c r="I65" s="640"/>
      <c r="J65" s="1210"/>
    </row>
    <row r="66" spans="1:10">
      <c r="A66" s="1194" t="s">
        <v>403</v>
      </c>
      <c r="B66" s="1194" t="s">
        <v>404</v>
      </c>
      <c r="C66" s="27">
        <v>2.5000000000000001E-2</v>
      </c>
      <c r="D66" s="27">
        <v>3.5000000000000003E-2</v>
      </c>
      <c r="E66" s="27">
        <v>4.4999999999999998E-2</v>
      </c>
      <c r="F66" s="537">
        <f>IF($B$3="Bear",C66,IF($B$3="Bull",E66,D66))</f>
        <v>3.5000000000000003E-2</v>
      </c>
      <c r="G66" s="1194" t="s">
        <v>251</v>
      </c>
      <c r="H66" s="1194" t="s">
        <v>276</v>
      </c>
      <c r="I66" s="1195" t="s">
        <v>405</v>
      </c>
      <c r="J66" s="1210"/>
    </row>
    <row r="67" spans="1:10" ht="21.95" customHeight="1">
      <c r="A67" s="1492" t="s">
        <v>406</v>
      </c>
      <c r="B67" s="1493"/>
      <c r="C67" s="1493"/>
      <c r="D67" s="1493"/>
      <c r="E67" s="1493"/>
      <c r="F67" s="1493"/>
      <c r="G67" s="1493"/>
      <c r="H67" s="1493"/>
      <c r="I67" s="1493"/>
      <c r="J67" s="1210"/>
    </row>
    <row r="68" spans="1:10" ht="48">
      <c r="A68" s="3" t="s">
        <v>407</v>
      </c>
      <c r="B68" s="18" t="s">
        <v>408</v>
      </c>
      <c r="C68" s="24">
        <v>4.2999999999999997E-2</v>
      </c>
      <c r="D68" s="24">
        <v>4.2999999999999997E-2</v>
      </c>
      <c r="E68" s="24">
        <v>4.2999999999999997E-2</v>
      </c>
      <c r="F68" s="538">
        <f t="shared" ref="F68:F71" si="3">IF($B$3="Bear",C68,IF($B$3="Bull",E68,D68))</f>
        <v>4.2999999999999997E-2</v>
      </c>
      <c r="G68" s="521" t="s">
        <v>232</v>
      </c>
      <c r="H68" s="521" t="s">
        <v>247</v>
      </c>
      <c r="I68" s="1385" t="s">
        <v>409</v>
      </c>
      <c r="J68" s="1210"/>
    </row>
    <row r="69" spans="1:10" ht="72">
      <c r="A69" s="3" t="s">
        <v>410</v>
      </c>
      <c r="B69" s="18" t="s">
        <v>411</v>
      </c>
      <c r="C69" s="24">
        <v>4.4999999999999998E-2</v>
      </c>
      <c r="D69" s="24">
        <v>4.4999999999999998E-2</v>
      </c>
      <c r="E69" s="24">
        <v>4.4999999999999998E-2</v>
      </c>
      <c r="F69" s="538">
        <f t="shared" si="3"/>
        <v>4.4999999999999998E-2</v>
      </c>
      <c r="G69" s="521" t="s">
        <v>232</v>
      </c>
      <c r="H69" s="521" t="s">
        <v>412</v>
      </c>
      <c r="I69" s="1385" t="s">
        <v>413</v>
      </c>
      <c r="J69" s="1210"/>
    </row>
    <row r="70" spans="1:10" ht="84">
      <c r="A70" s="3" t="s">
        <v>414</v>
      </c>
      <c r="B70" s="18" t="s">
        <v>415</v>
      </c>
      <c r="C70" s="15">
        <v>0.85</v>
      </c>
      <c r="D70" s="15">
        <v>0.83</v>
      </c>
      <c r="E70" s="15">
        <v>0.81</v>
      </c>
      <c r="F70" s="531">
        <f t="shared" si="3"/>
        <v>0.83</v>
      </c>
      <c r="G70" s="521" t="s">
        <v>232</v>
      </c>
      <c r="H70" s="521" t="s">
        <v>416</v>
      </c>
      <c r="I70" s="1385" t="s">
        <v>417</v>
      </c>
      <c r="J70" s="1210"/>
    </row>
    <row r="71" spans="1:10" ht="48">
      <c r="A71" s="3" t="s">
        <v>418</v>
      </c>
      <c r="B71" s="18" t="s">
        <v>419</v>
      </c>
      <c r="C71" s="24">
        <v>8.0999999999999996E-3</v>
      </c>
      <c r="D71" s="24">
        <v>8.0999999999999996E-3</v>
      </c>
      <c r="E71" s="24">
        <v>8.0999999999999996E-3</v>
      </c>
      <c r="F71" s="538">
        <f t="shared" si="3"/>
        <v>8.0999999999999996E-3</v>
      </c>
      <c r="G71" s="521" t="s">
        <v>251</v>
      </c>
      <c r="H71" s="521" t="s">
        <v>412</v>
      </c>
      <c r="I71" s="1385" t="s">
        <v>420</v>
      </c>
      <c r="J71" s="1210"/>
    </row>
    <row r="72" spans="1:10" ht="60">
      <c r="A72" s="3" t="s">
        <v>421</v>
      </c>
      <c r="B72" s="18" t="s">
        <v>422</v>
      </c>
      <c r="C72" s="24">
        <v>0.03</v>
      </c>
      <c r="D72" s="24">
        <v>0.02</v>
      </c>
      <c r="E72" s="24">
        <v>0.01</v>
      </c>
      <c r="F72" s="538">
        <f>IF($B$3="Bear",C72,IF($B$3="Bull",E72,D72))</f>
        <v>0.02</v>
      </c>
      <c r="G72" s="521" t="s">
        <v>227</v>
      </c>
      <c r="H72" s="521" t="s">
        <v>416</v>
      </c>
      <c r="I72" s="1385" t="s">
        <v>423</v>
      </c>
      <c r="J72" s="902"/>
    </row>
    <row r="73" spans="1:10">
      <c r="A73" s="3" t="s">
        <v>424</v>
      </c>
      <c r="B73" s="18" t="s">
        <v>425</v>
      </c>
      <c r="C73" s="549">
        <f>C68+C69*C70+C71+C72</f>
        <v>0.11934999999999998</v>
      </c>
      <c r="D73" s="549">
        <f>D68+D69*D70+D71+D72</f>
        <v>0.10844999999999999</v>
      </c>
      <c r="E73" s="549">
        <f>E68+E69*E70+E71+E72</f>
        <v>9.7549999999999984E-2</v>
      </c>
      <c r="F73" s="538">
        <f>IF($B$3="Bear",C73,IF($B$3="Bull",E73,IF($B$3="ProbWeighted",J73,D73)))</f>
        <v>0.10844999999999999</v>
      </c>
      <c r="G73" s="521" t="s">
        <v>237</v>
      </c>
      <c r="H73" s="521" t="s">
        <v>233</v>
      </c>
      <c r="I73" s="1385"/>
      <c r="J73" s="356"/>
    </row>
    <row r="74" spans="1:10">
      <c r="A74" s="1194"/>
      <c r="B74" s="1194" t="s">
        <v>426</v>
      </c>
      <c r="C74" s="785">
        <f>'WACC Bottom-Up'!E106</f>
        <v>0.12175650636531818</v>
      </c>
      <c r="D74" s="785">
        <v>0.115874493309381</v>
      </c>
      <c r="E74" s="785">
        <f>'WACC Bottom-Up'!G106</f>
        <v>0.11003836564433836</v>
      </c>
      <c r="F74" s="538">
        <f>IF($B$3="Bear",C74,IF($B$3="Bull",E74,IF($B$3="ProbWeighted",J74,D74)))</f>
        <v>0.115874493309381</v>
      </c>
      <c r="G74" s="1194"/>
      <c r="H74" s="1194"/>
      <c r="I74" s="1195"/>
      <c r="J74" s="356">
        <f>$C$2*C74+$E$2*D74+$G$2*E74</f>
        <v>0.11530005762105565</v>
      </c>
    </row>
    <row r="75" spans="1:10" ht="21.95" customHeight="1">
      <c r="A75" s="1492" t="s">
        <v>427</v>
      </c>
      <c r="B75" s="1508"/>
      <c r="C75" s="1508"/>
      <c r="D75" s="1508"/>
      <c r="E75" s="1508"/>
      <c r="F75" s="1508"/>
      <c r="G75" s="1508"/>
      <c r="H75" s="1508"/>
      <c r="I75" s="1508"/>
      <c r="J75" s="1210"/>
    </row>
    <row r="76" spans="1:10" ht="72">
      <c r="A76" s="3" t="s">
        <v>428</v>
      </c>
      <c r="B76" s="18" t="s">
        <v>429</v>
      </c>
      <c r="C76" s="58" t="s">
        <v>430</v>
      </c>
      <c r="D76" s="58" t="s">
        <v>430</v>
      </c>
      <c r="E76" s="58" t="s">
        <v>430</v>
      </c>
      <c r="F76" s="536" t="str">
        <f>IF($B$3="Bear",C76,IF($B$3="Bull",E76,D76))</f>
        <v>Exit Multiple</v>
      </c>
      <c r="G76" s="521" t="s">
        <v>431</v>
      </c>
      <c r="H76" s="521" t="s">
        <v>247</v>
      </c>
      <c r="I76" s="1385" t="s">
        <v>432</v>
      </c>
      <c r="J76" s="1210"/>
    </row>
    <row r="77" spans="1:10" ht="96">
      <c r="A77" s="3" t="s">
        <v>433</v>
      </c>
      <c r="B77" s="18" t="s">
        <v>434</v>
      </c>
      <c r="C77" s="25">
        <v>3</v>
      </c>
      <c r="D77" s="25">
        <v>3.5</v>
      </c>
      <c r="E77" s="25">
        <v>4.5</v>
      </c>
      <c r="F77" s="539">
        <f>IF($B$3="Bear",C77,IF($B$3="Bull",E77,IF($B$3="ProbWeighted",J77,D77)))</f>
        <v>3.5</v>
      </c>
      <c r="G77" s="521" t="s">
        <v>227</v>
      </c>
      <c r="H77" s="521" t="s">
        <v>233</v>
      </c>
      <c r="I77" s="1385" t="s">
        <v>435</v>
      </c>
      <c r="J77" s="903">
        <f>$C$2*C77+$E$2*D77+$G$2*E77</f>
        <v>3.7</v>
      </c>
    </row>
    <row r="78" spans="1:10" ht="72">
      <c r="A78" s="3" t="s">
        <v>436</v>
      </c>
      <c r="B78" s="18" t="s">
        <v>437</v>
      </c>
      <c r="C78" s="25">
        <v>12</v>
      </c>
      <c r="D78" s="25">
        <v>15</v>
      </c>
      <c r="E78" s="25">
        <v>18</v>
      </c>
      <c r="F78" s="539">
        <f>IF($B$3="Bear",C78,IF($B$3="Bull",E78,D78))</f>
        <v>15</v>
      </c>
      <c r="G78" s="521" t="s">
        <v>227</v>
      </c>
      <c r="H78" s="521" t="s">
        <v>228</v>
      </c>
      <c r="I78" s="1385" t="s">
        <v>438</v>
      </c>
      <c r="J78" s="1210"/>
    </row>
    <row r="79" spans="1:10" ht="48">
      <c r="A79" s="3" t="s">
        <v>439</v>
      </c>
      <c r="B79" s="18" t="s">
        <v>440</v>
      </c>
      <c r="C79" s="16">
        <v>2.5000000000000001E-2</v>
      </c>
      <c r="D79" s="16">
        <v>0.03</v>
      </c>
      <c r="E79" s="16">
        <v>3.5000000000000003E-2</v>
      </c>
      <c r="F79" s="533">
        <f>IF($B$3="Bear",C79,IF($B$3="Bull",E79,D79))</f>
        <v>0.03</v>
      </c>
      <c r="G79" s="521" t="s">
        <v>251</v>
      </c>
      <c r="H79" s="521" t="s">
        <v>233</v>
      </c>
      <c r="I79" s="1385" t="s">
        <v>441</v>
      </c>
      <c r="J79" s="1210"/>
    </row>
    <row r="80" spans="1:10" ht="84">
      <c r="A80" s="3" t="s">
        <v>442</v>
      </c>
      <c r="B80" s="18" t="s">
        <v>443</v>
      </c>
      <c r="C80" s="16">
        <v>0.4</v>
      </c>
      <c r="D80" s="16">
        <v>0.5</v>
      </c>
      <c r="E80" s="16">
        <v>0.6</v>
      </c>
      <c r="F80" s="533">
        <f>IF($B$3="Bear",C80,IF($B$3="Bull",E80,D80))</f>
        <v>0.5</v>
      </c>
      <c r="G80" s="521" t="s">
        <v>227</v>
      </c>
      <c r="H80" s="521" t="s">
        <v>228</v>
      </c>
      <c r="I80" s="1385" t="s">
        <v>444</v>
      </c>
      <c r="J80" s="1210"/>
    </row>
    <row r="81" spans="1:9" ht="21.95" customHeight="1">
      <c r="A81" s="486"/>
      <c r="B81" s="486"/>
      <c r="C81" s="486"/>
      <c r="D81" s="486"/>
      <c r="E81" s="486"/>
      <c r="F81" s="486"/>
      <c r="G81" s="486"/>
      <c r="H81" s="486"/>
      <c r="I81" s="641"/>
    </row>
    <row r="82" spans="1:9" ht="21.95" customHeight="1">
      <c r="A82" s="1492" t="s">
        <v>445</v>
      </c>
      <c r="B82" s="1493"/>
      <c r="C82" s="1493"/>
      <c r="D82" s="1493"/>
      <c r="E82" s="1493"/>
      <c r="F82" s="1493"/>
      <c r="G82" s="1493"/>
      <c r="H82" s="1493"/>
      <c r="I82" s="1493"/>
    </row>
    <row r="83" spans="1:9" ht="60">
      <c r="A83" s="3" t="s">
        <v>446</v>
      </c>
      <c r="B83" s="18" t="s">
        <v>447</v>
      </c>
      <c r="C83" s="16">
        <v>0.4</v>
      </c>
      <c r="D83" s="16">
        <v>0.2</v>
      </c>
      <c r="E83" s="16">
        <v>0.1</v>
      </c>
      <c r="F83" s="533">
        <f>IF($B$3="Bear",C83,IF($B$3="Bull",E83,D83))</f>
        <v>0.2</v>
      </c>
      <c r="G83" s="521" t="s">
        <v>431</v>
      </c>
      <c r="H83" s="521" t="s">
        <v>233</v>
      </c>
      <c r="I83" s="1385" t="s">
        <v>448</v>
      </c>
    </row>
    <row r="84" spans="1:9" ht="72">
      <c r="A84" s="3" t="s">
        <v>449</v>
      </c>
      <c r="B84" s="18" t="s">
        <v>450</v>
      </c>
      <c r="C84" s="16">
        <v>0.4</v>
      </c>
      <c r="D84" s="16">
        <v>0.4</v>
      </c>
      <c r="E84" s="16">
        <v>0.3</v>
      </c>
      <c r="F84" s="533">
        <f>IF($B$3="Bear",C84,IF($B$3="Bull",E84,D84))</f>
        <v>0.4</v>
      </c>
      <c r="G84" s="521" t="s">
        <v>431</v>
      </c>
      <c r="H84" s="521" t="s">
        <v>233</v>
      </c>
      <c r="I84" s="1385" t="s">
        <v>451</v>
      </c>
    </row>
    <row r="85" spans="1:9" ht="72">
      <c r="A85" s="3" t="s">
        <v>452</v>
      </c>
      <c r="B85" s="18" t="s">
        <v>453</v>
      </c>
      <c r="C85" s="16">
        <v>0.2</v>
      </c>
      <c r="D85" s="16">
        <v>0.4</v>
      </c>
      <c r="E85" s="16">
        <v>0.6</v>
      </c>
      <c r="F85" s="533">
        <f>IF($B$3="Bear",C85,IF($B$3="Bull",E85,D85))</f>
        <v>0.4</v>
      </c>
      <c r="G85" s="521" t="s">
        <v>431</v>
      </c>
      <c r="H85" s="521" t="s">
        <v>233</v>
      </c>
      <c r="I85" s="1385" t="s">
        <v>454</v>
      </c>
    </row>
    <row r="86" spans="1:9" ht="48">
      <c r="A86" s="3" t="s">
        <v>455</v>
      </c>
      <c r="B86" s="18" t="s">
        <v>456</v>
      </c>
      <c r="C86" s="550">
        <f>C83+C84+C85</f>
        <v>1</v>
      </c>
      <c r="D86" s="550">
        <f>D83+D84+D85</f>
        <v>1</v>
      </c>
      <c r="E86" s="550">
        <f>E83+E84+E85</f>
        <v>1</v>
      </c>
      <c r="F86" s="533">
        <f>IF($B$3="Bear",C86,IF($B$3="Bull",E86,D86))</f>
        <v>1</v>
      </c>
      <c r="G86" s="521" t="s">
        <v>237</v>
      </c>
      <c r="H86" s="521" t="s">
        <v>457</v>
      </c>
      <c r="I86" s="1385" t="s">
        <v>458</v>
      </c>
    </row>
    <row r="87" spans="1:9">
      <c r="A87" s="1194"/>
      <c r="B87" s="1194"/>
      <c r="C87" s="1192"/>
      <c r="D87" s="1192"/>
      <c r="E87" s="1192"/>
      <c r="F87" s="1193"/>
      <c r="G87" s="1194"/>
      <c r="H87" s="1194"/>
      <c r="I87" s="1195"/>
    </row>
    <row r="88" spans="1:9" ht="21.95" customHeight="1">
      <c r="A88" s="1492" t="s">
        <v>459</v>
      </c>
      <c r="B88" s="1493"/>
      <c r="C88" s="1493"/>
      <c r="D88" s="1493"/>
      <c r="E88" s="1493"/>
      <c r="F88" s="1493"/>
      <c r="G88" s="1493"/>
      <c r="H88" s="1493"/>
      <c r="I88" s="1493"/>
    </row>
    <row r="89" spans="1:9" ht="60">
      <c r="A89" s="3" t="s">
        <v>460</v>
      </c>
      <c r="B89" s="18" t="s">
        <v>461</v>
      </c>
      <c r="C89" s="17">
        <v>18</v>
      </c>
      <c r="D89" s="17">
        <v>15</v>
      </c>
      <c r="E89" s="17">
        <v>12</v>
      </c>
      <c r="F89" s="540">
        <f>IF($B$3="Bear",C89,IF($B$3="Bull",E89,D89))</f>
        <v>15</v>
      </c>
      <c r="G89" s="521" t="s">
        <v>251</v>
      </c>
      <c r="H89" s="521" t="s">
        <v>228</v>
      </c>
      <c r="I89" s="1385" t="s">
        <v>462</v>
      </c>
    </row>
    <row r="90" spans="1:9" ht="60">
      <c r="A90" s="3" t="s">
        <v>463</v>
      </c>
      <c r="B90" s="18" t="s">
        <v>464</v>
      </c>
      <c r="C90" s="16">
        <v>0.25</v>
      </c>
      <c r="D90" s="16">
        <v>0.2</v>
      </c>
      <c r="E90" s="16">
        <v>0.15</v>
      </c>
      <c r="F90" s="533">
        <f>IF($B$3="Bear",C90,IF($B$3="Bull",E90,D90))</f>
        <v>0.2</v>
      </c>
      <c r="G90" s="521" t="s">
        <v>251</v>
      </c>
      <c r="H90" s="521" t="s">
        <v>233</v>
      </c>
      <c r="I90" s="1385" t="s">
        <v>465</v>
      </c>
    </row>
    <row r="91" spans="1:9" ht="21.95" customHeight="1">
      <c r="A91" s="3" t="s">
        <v>466</v>
      </c>
      <c r="B91" s="3"/>
      <c r="C91" s="3"/>
      <c r="D91" s="3"/>
      <c r="E91" s="3"/>
      <c r="F91" s="3"/>
      <c r="G91" s="3"/>
      <c r="H91" s="3"/>
      <c r="I91" s="640"/>
    </row>
    <row r="92" spans="1:9" ht="60">
      <c r="A92" s="3" t="s">
        <v>467</v>
      </c>
      <c r="B92" s="18" t="s">
        <v>468</v>
      </c>
      <c r="C92" s="16">
        <v>0.3</v>
      </c>
      <c r="D92" s="16">
        <v>0.25</v>
      </c>
      <c r="E92" s="16">
        <v>0.2</v>
      </c>
      <c r="F92" s="533">
        <f>IF($B$3="Bear",C92,IF($B$3="Bull",E92,D92))</f>
        <v>0.25</v>
      </c>
      <c r="G92" s="521" t="s">
        <v>227</v>
      </c>
      <c r="H92" s="521" t="s">
        <v>276</v>
      </c>
      <c r="I92" s="1385" t="s">
        <v>469</v>
      </c>
    </row>
    <row r="93" spans="1:9" ht="88.5">
      <c r="A93" s="3" t="s">
        <v>470</v>
      </c>
      <c r="B93" s="18" t="s">
        <v>471</v>
      </c>
      <c r="C93" s="548"/>
      <c r="D93" s="548"/>
      <c r="E93" s="548"/>
      <c r="F93" s="532">
        <f>IF($B$3="Bear",C93,IF($B$3="Bull",E93,D93))</f>
        <v>0</v>
      </c>
      <c r="G93" s="521" t="s">
        <v>237</v>
      </c>
      <c r="H93" s="521" t="s">
        <v>233</v>
      </c>
      <c r="I93" s="1385" t="s">
        <v>472</v>
      </c>
    </row>
    <row r="94" spans="1:9">
      <c r="A94" s="1194" t="s">
        <v>473</v>
      </c>
      <c r="B94" s="1194" t="s">
        <v>474</v>
      </c>
      <c r="C94" s="1274">
        <f>'Football Field'!D61*1000</f>
        <v>13242.222222222221</v>
      </c>
      <c r="D94" s="1274">
        <f>'Football Field'!D62*1000</f>
        <v>14690.909090909092</v>
      </c>
      <c r="E94" s="1274">
        <f>'Football Field'!D63*1000</f>
        <v>19713.253012048193</v>
      </c>
      <c r="F94" s="1275">
        <f>IF($B$3="Bear",C94,IF($B$3="Bull",E94,D94))</f>
        <v>14690.909090909092</v>
      </c>
      <c r="G94" s="1194" t="s">
        <v>237</v>
      </c>
      <c r="H94" s="1194" t="s">
        <v>233</v>
      </c>
      <c r="I94" s="1195"/>
    </row>
    <row r="95" spans="1:9" ht="21.95" customHeight="1">
      <c r="A95" s="1492" t="s">
        <v>475</v>
      </c>
      <c r="B95" s="1493"/>
      <c r="C95" s="1493"/>
      <c r="D95" s="1493"/>
      <c r="E95" s="1493"/>
      <c r="F95" s="1493"/>
      <c r="G95" s="1493"/>
      <c r="H95" s="1493"/>
      <c r="I95" s="1493"/>
    </row>
    <row r="96" spans="1:9" ht="36">
      <c r="A96" s="3" t="s">
        <v>476</v>
      </c>
      <c r="B96" s="18" t="s">
        <v>477</v>
      </c>
      <c r="C96" s="58" t="s">
        <v>478</v>
      </c>
      <c r="D96" s="58" t="s">
        <v>478</v>
      </c>
      <c r="E96" s="58" t="s">
        <v>478</v>
      </c>
      <c r="F96" s="536" t="str">
        <f t="shared" ref="F96:F101" si="4">IF($B$3="Bear",C96,IF($B$3="Bull",E96,D96))</f>
        <v>Last 5 years</v>
      </c>
      <c r="G96" s="521" t="s">
        <v>431</v>
      </c>
      <c r="H96" s="521" t="s">
        <v>247</v>
      </c>
      <c r="I96" s="1385" t="s">
        <v>479</v>
      </c>
    </row>
    <row r="97" spans="1:9" ht="48">
      <c r="A97" s="3" t="s">
        <v>480</v>
      </c>
      <c r="B97" s="18" t="s">
        <v>481</v>
      </c>
      <c r="C97" s="52">
        <v>500</v>
      </c>
      <c r="D97" s="52">
        <v>500</v>
      </c>
      <c r="E97" s="52">
        <v>500</v>
      </c>
      <c r="F97" s="532">
        <f t="shared" si="4"/>
        <v>500</v>
      </c>
      <c r="G97" s="521" t="s">
        <v>431</v>
      </c>
      <c r="H97" s="521" t="s">
        <v>247</v>
      </c>
      <c r="I97" s="1385" t="s">
        <v>482</v>
      </c>
    </row>
    <row r="98" spans="1:9" ht="72">
      <c r="A98" s="3" t="s">
        <v>483</v>
      </c>
      <c r="B98" s="18" t="s">
        <v>484</v>
      </c>
      <c r="C98" s="58" t="s">
        <v>485</v>
      </c>
      <c r="D98" s="58" t="s">
        <v>485</v>
      </c>
      <c r="E98" s="58" t="s">
        <v>485</v>
      </c>
      <c r="F98" s="536" t="str">
        <f t="shared" si="4"/>
        <v>EV/LTM Rev</v>
      </c>
      <c r="G98" s="521" t="s">
        <v>431</v>
      </c>
      <c r="H98" s="521" t="s">
        <v>247</v>
      </c>
      <c r="I98" s="1385" t="s">
        <v>486</v>
      </c>
    </row>
    <row r="99" spans="1:9" ht="72">
      <c r="A99" s="3" t="s">
        <v>487</v>
      </c>
      <c r="B99" s="18" t="s">
        <v>488</v>
      </c>
      <c r="C99" s="25">
        <v>1</v>
      </c>
      <c r="D99" s="25">
        <v>1.5</v>
      </c>
      <c r="E99" s="25">
        <v>2.5</v>
      </c>
      <c r="F99" s="539">
        <f t="shared" si="4"/>
        <v>1.5</v>
      </c>
      <c r="G99" s="521" t="s">
        <v>251</v>
      </c>
      <c r="H99" s="521" t="s">
        <v>228</v>
      </c>
      <c r="I99" s="1385" t="s">
        <v>489</v>
      </c>
    </row>
    <row r="100" spans="1:9" ht="60">
      <c r="A100" s="3" t="s">
        <v>490</v>
      </c>
      <c r="B100" s="18" t="s">
        <v>491</v>
      </c>
      <c r="C100" s="25">
        <v>0.8</v>
      </c>
      <c r="D100" s="25">
        <v>1.5</v>
      </c>
      <c r="E100" s="25">
        <v>3</v>
      </c>
      <c r="F100" s="539">
        <f t="shared" si="4"/>
        <v>1.5</v>
      </c>
      <c r="G100" s="521" t="s">
        <v>251</v>
      </c>
      <c r="H100" s="521" t="s">
        <v>228</v>
      </c>
      <c r="I100" s="1385" t="s">
        <v>492</v>
      </c>
    </row>
    <row r="101" spans="1:9" ht="84">
      <c r="A101" s="3" t="s">
        <v>493</v>
      </c>
      <c r="B101" s="18" t="s">
        <v>494</v>
      </c>
      <c r="C101" s="25">
        <v>6</v>
      </c>
      <c r="D101" s="25">
        <v>8</v>
      </c>
      <c r="E101" s="25">
        <v>10</v>
      </c>
      <c r="F101" s="539">
        <f t="shared" si="4"/>
        <v>8</v>
      </c>
      <c r="G101" s="521" t="s">
        <v>251</v>
      </c>
      <c r="H101" s="521" t="s">
        <v>228</v>
      </c>
      <c r="I101" s="1385" t="s">
        <v>495</v>
      </c>
    </row>
    <row r="102" spans="1:9">
      <c r="A102" s="1194"/>
      <c r="B102" s="1194"/>
      <c r="C102" s="1192"/>
      <c r="D102" s="1192"/>
      <c r="E102" s="1192"/>
      <c r="F102" s="1193"/>
      <c r="G102" s="1194"/>
      <c r="H102" s="1194"/>
      <c r="I102" s="1195"/>
    </row>
    <row r="103" spans="1:9" ht="21.95" customHeight="1">
      <c r="A103" s="1492" t="s">
        <v>496</v>
      </c>
      <c r="B103" s="1508"/>
      <c r="C103" s="1508"/>
      <c r="D103" s="1508"/>
      <c r="E103" s="1508"/>
      <c r="F103" s="1508"/>
      <c r="G103" s="1508"/>
      <c r="H103" s="1508"/>
      <c r="I103" s="1508"/>
    </row>
    <row r="104" spans="1:9">
      <c r="A104" s="1494" t="s">
        <v>497</v>
      </c>
      <c r="B104" s="1497"/>
      <c r="C104" s="1495"/>
      <c r="D104" s="1495"/>
      <c r="E104" s="1495"/>
      <c r="F104" s="1496"/>
      <c r="G104" s="1497"/>
      <c r="H104" s="1497"/>
      <c r="I104" s="1498"/>
    </row>
    <row r="105" spans="1:9">
      <c r="A105" s="1194"/>
      <c r="B105" s="1194"/>
      <c r="C105" s="1192"/>
      <c r="D105" s="1192"/>
      <c r="E105" s="1192"/>
      <c r="F105" s="1193"/>
      <c r="G105" s="1194"/>
      <c r="H105" s="1194"/>
      <c r="I105" s="1195"/>
    </row>
    <row r="106" spans="1:9" ht="21.95" customHeight="1">
      <c r="A106" s="1493" t="s">
        <v>498</v>
      </c>
      <c r="B106" s="1499"/>
      <c r="C106" s="1500"/>
      <c r="D106" s="1500"/>
      <c r="E106" s="1500"/>
      <c r="F106" s="1501"/>
      <c r="G106" s="1499"/>
      <c r="H106" s="1499"/>
      <c r="I106" s="1502"/>
    </row>
    <row r="107" spans="1:9">
      <c r="A107" s="58" t="s">
        <v>499</v>
      </c>
      <c r="B107" s="1494" t="s">
        <v>57</v>
      </c>
      <c r="C107" s="1495"/>
      <c r="D107" s="1495"/>
      <c r="E107" s="1495"/>
      <c r="F107" s="1496"/>
      <c r="G107" s="1497"/>
      <c r="H107" s="1497"/>
      <c r="I107" s="1498"/>
    </row>
    <row r="108" spans="1:9">
      <c r="A108" s="62" t="s">
        <v>500</v>
      </c>
      <c r="B108" s="1494" t="s">
        <v>501</v>
      </c>
      <c r="C108" s="1495"/>
      <c r="D108" s="1495"/>
      <c r="E108" s="1495"/>
      <c r="F108" s="1496"/>
      <c r="G108" s="1497"/>
      <c r="H108" s="1497"/>
      <c r="I108" s="1498"/>
    </row>
    <row r="109" spans="1:9">
      <c r="A109" s="63" t="s">
        <v>502</v>
      </c>
      <c r="B109" s="1494" t="s">
        <v>503</v>
      </c>
      <c r="C109" s="1495"/>
      <c r="D109" s="1495"/>
      <c r="E109" s="1495"/>
      <c r="F109" s="1496"/>
      <c r="G109" s="1497"/>
      <c r="H109" s="1497"/>
      <c r="I109" s="1498"/>
    </row>
    <row r="110" spans="1:9">
      <c r="A110" s="61" t="s">
        <v>504</v>
      </c>
      <c r="B110" s="1494" t="s">
        <v>505</v>
      </c>
      <c r="C110" s="1495"/>
      <c r="D110" s="1495"/>
      <c r="E110" s="1495"/>
      <c r="F110" s="1496"/>
      <c r="G110" s="1497"/>
      <c r="H110" s="1497"/>
      <c r="I110" s="1498"/>
    </row>
    <row r="111" spans="1:9">
      <c r="A111" s="59" t="s">
        <v>506</v>
      </c>
      <c r="B111" s="1494" t="s">
        <v>507</v>
      </c>
      <c r="C111" s="1495"/>
      <c r="D111" s="1495"/>
      <c r="E111" s="1495"/>
      <c r="F111" s="1496"/>
      <c r="G111" s="1497"/>
      <c r="H111" s="1497"/>
      <c r="I111" s="1498"/>
    </row>
    <row r="112" spans="1:9">
      <c r="A112" s="1194"/>
      <c r="B112" s="1194"/>
      <c r="C112" s="1192"/>
      <c r="D112" s="1192"/>
      <c r="E112" s="1192"/>
      <c r="F112" s="1193"/>
      <c r="G112" s="1194"/>
      <c r="H112" s="1194"/>
      <c r="I112" s="1195"/>
    </row>
    <row r="113" spans="1:10" ht="21.95" customHeight="1">
      <c r="A113" s="1509" t="s">
        <v>508</v>
      </c>
      <c r="B113" s="1510"/>
      <c r="C113" s="1510"/>
      <c r="D113" s="1510"/>
      <c r="E113" s="1510"/>
      <c r="F113" s="1510"/>
      <c r="G113" s="1510"/>
      <c r="H113" s="1510"/>
      <c r="I113" s="1510"/>
      <c r="J113" s="1210"/>
    </row>
    <row r="114" spans="1:10">
      <c r="A114" s="29" t="s">
        <v>509</v>
      </c>
      <c r="B114" s="1194"/>
      <c r="C114" s="1192"/>
      <c r="D114" s="1192"/>
      <c r="E114" s="1192"/>
      <c r="F114" s="1193"/>
      <c r="G114" s="1194"/>
      <c r="H114" s="1194"/>
      <c r="I114" s="1195"/>
      <c r="J114" s="1210"/>
    </row>
    <row r="115" spans="1:10">
      <c r="A115" s="1194"/>
      <c r="B115" s="1194"/>
      <c r="C115" s="1192"/>
      <c r="D115" s="1192"/>
      <c r="E115" s="1192"/>
      <c r="F115" s="1193"/>
      <c r="G115" s="1194"/>
      <c r="H115" s="1194"/>
      <c r="I115" s="1195"/>
      <c r="J115" s="1210"/>
    </row>
    <row r="116" spans="1:10">
      <c r="A116" s="1194" t="s">
        <v>510</v>
      </c>
      <c r="B116" s="1194" t="s">
        <v>511</v>
      </c>
      <c r="C116" s="27">
        <v>0.28000000000000003</v>
      </c>
      <c r="D116" s="27">
        <v>0.3</v>
      </c>
      <c r="E116" s="27">
        <v>0.32</v>
      </c>
      <c r="F116" s="537">
        <f>IF($B$3="Bear",C116,IF($B$3="Bull",E116,D116))</f>
        <v>0.3</v>
      </c>
      <c r="G116" s="523" t="s">
        <v>251</v>
      </c>
      <c r="H116" s="64" t="s">
        <v>233</v>
      </c>
      <c r="I116" s="1195" t="s">
        <v>512</v>
      </c>
      <c r="J116" s="1210"/>
    </row>
    <row r="117" spans="1:10">
      <c r="A117" s="1194" t="s">
        <v>513</v>
      </c>
      <c r="B117" s="1194" t="s">
        <v>514</v>
      </c>
      <c r="C117" s="27">
        <v>0.18</v>
      </c>
      <c r="D117" s="27">
        <v>0.19</v>
      </c>
      <c r="E117" s="27">
        <v>0.2</v>
      </c>
      <c r="F117" s="537">
        <f>IF($B$3="Bear",C117,IF($B$3="Bull",E117,D117))</f>
        <v>0.19</v>
      </c>
      <c r="G117" s="523" t="s">
        <v>251</v>
      </c>
      <c r="H117" s="1194" t="s">
        <v>228</v>
      </c>
      <c r="I117" s="1195" t="s">
        <v>515</v>
      </c>
      <c r="J117" s="1210"/>
    </row>
    <row r="118" spans="1:10">
      <c r="A118" s="640" t="s">
        <v>516</v>
      </c>
      <c r="B118" s="1216" t="s">
        <v>517</v>
      </c>
      <c r="C118" s="737" t="s">
        <v>518</v>
      </c>
      <c r="D118" s="736">
        <f>Members!E50</f>
        <v>1.6580999999999997</v>
      </c>
      <c r="E118" s="737" t="s">
        <v>518</v>
      </c>
      <c r="F118" s="738">
        <f>D118</f>
        <v>1.6580999999999997</v>
      </c>
      <c r="G118" s="3" t="s">
        <v>251</v>
      </c>
      <c r="H118" s="1" t="s">
        <v>228</v>
      </c>
      <c r="I118" s="739" t="s">
        <v>519</v>
      </c>
      <c r="J118" s="1210"/>
    </row>
    <row r="119" spans="1:10">
      <c r="A119" s="3" t="s">
        <v>520</v>
      </c>
      <c r="B119" s="714" t="s">
        <v>521</v>
      </c>
      <c r="C119" s="737" t="s">
        <v>518</v>
      </c>
      <c r="D119" s="736">
        <f>Members!F50</f>
        <v>2.0290103999999989</v>
      </c>
      <c r="E119" s="737" t="s">
        <v>518</v>
      </c>
      <c r="F119" s="738">
        <f>D119</f>
        <v>2.0290103999999989</v>
      </c>
      <c r="G119" s="3" t="s">
        <v>251</v>
      </c>
      <c r="H119" s="1" t="s">
        <v>228</v>
      </c>
      <c r="I119" s="739" t="s">
        <v>522</v>
      </c>
      <c r="J119" s="1210"/>
    </row>
    <row r="120" spans="1:10">
      <c r="A120" s="65" t="s">
        <v>523</v>
      </c>
      <c r="B120" s="65" t="s">
        <v>524</v>
      </c>
      <c r="C120" s="66">
        <v>180</v>
      </c>
      <c r="D120" s="66">
        <v>150</v>
      </c>
      <c r="E120" s="66">
        <v>130</v>
      </c>
      <c r="F120" s="541">
        <f>IF($B$3="Bear",C120,IF($B$3="Bull",E120,D120))</f>
        <v>150</v>
      </c>
      <c r="G120" s="524" t="s">
        <v>227</v>
      </c>
      <c r="H120" s="67" t="s">
        <v>233</v>
      </c>
      <c r="I120" s="1217" t="s">
        <v>525</v>
      </c>
      <c r="J120" s="1210"/>
    </row>
    <row r="121" spans="1:10">
      <c r="A121" s="65" t="s">
        <v>526</v>
      </c>
      <c r="B121" s="65" t="s">
        <v>527</v>
      </c>
      <c r="C121" s="28">
        <v>250</v>
      </c>
      <c r="D121" s="28">
        <v>176</v>
      </c>
      <c r="E121" s="28">
        <v>145</v>
      </c>
      <c r="F121" s="528">
        <f>IF($B$3="Bear",C121,IF($B$3="Bull",E121,D121))</f>
        <v>176</v>
      </c>
      <c r="G121" s="524" t="s">
        <v>227</v>
      </c>
      <c r="H121" s="67" t="s">
        <v>233</v>
      </c>
      <c r="I121" s="1217" t="s">
        <v>528</v>
      </c>
      <c r="J121" s="1210"/>
    </row>
    <row r="122" spans="1:10">
      <c r="A122" s="65" t="s">
        <v>529</v>
      </c>
      <c r="B122" s="65" t="s">
        <v>530</v>
      </c>
      <c r="C122" s="31">
        <v>12</v>
      </c>
      <c r="D122" s="31">
        <v>25</v>
      </c>
      <c r="E122" s="31">
        <v>45</v>
      </c>
      <c r="F122" s="542">
        <f>IF($B$3="Bear",C122,IF($B$3="Bull",E122,D122))</f>
        <v>25</v>
      </c>
      <c r="G122" s="524" t="s">
        <v>232</v>
      </c>
      <c r="H122" s="67" t="s">
        <v>233</v>
      </c>
      <c r="I122" s="547" t="s">
        <v>531</v>
      </c>
      <c r="J122" s="1210"/>
    </row>
    <row r="123" spans="1:10">
      <c r="A123" s="718" t="s">
        <v>532</v>
      </c>
      <c r="B123" s="717" t="s">
        <v>533</v>
      </c>
      <c r="C123" s="1218">
        <v>30</v>
      </c>
      <c r="D123" s="1218">
        <v>40</v>
      </c>
      <c r="E123" s="1218">
        <v>55</v>
      </c>
      <c r="F123" s="740">
        <f>IF($B$3="Bear",C123,IF($B$3="Bull",E123,D123))</f>
        <v>40</v>
      </c>
      <c r="G123" s="521" t="s">
        <v>251</v>
      </c>
      <c r="H123" s="717" t="s">
        <v>228</v>
      </c>
      <c r="I123" s="1199" t="s">
        <v>534</v>
      </c>
      <c r="J123" s="1004"/>
    </row>
    <row r="124" spans="1:10">
      <c r="A124" s="718" t="s">
        <v>535</v>
      </c>
      <c r="B124" s="717" t="s">
        <v>536</v>
      </c>
      <c r="C124" s="1218">
        <v>210</v>
      </c>
      <c r="D124" s="1218">
        <v>335</v>
      </c>
      <c r="E124" s="1218">
        <v>420</v>
      </c>
      <c r="F124" s="740">
        <f>IF($B$3="Bear",C124,IF($B$3="Bull",E124,D124))</f>
        <v>335</v>
      </c>
      <c r="G124" s="717" t="s">
        <v>251</v>
      </c>
      <c r="H124" s="717" t="s">
        <v>228</v>
      </c>
      <c r="I124" s="1199" t="s">
        <v>537</v>
      </c>
      <c r="J124" s="1004"/>
    </row>
    <row r="125" spans="1:10" ht="21.95" customHeight="1">
      <c r="A125" s="1486" t="s">
        <v>538</v>
      </c>
      <c r="B125" s="1505"/>
      <c r="C125" s="1505"/>
      <c r="D125" s="1505"/>
      <c r="E125" s="1505"/>
      <c r="F125" s="1505"/>
      <c r="G125" s="1505"/>
      <c r="H125" s="1505"/>
      <c r="I125" s="1505"/>
      <c r="J125" s="1210"/>
    </row>
    <row r="126" spans="1:10">
      <c r="A126" s="29" t="s">
        <v>539</v>
      </c>
      <c r="B126" s="1194"/>
      <c r="C126" s="1192"/>
      <c r="D126" s="1192"/>
      <c r="E126" s="1192"/>
      <c r="F126" s="1193"/>
      <c r="G126" s="1194"/>
      <c r="H126" s="1194"/>
      <c r="I126" s="1195"/>
      <c r="J126" s="1210"/>
    </row>
    <row r="127" spans="1:10">
      <c r="A127" s="1194"/>
      <c r="B127" s="1194"/>
      <c r="C127" s="1192"/>
      <c r="D127" s="1192"/>
      <c r="E127" s="1192"/>
      <c r="F127" s="1193"/>
      <c r="G127" s="1194"/>
      <c r="H127" s="1194"/>
      <c r="I127" s="1195"/>
      <c r="J127" s="1210"/>
    </row>
    <row r="128" spans="1:10">
      <c r="A128" s="29" t="s">
        <v>540</v>
      </c>
      <c r="B128" s="1194"/>
      <c r="C128" s="1192"/>
      <c r="D128" s="1192"/>
      <c r="E128" s="1192"/>
      <c r="F128" s="1193"/>
      <c r="G128" s="1194"/>
      <c r="H128" s="1194"/>
      <c r="I128" s="1195"/>
      <c r="J128" s="1210"/>
    </row>
    <row r="129" spans="1:9">
      <c r="A129" s="1194" t="s">
        <v>541</v>
      </c>
      <c r="B129" s="1194" t="s">
        <v>542</v>
      </c>
      <c r="C129" s="440">
        <v>0.5</v>
      </c>
      <c r="D129" s="440">
        <v>0.3</v>
      </c>
      <c r="E129" s="440">
        <v>0.2</v>
      </c>
      <c r="F129" s="543">
        <f>IF($B$3="Bear",C129,IF($B$3="Bull",E129,D129))</f>
        <v>0.3</v>
      </c>
      <c r="G129" s="1194" t="s">
        <v>251</v>
      </c>
      <c r="H129" s="1194" t="s">
        <v>228</v>
      </c>
      <c r="I129" s="1195" t="s">
        <v>543</v>
      </c>
    </row>
    <row r="130" spans="1:9">
      <c r="A130" s="1194" t="s">
        <v>544</v>
      </c>
      <c r="B130" s="1194" t="s">
        <v>545</v>
      </c>
      <c r="C130" s="440">
        <v>0.35</v>
      </c>
      <c r="D130" s="440">
        <v>0.45</v>
      </c>
      <c r="E130" s="440">
        <v>0.4</v>
      </c>
      <c r="F130" s="543">
        <f>IF($B$3="Bear",C130,IF($B$3="Bull",E130,D130))</f>
        <v>0.45</v>
      </c>
      <c r="G130" s="1194" t="s">
        <v>251</v>
      </c>
      <c r="H130" s="1194" t="s">
        <v>228</v>
      </c>
      <c r="I130" s="1195" t="s">
        <v>546</v>
      </c>
    </row>
    <row r="131" spans="1:9">
      <c r="A131" s="1194" t="s">
        <v>547</v>
      </c>
      <c r="B131" s="1194" t="s">
        <v>548</v>
      </c>
      <c r="C131" s="440">
        <v>0.15</v>
      </c>
      <c r="D131" s="440">
        <v>0.25</v>
      </c>
      <c r="E131" s="440">
        <v>0.4</v>
      </c>
      <c r="F131" s="543">
        <f>IF($B$3="Bear",C131,IF($B$3="Bull",E131,D131))</f>
        <v>0.25</v>
      </c>
      <c r="G131" s="1194" t="s">
        <v>251</v>
      </c>
      <c r="H131" s="1194" t="s">
        <v>228</v>
      </c>
      <c r="I131" s="1195" t="s">
        <v>549</v>
      </c>
    </row>
    <row r="132" spans="1:9">
      <c r="A132" s="1194" t="s">
        <v>550</v>
      </c>
      <c r="B132" s="1194" t="s">
        <v>551</v>
      </c>
      <c r="C132" s="440">
        <v>0.15</v>
      </c>
      <c r="D132" s="440">
        <v>0.12</v>
      </c>
      <c r="E132" s="440">
        <v>0.1</v>
      </c>
      <c r="F132" s="543">
        <f>IF($B$3="Bear",C132,IF($B$3="Bull",E132,D132))</f>
        <v>0.12</v>
      </c>
      <c r="G132" s="1194" t="s">
        <v>227</v>
      </c>
      <c r="H132" s="1194" t="s">
        <v>276</v>
      </c>
      <c r="I132" s="1195" t="s">
        <v>552</v>
      </c>
    </row>
    <row r="133" spans="1:9">
      <c r="A133" s="1194" t="s">
        <v>553</v>
      </c>
      <c r="B133" s="1194" t="s">
        <v>554</v>
      </c>
      <c r="C133" s="525">
        <v>0</v>
      </c>
      <c r="D133" s="525">
        <v>1.4999999999999999E-2</v>
      </c>
      <c r="E133" s="525">
        <v>2.5000000000000001E-2</v>
      </c>
      <c r="F133" s="529">
        <f>IF($B$3="Bear",C133,IF($B$3="Bull",E133,D133))</f>
        <v>1.4999999999999999E-2</v>
      </c>
      <c r="G133" s="1194" t="s">
        <v>251</v>
      </c>
      <c r="H133" s="1194" t="s">
        <v>228</v>
      </c>
      <c r="I133" s="1195" t="s">
        <v>555</v>
      </c>
    </row>
    <row r="134" spans="1:9">
      <c r="A134" s="1194"/>
      <c r="B134" s="1194"/>
      <c r="C134" s="1192"/>
      <c r="D134" s="1192"/>
      <c r="E134" s="1192"/>
      <c r="F134" s="1193"/>
      <c r="G134" s="1194"/>
      <c r="H134" s="1194"/>
      <c r="I134" s="1195"/>
    </row>
    <row r="135" spans="1:9" ht="21.95" customHeight="1">
      <c r="A135" s="637" t="s">
        <v>556</v>
      </c>
      <c r="B135" s="29"/>
      <c r="C135" s="638"/>
      <c r="D135" s="638"/>
      <c r="E135" s="638"/>
      <c r="F135" s="639"/>
      <c r="G135" s="29"/>
      <c r="H135" s="29"/>
      <c r="I135" s="1195"/>
    </row>
    <row r="136" spans="1:9">
      <c r="A136" s="1194" t="s">
        <v>557</v>
      </c>
      <c r="B136" s="1194" t="s">
        <v>558</v>
      </c>
      <c r="C136" s="525">
        <v>0.05</v>
      </c>
      <c r="D136" s="525">
        <v>0.1</v>
      </c>
      <c r="E136" s="526">
        <v>0.25</v>
      </c>
      <c r="F136" s="529">
        <f>IF($B$3="Bear",C136,IF($B$3="Bull",E136,D136))</f>
        <v>0.1</v>
      </c>
      <c r="G136" s="1194" t="s">
        <v>232</v>
      </c>
      <c r="H136" s="1194" t="s">
        <v>233</v>
      </c>
      <c r="I136" s="1195" t="s">
        <v>559</v>
      </c>
    </row>
    <row r="137" spans="1:9">
      <c r="A137" s="1194" t="s">
        <v>560</v>
      </c>
      <c r="B137" s="1194" t="s">
        <v>561</v>
      </c>
      <c r="C137" s="428">
        <v>200</v>
      </c>
      <c r="D137" s="428">
        <v>250</v>
      </c>
      <c r="E137" s="428">
        <v>300</v>
      </c>
      <c r="F137" s="544">
        <f>IF($B$3="Bear",C137,IF($B$3="Bull",E137,D137))</f>
        <v>250</v>
      </c>
      <c r="G137" s="1194" t="s">
        <v>232</v>
      </c>
      <c r="H137" s="1194" t="s">
        <v>233</v>
      </c>
      <c r="I137" s="1195" t="s">
        <v>562</v>
      </c>
    </row>
    <row r="138" spans="1:9">
      <c r="A138" s="1194" t="s">
        <v>563</v>
      </c>
      <c r="B138" s="1194" t="s">
        <v>564</v>
      </c>
      <c r="C138" s="527">
        <v>1</v>
      </c>
      <c r="D138" s="527">
        <v>1.5</v>
      </c>
      <c r="E138" s="527">
        <v>2</v>
      </c>
      <c r="F138" s="545">
        <f>IF($B$3="Bear",C138,IF($B$3="Bull",E138,D138))</f>
        <v>1.5</v>
      </c>
      <c r="G138" s="1194" t="s">
        <v>251</v>
      </c>
      <c r="H138" s="1194" t="s">
        <v>228</v>
      </c>
      <c r="I138" s="1195" t="s">
        <v>565</v>
      </c>
    </row>
    <row r="139" spans="1:9">
      <c r="A139" s="1194" t="s">
        <v>566</v>
      </c>
      <c r="B139" s="1194" t="s">
        <v>567</v>
      </c>
      <c r="C139" s="525">
        <v>0</v>
      </c>
      <c r="D139" s="525">
        <v>0.09</v>
      </c>
      <c r="E139" s="525">
        <v>0.18</v>
      </c>
      <c r="F139" s="529">
        <f>IF($B$3="Bear",C139,IF($B$3="Bull",E139,D139))</f>
        <v>0.09</v>
      </c>
      <c r="G139" s="1194" t="s">
        <v>232</v>
      </c>
      <c r="H139" s="1194" t="s">
        <v>233</v>
      </c>
      <c r="I139" s="1195" t="s">
        <v>568</v>
      </c>
    </row>
    <row r="140" spans="1:9">
      <c r="A140" s="1194"/>
      <c r="B140" s="1194"/>
      <c r="C140" s="1192"/>
      <c r="D140" s="1192"/>
      <c r="E140" s="1192"/>
      <c r="F140" s="1193"/>
      <c r="G140" s="1194"/>
      <c r="H140" s="1194"/>
      <c r="I140" s="1195"/>
    </row>
    <row r="141" spans="1:9">
      <c r="A141" s="29" t="s">
        <v>569</v>
      </c>
      <c r="B141" s="1194"/>
      <c r="C141" s="1192"/>
      <c r="D141" s="1192"/>
      <c r="E141" s="1192"/>
      <c r="F141" s="1193"/>
      <c r="G141" s="1194"/>
      <c r="H141" s="1194"/>
      <c r="I141" s="1195"/>
    </row>
    <row r="142" spans="1:9">
      <c r="A142" s="1194" t="s">
        <v>570</v>
      </c>
      <c r="B142" s="1194" t="s">
        <v>571</v>
      </c>
      <c r="C142" s="428">
        <v>15</v>
      </c>
      <c r="D142" s="428">
        <v>18</v>
      </c>
      <c r="E142" s="428">
        <v>22</v>
      </c>
      <c r="F142" s="544">
        <f>IF($B$3="Bear",C142,IF($B$3="Bull",E142,D142))</f>
        <v>18</v>
      </c>
      <c r="G142" s="1194" t="s">
        <v>227</v>
      </c>
      <c r="H142" s="1194" t="s">
        <v>388</v>
      </c>
      <c r="I142" s="1195" t="s">
        <v>572</v>
      </c>
    </row>
    <row r="143" spans="1:9">
      <c r="A143" s="1194" t="s">
        <v>573</v>
      </c>
      <c r="B143" s="1194" t="s">
        <v>574</v>
      </c>
      <c r="C143" s="525">
        <v>0.02</v>
      </c>
      <c r="D143" s="525">
        <v>0.03</v>
      </c>
      <c r="E143" s="525">
        <v>0.03</v>
      </c>
      <c r="F143" s="529">
        <f>IF($B$3="Bear",C143,IF($B$3="Bull",E143,D143))</f>
        <v>0.03</v>
      </c>
      <c r="G143" s="1194" t="s">
        <v>227</v>
      </c>
      <c r="H143" s="1194" t="s">
        <v>388</v>
      </c>
      <c r="I143" s="1195" t="s">
        <v>575</v>
      </c>
    </row>
    <row r="144" spans="1:9">
      <c r="A144" s="1194"/>
      <c r="B144" s="1194"/>
      <c r="C144" s="1192"/>
      <c r="D144" s="1192"/>
      <c r="E144" s="1192"/>
      <c r="F144" s="1193"/>
      <c r="G144" s="1194"/>
      <c r="H144" s="1194"/>
      <c r="I144" s="1195"/>
    </row>
    <row r="145" spans="1:10" ht="21.95" customHeight="1">
      <c r="A145" s="637" t="s">
        <v>576</v>
      </c>
      <c r="B145" s="29"/>
      <c r="C145" s="638"/>
      <c r="D145" s="638"/>
      <c r="E145" s="638"/>
      <c r="F145" s="639"/>
      <c r="G145" s="29"/>
      <c r="H145" s="29"/>
      <c r="I145" s="1195"/>
      <c r="J145" s="1210"/>
    </row>
    <row r="146" spans="1:10">
      <c r="A146" s="1194" t="s">
        <v>577</v>
      </c>
      <c r="B146" s="1194" t="s">
        <v>578</v>
      </c>
      <c r="C146" s="525">
        <v>0</v>
      </c>
      <c r="D146" s="525">
        <v>0.05</v>
      </c>
      <c r="E146" s="525">
        <v>0.15</v>
      </c>
      <c r="F146" s="529">
        <f t="shared" ref="F146:F149" si="5">IF($B$3="Bear",C146,IF($B$3="Bull",E146,D146))</f>
        <v>0.05</v>
      </c>
      <c r="G146" s="1194" t="s">
        <v>251</v>
      </c>
      <c r="H146" s="1194" t="s">
        <v>228</v>
      </c>
      <c r="I146" s="1195" t="s">
        <v>579</v>
      </c>
      <c r="J146" s="1210"/>
    </row>
    <row r="147" spans="1:10">
      <c r="A147" s="1194" t="s">
        <v>580</v>
      </c>
      <c r="B147" s="1194" t="s">
        <v>581</v>
      </c>
      <c r="C147" s="428">
        <v>0</v>
      </c>
      <c r="D147" s="428">
        <v>100</v>
      </c>
      <c r="E147" s="428">
        <v>200</v>
      </c>
      <c r="F147" s="544">
        <f t="shared" si="5"/>
        <v>100</v>
      </c>
      <c r="G147" s="1194" t="s">
        <v>251</v>
      </c>
      <c r="H147" s="1194" t="s">
        <v>228</v>
      </c>
      <c r="I147" s="1195" t="s">
        <v>582</v>
      </c>
      <c r="J147" s="1210"/>
    </row>
    <row r="148" spans="1:10">
      <c r="A148" s="1194" t="s">
        <v>583</v>
      </c>
      <c r="B148" s="1194" t="s">
        <v>584</v>
      </c>
      <c r="C148" s="525">
        <v>0</v>
      </c>
      <c r="D148" s="525">
        <v>0.15</v>
      </c>
      <c r="E148" s="525">
        <v>0.25</v>
      </c>
      <c r="F148" s="529">
        <f t="shared" si="5"/>
        <v>0.15</v>
      </c>
      <c r="G148" s="1194" t="s">
        <v>251</v>
      </c>
      <c r="H148" s="1194" t="s">
        <v>276</v>
      </c>
      <c r="I148" s="1195" t="s">
        <v>585</v>
      </c>
      <c r="J148" s="1210"/>
    </row>
    <row r="149" spans="1:10">
      <c r="A149" s="1211" t="s">
        <v>586</v>
      </c>
      <c r="B149" s="1194" t="s">
        <v>587</v>
      </c>
      <c r="C149" s="525">
        <v>2.5000000000000001E-2</v>
      </c>
      <c r="D149" s="525">
        <v>0.03</v>
      </c>
      <c r="E149" s="525">
        <v>0.06</v>
      </c>
      <c r="F149" s="529">
        <f t="shared" si="5"/>
        <v>0.03</v>
      </c>
      <c r="G149" s="1194" t="s">
        <v>227</v>
      </c>
      <c r="H149" s="1194" t="s">
        <v>233</v>
      </c>
      <c r="I149" s="1195" t="s">
        <v>588</v>
      </c>
      <c r="J149" s="1210"/>
    </row>
    <row r="150" spans="1:10">
      <c r="A150" s="1211" t="s">
        <v>589</v>
      </c>
      <c r="B150" s="1194" t="s">
        <v>590</v>
      </c>
      <c r="C150" s="525">
        <v>0.28000000000000003</v>
      </c>
      <c r="D150" s="525">
        <v>0.25</v>
      </c>
      <c r="E150" s="525">
        <v>0.22</v>
      </c>
      <c r="F150" s="529">
        <f>IF($B$3="Bear",C150,IF($B$3="Bull",E150,D150))</f>
        <v>0.25</v>
      </c>
      <c r="G150" s="1194" t="s">
        <v>227</v>
      </c>
      <c r="H150" s="1194" t="s">
        <v>233</v>
      </c>
      <c r="I150" s="1195" t="s">
        <v>591</v>
      </c>
      <c r="J150" s="355"/>
    </row>
    <row r="151" spans="1:10">
      <c r="A151" s="1211" t="s">
        <v>592</v>
      </c>
      <c r="B151" s="1194" t="s">
        <v>593</v>
      </c>
      <c r="C151" s="525">
        <v>0.22</v>
      </c>
      <c r="D151" s="525">
        <v>0.2</v>
      </c>
      <c r="E151" s="525">
        <v>0.18</v>
      </c>
      <c r="F151" s="529">
        <f>IF($B$3="Bear",C151,IF($B$3="Bull",E151,IF($B$3="ProbWeighted",J151,D151)))</f>
        <v>0.2</v>
      </c>
      <c r="G151" s="1194" t="s">
        <v>227</v>
      </c>
      <c r="H151" s="1194" t="s">
        <v>228</v>
      </c>
      <c r="I151" s="1195" t="s">
        <v>594</v>
      </c>
      <c r="J151" s="355">
        <f>$C$2*C151+$E$2*D151+$G$2*E151</f>
        <v>0.19800000000000001</v>
      </c>
    </row>
    <row r="152" spans="1:10">
      <c r="A152" s="1194"/>
      <c r="B152" s="1194"/>
      <c r="C152" s="1192"/>
      <c r="D152" s="1192"/>
      <c r="E152" s="1192"/>
      <c r="F152" s="1193"/>
      <c r="G152" s="1194"/>
      <c r="H152" s="1194"/>
      <c r="I152" s="1195"/>
      <c r="J152" s="1210"/>
    </row>
    <row r="153" spans="1:10" ht="21.95" customHeight="1">
      <c r="A153" s="1486" t="s">
        <v>595</v>
      </c>
      <c r="B153" s="1505"/>
      <c r="C153" s="1505"/>
      <c r="D153" s="1505"/>
      <c r="E153" s="1505"/>
      <c r="F153" s="1505"/>
      <c r="G153" s="1505"/>
      <c r="H153" s="1505"/>
      <c r="I153" s="1505"/>
      <c r="J153" s="1210"/>
    </row>
    <row r="154" spans="1:10">
      <c r="A154" s="1194" t="s">
        <v>596</v>
      </c>
      <c r="B154" s="1194"/>
      <c r="C154" s="1192"/>
      <c r="D154" s="1192"/>
      <c r="E154" s="1192"/>
      <c r="F154" s="1193"/>
      <c r="G154" s="1194"/>
      <c r="H154" s="1194"/>
      <c r="I154" s="1195"/>
      <c r="J154" s="1210"/>
    </row>
    <row r="155" spans="1:10">
      <c r="A155" s="1194" t="s">
        <v>597</v>
      </c>
      <c r="B155" s="1194" t="s">
        <v>598</v>
      </c>
      <c r="C155" s="1192">
        <v>0.15</v>
      </c>
      <c r="D155" s="1192">
        <v>0.2</v>
      </c>
      <c r="E155" s="1192">
        <v>0.25</v>
      </c>
      <c r="F155" s="1193">
        <f t="shared" ref="F155:F160" si="6">IF($B$3="Bear",C155,IF($B$3="Bull",E155,D155))</f>
        <v>0.2</v>
      </c>
      <c r="G155" s="1194" t="s">
        <v>227</v>
      </c>
      <c r="H155" s="1194" t="s">
        <v>233</v>
      </c>
      <c r="I155" s="1195" t="s">
        <v>599</v>
      </c>
      <c r="J155" s="1210"/>
    </row>
    <row r="156" spans="1:10">
      <c r="A156" s="1194" t="s">
        <v>600</v>
      </c>
      <c r="B156" s="1194" t="s">
        <v>601</v>
      </c>
      <c r="C156" s="1192">
        <v>0.3</v>
      </c>
      <c r="D156" s="1192">
        <v>0.4</v>
      </c>
      <c r="E156" s="1192">
        <v>0.45</v>
      </c>
      <c r="F156" s="1193">
        <f t="shared" si="6"/>
        <v>0.4</v>
      </c>
      <c r="G156" s="1194" t="s">
        <v>227</v>
      </c>
      <c r="H156" s="1194" t="s">
        <v>228</v>
      </c>
      <c r="I156" s="1195" t="s">
        <v>602</v>
      </c>
      <c r="J156" s="1210"/>
    </row>
    <row r="157" spans="1:10">
      <c r="A157" s="1194" t="s">
        <v>603</v>
      </c>
      <c r="B157" s="1194" t="s">
        <v>604</v>
      </c>
      <c r="C157" s="1192">
        <v>200</v>
      </c>
      <c r="D157" s="1192">
        <v>300</v>
      </c>
      <c r="E157" s="1192">
        <v>350</v>
      </c>
      <c r="F157" s="1193">
        <f t="shared" si="6"/>
        <v>300</v>
      </c>
      <c r="G157" s="1194" t="s">
        <v>227</v>
      </c>
      <c r="H157" s="1194" t="s">
        <v>233</v>
      </c>
      <c r="I157" s="1195" t="s">
        <v>605</v>
      </c>
      <c r="J157" s="1210"/>
    </row>
    <row r="158" spans="1:10">
      <c r="A158" s="1194" t="s">
        <v>606</v>
      </c>
      <c r="B158" s="1194" t="s">
        <v>607</v>
      </c>
      <c r="C158" s="1192">
        <v>5</v>
      </c>
      <c r="D158" s="1192">
        <v>6</v>
      </c>
      <c r="E158" s="1192">
        <v>6</v>
      </c>
      <c r="F158" s="1193">
        <f t="shared" si="6"/>
        <v>6</v>
      </c>
      <c r="G158" s="1194" t="s">
        <v>227</v>
      </c>
      <c r="H158" s="1194" t="s">
        <v>233</v>
      </c>
      <c r="I158" s="1195" t="s">
        <v>608</v>
      </c>
      <c r="J158" s="1210"/>
    </row>
    <row r="159" spans="1:10">
      <c r="A159" s="1194" t="s">
        <v>609</v>
      </c>
      <c r="B159" s="1194" t="s">
        <v>610</v>
      </c>
      <c r="C159" s="1192">
        <v>7</v>
      </c>
      <c r="D159" s="1192">
        <v>5</v>
      </c>
      <c r="E159" s="1192">
        <v>4</v>
      </c>
      <c r="F159" s="1193">
        <f t="shared" si="6"/>
        <v>5</v>
      </c>
      <c r="G159" s="1194" t="s">
        <v>227</v>
      </c>
      <c r="H159" s="1194" t="s">
        <v>228</v>
      </c>
      <c r="I159" s="1195" t="s">
        <v>611</v>
      </c>
      <c r="J159" s="1210"/>
    </row>
    <row r="160" spans="1:10">
      <c r="A160" s="1194" t="s">
        <v>612</v>
      </c>
      <c r="B160" s="1194" t="s">
        <v>613</v>
      </c>
      <c r="C160" s="1192">
        <f>C155+(1-C155)</f>
        <v>1</v>
      </c>
      <c r="D160" s="1192">
        <f>D155+(1-D155)</f>
        <v>1</v>
      </c>
      <c r="E160" s="1192">
        <f>E155+(1-E155)</f>
        <v>1</v>
      </c>
      <c r="F160" s="1193">
        <f t="shared" si="6"/>
        <v>1</v>
      </c>
      <c r="G160" s="1194" t="s">
        <v>457</v>
      </c>
      <c r="H160" s="1194" t="s">
        <v>247</v>
      </c>
      <c r="I160" s="1195" t="s">
        <v>614</v>
      </c>
      <c r="J160" s="1210"/>
    </row>
    <row r="161" spans="1:10">
      <c r="A161" s="1191" t="s">
        <v>615</v>
      </c>
      <c r="B161" s="781" t="s">
        <v>616</v>
      </c>
      <c r="C161" s="1210"/>
      <c r="D161" s="1210"/>
      <c r="E161" s="1210"/>
      <c r="F161" s="1210"/>
      <c r="G161" s="1210"/>
      <c r="H161" s="1210"/>
      <c r="I161" s="1210"/>
      <c r="J161" s="1210"/>
    </row>
    <row r="162" spans="1:10">
      <c r="A162" s="1210" t="s">
        <v>617</v>
      </c>
      <c r="B162" s="1210" t="s">
        <v>618</v>
      </c>
      <c r="C162" s="782">
        <v>0.19</v>
      </c>
      <c r="D162" s="782">
        <v>0.17</v>
      </c>
      <c r="E162" s="782">
        <v>0.15</v>
      </c>
      <c r="F162" s="783">
        <f>IF($B$3="Bear",C162,IF($B$3="Bull",E162,IF($B$3="ProbWeighted",J162,D162)))</f>
        <v>0.17</v>
      </c>
      <c r="G162" s="1210" t="s">
        <v>251</v>
      </c>
      <c r="H162" s="1210"/>
      <c r="I162" s="1210"/>
      <c r="J162" s="355">
        <f>$C$2*C162+$E$2*D162+$G$2*E162</f>
        <v>0.16800000000000001</v>
      </c>
    </row>
    <row r="163" spans="1:10">
      <c r="A163" s="1210" t="s">
        <v>619</v>
      </c>
      <c r="B163" s="1210" t="s">
        <v>620</v>
      </c>
      <c r="C163" s="782">
        <v>0.17</v>
      </c>
      <c r="D163" s="782">
        <v>0.15</v>
      </c>
      <c r="E163" s="782">
        <v>0.13</v>
      </c>
      <c r="F163" s="783">
        <f>IF($B$3="Bear",C163,IF($B$3="Bull",E163,IF($B$3="ProbWeighted",J163,D163)))</f>
        <v>0.15</v>
      </c>
      <c r="G163" s="1210" t="s">
        <v>251</v>
      </c>
      <c r="H163" s="1210"/>
      <c r="I163" s="1210"/>
      <c r="J163" s="355">
        <f>$C$2*C163+$E$2*D163+$G$2*E163</f>
        <v>0.14799999999999999</v>
      </c>
    </row>
    <row r="164" spans="1:10">
      <c r="A164" s="1504" t="s">
        <v>621</v>
      </c>
      <c r="B164" s="1504"/>
      <c r="C164" s="1504"/>
      <c r="D164" s="1504"/>
      <c r="E164" s="1504"/>
      <c r="F164" s="1210"/>
      <c r="G164" s="1210"/>
      <c r="H164" s="1210"/>
      <c r="I164" s="1210"/>
      <c r="J164" s="1210"/>
    </row>
    <row r="165" spans="1:10">
      <c r="A165" s="1199" t="s">
        <v>622</v>
      </c>
      <c r="B165" s="1210"/>
      <c r="C165" s="1210"/>
      <c r="D165" s="1210"/>
      <c r="E165" s="1210"/>
      <c r="F165" s="1210"/>
      <c r="G165" s="1210"/>
      <c r="H165" s="1210"/>
      <c r="I165" s="1210"/>
      <c r="J165" s="1210"/>
    </row>
    <row r="166" spans="1:10">
      <c r="A166" s="719" t="s">
        <v>219</v>
      </c>
      <c r="B166" s="719" t="s">
        <v>623</v>
      </c>
      <c r="C166" s="720" t="s">
        <v>105</v>
      </c>
      <c r="D166" s="722" t="s">
        <v>106</v>
      </c>
      <c r="E166" s="723" t="s">
        <v>107</v>
      </c>
      <c r="F166" s="724" t="s">
        <v>221</v>
      </c>
      <c r="G166" s="725" t="s">
        <v>222</v>
      </c>
      <c r="H166" s="1210"/>
      <c r="I166" s="1210"/>
      <c r="J166" s="904" t="s">
        <v>108</v>
      </c>
    </row>
    <row r="167" spans="1:10">
      <c r="A167" s="714" t="s">
        <v>624</v>
      </c>
      <c r="B167" s="1210" t="s">
        <v>625</v>
      </c>
      <c r="C167" s="726">
        <v>0.35</v>
      </c>
      <c r="D167" s="794">
        <v>0.48899999999999999</v>
      </c>
      <c r="E167" s="726">
        <v>0.7</v>
      </c>
      <c r="F167" s="727">
        <f t="shared" ref="F167:F171" si="7">IF($B$3="Bear",C167,IF($B$3="Bull",E167,IF($B$3="ProbWeighted",J167,D167)))</f>
        <v>0.48899999999999999</v>
      </c>
      <c r="G167" s="728" t="s">
        <v>232</v>
      </c>
      <c r="H167" s="1210"/>
      <c r="I167" s="1210"/>
      <c r="J167" s="902">
        <f t="shared" ref="J167:J174" si="8">$C$2*C167+$E$2*D167+$G$2*E167</f>
        <v>0.52449999999999997</v>
      </c>
    </row>
    <row r="168" spans="1:10">
      <c r="A168" s="1210" t="s">
        <v>626</v>
      </c>
      <c r="B168" s="1210" t="s">
        <v>627</v>
      </c>
      <c r="C168" s="729">
        <v>0.25</v>
      </c>
      <c r="D168" s="795">
        <v>0.372</v>
      </c>
      <c r="E168" s="729">
        <v>0.55000000000000004</v>
      </c>
      <c r="F168" s="730">
        <f t="shared" si="7"/>
        <v>0.372</v>
      </c>
      <c r="G168" s="731" t="s">
        <v>232</v>
      </c>
      <c r="H168" s="1210"/>
      <c r="I168" s="1210"/>
      <c r="J168" s="902">
        <f t="shared" si="8"/>
        <v>0.40100000000000002</v>
      </c>
    </row>
    <row r="169" spans="1:10">
      <c r="A169" s="1210" t="s">
        <v>628</v>
      </c>
      <c r="B169" s="1210" t="s">
        <v>629</v>
      </c>
      <c r="C169" s="729">
        <v>0.18</v>
      </c>
      <c r="D169" s="795">
        <v>0.254</v>
      </c>
      <c r="E169" s="729">
        <v>0.38</v>
      </c>
      <c r="F169" s="730">
        <f t="shared" si="7"/>
        <v>0.254</v>
      </c>
      <c r="G169" s="731" t="s">
        <v>232</v>
      </c>
      <c r="H169" s="1210"/>
      <c r="I169" s="1210"/>
      <c r="J169" s="902">
        <f t="shared" si="8"/>
        <v>0.27700000000000002</v>
      </c>
    </row>
    <row r="170" spans="1:10">
      <c r="A170" s="1210" t="s">
        <v>630</v>
      </c>
      <c r="B170" s="1210" t="s">
        <v>631</v>
      </c>
      <c r="C170" s="729">
        <v>0.14000000000000001</v>
      </c>
      <c r="D170" s="795">
        <v>0.186</v>
      </c>
      <c r="E170" s="729">
        <v>0.27</v>
      </c>
      <c r="F170" s="730">
        <f t="shared" si="7"/>
        <v>0.186</v>
      </c>
      <c r="G170" s="731" t="s">
        <v>251</v>
      </c>
      <c r="H170" s="1210"/>
      <c r="I170" s="1210"/>
      <c r="J170" s="902">
        <f t="shared" si="8"/>
        <v>0.20200000000000001</v>
      </c>
    </row>
    <row r="171" spans="1:10">
      <c r="A171" s="1210" t="s">
        <v>632</v>
      </c>
      <c r="B171" s="1210" t="s">
        <v>633</v>
      </c>
      <c r="C171" s="729">
        <v>0.11</v>
      </c>
      <c r="D171" s="795">
        <v>0.13700000000000001</v>
      </c>
      <c r="E171" s="729">
        <v>0.19</v>
      </c>
      <c r="F171" s="730">
        <f t="shared" si="7"/>
        <v>0.13700000000000001</v>
      </c>
      <c r="G171" s="731" t="s">
        <v>251</v>
      </c>
      <c r="H171" s="1210"/>
      <c r="I171" s="1210"/>
      <c r="J171" s="902">
        <f t="shared" si="8"/>
        <v>0.14750000000000002</v>
      </c>
    </row>
    <row r="172" spans="1:10">
      <c r="A172" s="1210" t="s">
        <v>634</v>
      </c>
      <c r="B172" s="1210" t="s">
        <v>635</v>
      </c>
      <c r="C172" s="729">
        <v>0.08</v>
      </c>
      <c r="D172" s="795">
        <v>0.108</v>
      </c>
      <c r="E172" s="729">
        <v>0.13</v>
      </c>
      <c r="F172" s="730">
        <f>IF($B$3="Bear",C172,IF($B$3="Bull",E172,IF($B$3="ProbWeighted",J172,D172)))</f>
        <v>0.108</v>
      </c>
      <c r="G172" s="731" t="s">
        <v>251</v>
      </c>
      <c r="H172" s="1210"/>
      <c r="I172" s="1210"/>
      <c r="J172" s="902">
        <f t="shared" si="8"/>
        <v>0.10900000000000001</v>
      </c>
    </row>
    <row r="173" spans="1:10">
      <c r="A173" s="1210" t="s">
        <v>636</v>
      </c>
      <c r="B173" s="1210" t="s">
        <v>637</v>
      </c>
      <c r="C173" s="729">
        <v>0.06</v>
      </c>
      <c r="D173" s="795">
        <v>7.8E-2</v>
      </c>
      <c r="E173" s="729">
        <v>0.09</v>
      </c>
      <c r="F173" s="730">
        <f>IF($B$3="Bear",C173,IF($B$3="Bull",E173,IF($B$3="ProbWeighted",J173,D173)))</f>
        <v>7.8E-2</v>
      </c>
      <c r="G173" s="731" t="s">
        <v>251</v>
      </c>
      <c r="H173" s="1210"/>
      <c r="I173" s="1210"/>
      <c r="J173" s="902">
        <f t="shared" si="8"/>
        <v>7.8E-2</v>
      </c>
    </row>
    <row r="174" spans="1:10">
      <c r="A174" s="1210" t="s">
        <v>638</v>
      </c>
      <c r="B174" s="1210" t="s">
        <v>639</v>
      </c>
      <c r="C174" s="729">
        <v>0.04</v>
      </c>
      <c r="D174" s="795">
        <v>5.8999999999999997E-2</v>
      </c>
      <c r="E174" s="729">
        <v>7.0000000000000007E-2</v>
      </c>
      <c r="F174" s="730">
        <f>IF($B$3="Bear",C174,IF($B$3="Bull",E174,IF($B$3="ProbWeighted",J174,D174)))</f>
        <v>5.8999999999999997E-2</v>
      </c>
      <c r="G174" s="731" t="s">
        <v>251</v>
      </c>
      <c r="H174" s="1210"/>
      <c r="I174" s="1210"/>
      <c r="J174" s="902">
        <f t="shared" si="8"/>
        <v>5.8499999999999996E-2</v>
      </c>
    </row>
    <row r="176" spans="1:10">
      <c r="A176" s="716" t="s">
        <v>640</v>
      </c>
      <c r="B176" s="716" t="s">
        <v>641</v>
      </c>
      <c r="C176" s="732">
        <f>2.5*(1+C167)*(1+C168)*(1+C169)*(1+C170)*(1+C171)*(1+C172)*(1+C173)*(1+C174)</f>
        <v>7.4999192533200016</v>
      </c>
      <c r="D176" s="733">
        <f>2.5*(1+D167)*(1+D168)*(1+D169)*(1+D170)*(1+D171)*(1+D172)*(1+D173)*(1+D174)</f>
        <v>10.924108107214609</v>
      </c>
      <c r="E176" s="734">
        <f>2.5*(1+E167)*(1+E168)*(1+E169)*(1+E170)*(1+E171)*(1+E172)*(1+E173)*(1+E174)</f>
        <v>18.106692079161522</v>
      </c>
      <c r="F176" s="735">
        <f>2.5*(1+F167)*(1+F168)*(1+F169)*(1+F170)*(1+F171)*(1+F172)*(1+F173)*(1+F174)</f>
        <v>10.924108107214609</v>
      </c>
      <c r="G176" s="123" t="s">
        <v>457</v>
      </c>
      <c r="H176" s="1210"/>
      <c r="I176" s="1210"/>
      <c r="J176" s="1210"/>
    </row>
    <row r="177" spans="1:7">
      <c r="A177" s="716" t="s">
        <v>642</v>
      </c>
      <c r="B177" s="716" t="s">
        <v>643</v>
      </c>
      <c r="C177" s="1210"/>
      <c r="D177" s="1210"/>
      <c r="E177" s="1210"/>
      <c r="F177" s="895">
        <f>(F176-'Member Thesis'!B20)/'Member Thesis'!B20</f>
        <v>6.3643907523660312E-4</v>
      </c>
      <c r="G177" s="1210" t="s">
        <v>457</v>
      </c>
    </row>
    <row r="179" spans="1:7" ht="15.75">
      <c r="A179" s="1503" t="s">
        <v>644</v>
      </c>
      <c r="B179" s="1503"/>
      <c r="C179" s="1503"/>
      <c r="D179" s="1503"/>
      <c r="E179" s="1503"/>
      <c r="F179" s="1210"/>
      <c r="G179" s="1210"/>
    </row>
    <row r="180" spans="1:7">
      <c r="A180" s="716" t="s">
        <v>645</v>
      </c>
      <c r="B180" s="1210"/>
      <c r="C180" s="1210"/>
      <c r="D180" s="1210"/>
      <c r="E180" s="1210"/>
      <c r="F180" s="1210"/>
      <c r="G180" s="1210"/>
    </row>
    <row r="182" spans="1:7">
      <c r="A182" s="928" t="s">
        <v>646</v>
      </c>
      <c r="B182" s="1210"/>
      <c r="C182" s="1210"/>
      <c r="D182" s="1210"/>
      <c r="E182" s="1210"/>
      <c r="F182" s="1210"/>
      <c r="G182" s="1210"/>
    </row>
    <row r="183" spans="1:7">
      <c r="A183" s="789" t="s">
        <v>213</v>
      </c>
      <c r="B183" s="789" t="s">
        <v>214</v>
      </c>
      <c r="C183" s="789" t="s">
        <v>215</v>
      </c>
      <c r="D183" s="789" t="s">
        <v>647</v>
      </c>
      <c r="E183" s="1210"/>
      <c r="F183" s="1210"/>
      <c r="G183" s="1210"/>
    </row>
    <row r="184" spans="1:7">
      <c r="A184" s="906">
        <f>C2</f>
        <v>0.2</v>
      </c>
      <c r="B184" s="906">
        <f>E2</f>
        <v>0.5</v>
      </c>
      <c r="C184" s="906">
        <f>G2</f>
        <v>0.3</v>
      </c>
      <c r="D184" s="907">
        <f>I2</f>
        <v>1</v>
      </c>
      <c r="E184" s="1210"/>
      <c r="F184" s="1210"/>
      <c r="G184" s="1210"/>
    </row>
    <row r="186" spans="1:7">
      <c r="A186" s="928" t="s">
        <v>648</v>
      </c>
      <c r="B186" s="1210"/>
      <c r="C186" s="1210"/>
      <c r="D186" s="1210"/>
      <c r="E186" s="1210"/>
      <c r="F186" s="1210"/>
      <c r="G186" s="1210"/>
    </row>
    <row r="187" spans="1:7">
      <c r="A187" s="788" t="s">
        <v>649</v>
      </c>
      <c r="B187" s="789" t="s">
        <v>650</v>
      </c>
      <c r="C187" s="788" t="s">
        <v>138</v>
      </c>
      <c r="D187" s="788" t="s">
        <v>651</v>
      </c>
      <c r="E187" s="1210"/>
      <c r="F187" s="1210"/>
      <c r="G187" s="1210"/>
    </row>
    <row r="188" spans="1:7" ht="26.25">
      <c r="A188" s="611" t="s">
        <v>652</v>
      </c>
      <c r="B188" s="123" t="s">
        <v>653</v>
      </c>
      <c r="C188" s="1194" t="s">
        <v>654</v>
      </c>
      <c r="D188" s="1194" t="s">
        <v>655</v>
      </c>
      <c r="E188" s="1210"/>
      <c r="F188" s="1210"/>
      <c r="G188" s="1210"/>
    </row>
    <row r="189" spans="1:7" ht="26.25">
      <c r="A189" s="611" t="s">
        <v>656</v>
      </c>
      <c r="B189" s="123" t="s">
        <v>657</v>
      </c>
      <c r="C189" s="1194" t="s">
        <v>658</v>
      </c>
      <c r="D189" s="1194" t="s">
        <v>659</v>
      </c>
      <c r="E189" s="1210"/>
      <c r="F189" s="1210"/>
      <c r="G189" s="1210"/>
    </row>
    <row r="190" spans="1:7">
      <c r="A190" s="611" t="s">
        <v>660</v>
      </c>
      <c r="B190" s="123" t="s">
        <v>661</v>
      </c>
      <c r="C190" s="1194" t="s">
        <v>662</v>
      </c>
      <c r="D190" s="1194" t="s">
        <v>663</v>
      </c>
      <c r="E190" s="1210"/>
      <c r="F190" s="1210"/>
      <c r="G190" s="1210"/>
    </row>
    <row r="191" spans="1:7" ht="26.25">
      <c r="A191" s="611" t="s">
        <v>664</v>
      </c>
      <c r="B191" s="123" t="s">
        <v>665</v>
      </c>
      <c r="C191" s="1194" t="s">
        <v>666</v>
      </c>
      <c r="D191" s="1194" t="s">
        <v>667</v>
      </c>
      <c r="E191" s="1210"/>
      <c r="F191" s="1210"/>
      <c r="G191" s="1210"/>
    </row>
    <row r="192" spans="1:7" ht="26.25">
      <c r="A192" s="611" t="s">
        <v>668</v>
      </c>
      <c r="B192" s="123" t="s">
        <v>669</v>
      </c>
      <c r="C192" s="1194" t="s">
        <v>348</v>
      </c>
      <c r="D192" s="1194" t="s">
        <v>670</v>
      </c>
      <c r="E192" s="1210"/>
      <c r="F192" s="1210"/>
      <c r="G192" s="1210"/>
    </row>
    <row r="193" spans="1:5">
      <c r="A193" s="1210" t="s">
        <v>671</v>
      </c>
      <c r="B193" s="1210" t="s">
        <v>672</v>
      </c>
      <c r="C193" s="1210" t="s">
        <v>673</v>
      </c>
      <c r="D193" s="1210" t="s">
        <v>674</v>
      </c>
      <c r="E193" s="1210"/>
    </row>
    <row r="194" spans="1:5" ht="135">
      <c r="A194" s="1006" t="s">
        <v>675</v>
      </c>
      <c r="B194" s="1388" t="s">
        <v>676</v>
      </c>
      <c r="C194" s="1006" t="s">
        <v>677</v>
      </c>
      <c r="D194" s="1006" t="s">
        <v>678</v>
      </c>
      <c r="E194" s="1388"/>
    </row>
    <row r="195" spans="1:5">
      <c r="A195" s="929" t="s">
        <v>679</v>
      </c>
      <c r="B195" s="1210" t="s">
        <v>680</v>
      </c>
      <c r="C195" s="1210" t="s">
        <v>434</v>
      </c>
      <c r="D195" s="1210" t="s">
        <v>681</v>
      </c>
      <c r="E195" s="1210"/>
    </row>
    <row r="196" spans="1:5">
      <c r="A196" s="929" t="s">
        <v>682</v>
      </c>
      <c r="B196" s="1210" t="s">
        <v>683</v>
      </c>
      <c r="C196" s="1210" t="s">
        <v>684</v>
      </c>
      <c r="D196" s="1210" t="s">
        <v>685</v>
      </c>
      <c r="E196" s="1210"/>
    </row>
    <row r="197" spans="1:5">
      <c r="A197" s="929" t="s">
        <v>686</v>
      </c>
      <c r="B197" s="1210" t="s">
        <v>687</v>
      </c>
      <c r="C197" s="1210" t="s">
        <v>688</v>
      </c>
      <c r="D197" s="1210" t="s">
        <v>689</v>
      </c>
      <c r="E197" s="1210"/>
    </row>
    <row r="199" spans="1:5">
      <c r="A199" s="930"/>
      <c r="B199" s="1210"/>
      <c r="C199" s="1210"/>
      <c r="D199" s="1210"/>
      <c r="E199" s="1210"/>
    </row>
    <row r="200" spans="1:5">
      <c r="A200" s="1005" t="s">
        <v>690</v>
      </c>
      <c r="B200" s="1210"/>
      <c r="C200" s="1210"/>
      <c r="D200" s="1210"/>
      <c r="E200" s="1210"/>
    </row>
    <row r="201" spans="1:5">
      <c r="A201" s="929" t="s">
        <v>691</v>
      </c>
      <c r="B201" s="1210"/>
      <c r="C201" s="1210"/>
      <c r="D201" s="1210"/>
      <c r="E201" s="1210"/>
    </row>
    <row r="202" spans="1:5">
      <c r="A202" s="929" t="s">
        <v>692</v>
      </c>
      <c r="B202" s="1210"/>
      <c r="C202" s="1210"/>
      <c r="D202" s="1210"/>
      <c r="E202" s="1210"/>
    </row>
    <row r="203" spans="1:5">
      <c r="A203" s="1210" t="s">
        <v>693</v>
      </c>
      <c r="B203" s="1210"/>
      <c r="C203" s="1210"/>
      <c r="D203" s="1210"/>
      <c r="E203" s="1210"/>
    </row>
    <row r="205" spans="1:5">
      <c r="A205" s="33" t="s">
        <v>694</v>
      </c>
      <c r="B205" s="1210"/>
      <c r="C205" s="1210"/>
      <c r="D205" s="1210"/>
      <c r="E205" s="1210"/>
    </row>
    <row r="206" spans="1:5">
      <c r="A206" s="1210" t="s">
        <v>695</v>
      </c>
      <c r="B206" s="1210"/>
      <c r="C206" s="1210"/>
      <c r="D206" s="1210"/>
      <c r="E206" s="1210"/>
    </row>
    <row r="207" spans="1:5">
      <c r="A207" s="1210" t="s">
        <v>696</v>
      </c>
      <c r="B207" s="1210"/>
      <c r="C207" s="1210"/>
      <c r="D207" s="1210"/>
      <c r="E207" s="1210"/>
    </row>
    <row r="208" spans="1:5">
      <c r="A208" s="1210" t="s">
        <v>697</v>
      </c>
      <c r="B208" s="1210"/>
      <c r="C208" s="1210"/>
      <c r="D208" s="1210"/>
      <c r="E208" s="1210"/>
    </row>
    <row r="210" spans="1:11" ht="18.75">
      <c r="A210" s="1489" t="s">
        <v>698</v>
      </c>
      <c r="B210" s="1489"/>
      <c r="C210" s="1489"/>
      <c r="D210" s="1489"/>
      <c r="E210" s="1489"/>
      <c r="F210" s="1489"/>
      <c r="G210" s="1210"/>
      <c r="H210" s="1210"/>
      <c r="I210" s="1210"/>
      <c r="J210" s="1210"/>
      <c r="K210" s="1210"/>
    </row>
    <row r="211" spans="1:11">
      <c r="A211" s="1195" t="s">
        <v>699</v>
      </c>
      <c r="B211" s="1210"/>
      <c r="C211" s="1210"/>
      <c r="D211" s="1210"/>
      <c r="E211" s="1210"/>
      <c r="F211" s="1210"/>
      <c r="G211" s="1210"/>
      <c r="H211" s="1210"/>
      <c r="I211" s="1210"/>
      <c r="J211" s="1210"/>
      <c r="K211" s="1210"/>
    </row>
    <row r="213" spans="1:11">
      <c r="A213" s="1211" t="s">
        <v>700</v>
      </c>
      <c r="B213" s="1007" t="str">
        <f>"P_Bear = "&amp;TEXT($C$2,"0%")&amp;"  |  P_Base = "&amp;TEXT($E$2,"0%")&amp;"  |  P_Bull = "&amp;TEXT($G$2,"0%")&amp;"  |  Σ = "&amp;TEXT($C$2+$E$2+$G$2,"0%")</f>
        <v>P_Bear = 20%  |  P_Base = 50%  |  P_Bull = 30%  |  Σ = 100%</v>
      </c>
      <c r="C213" s="1210"/>
      <c r="D213" s="1210"/>
      <c r="E213" s="1210"/>
      <c r="F213" s="1210"/>
      <c r="G213" s="1210"/>
      <c r="H213" s="1008" t="s">
        <v>701</v>
      </c>
      <c r="I213" s="1009" t="str">
        <f>$B$3</f>
        <v>Base</v>
      </c>
      <c r="J213" s="1210"/>
      <c r="K213" s="1210"/>
    </row>
    <row r="214" spans="1:11" ht="15.75" thickBot="1">
      <c r="A214" s="1210"/>
      <c r="B214" s="1210"/>
      <c r="C214" s="1210"/>
      <c r="D214" s="1210"/>
      <c r="E214" s="1210"/>
      <c r="F214" s="1210"/>
      <c r="G214" s="1210"/>
      <c r="H214" s="1210"/>
      <c r="I214" s="1210"/>
      <c r="J214" s="1210"/>
      <c r="K214" s="1210"/>
    </row>
    <row r="215" spans="1:11" ht="15.75" thickBot="1">
      <c r="A215" s="1018" t="s">
        <v>649</v>
      </c>
      <c r="B215" s="1018" t="s">
        <v>138</v>
      </c>
      <c r="C215" s="1019" t="s">
        <v>105</v>
      </c>
      <c r="D215" s="1019" t="s">
        <v>106</v>
      </c>
      <c r="E215" s="1019" t="s">
        <v>107</v>
      </c>
      <c r="F215" s="1021" t="s">
        <v>702</v>
      </c>
      <c r="G215" s="1020" t="str">
        <f>"×"&amp;TEXT($C$2,"0%")</f>
        <v>×20%</v>
      </c>
      <c r="H215" s="1020" t="str">
        <f>"×"&amp;TEXT($E$2,"0%")</f>
        <v>×50%</v>
      </c>
      <c r="I215" s="1022" t="str">
        <f>"×"&amp;TEXT($G$2,"0%")</f>
        <v>×30%</v>
      </c>
      <c r="J215" s="1019" t="s">
        <v>703</v>
      </c>
      <c r="K215" s="1019" t="s">
        <v>704</v>
      </c>
    </row>
    <row r="216" spans="1:11">
      <c r="A216" s="1011" t="s">
        <v>705</v>
      </c>
      <c r="B216" s="1040" t="s">
        <v>706</v>
      </c>
      <c r="C216" s="1023">
        <f>C21</f>
        <v>0.12</v>
      </c>
      <c r="D216" s="1023">
        <f>D21</f>
        <v>0.12</v>
      </c>
      <c r="E216" s="1024">
        <f>E21</f>
        <v>0.05</v>
      </c>
      <c r="F216" s="1025">
        <f>$C$2*C21+$E$2*D21+$G$2*E21</f>
        <v>9.8999999999999991E-2</v>
      </c>
      <c r="G216" s="1023">
        <f>$C$2*C21</f>
        <v>2.4E-2</v>
      </c>
      <c r="H216" s="1023">
        <f>$E$2*D21</f>
        <v>0.06</v>
      </c>
      <c r="I216" s="1026">
        <f>$G$2*E21</f>
        <v>1.4999999999999999E-2</v>
      </c>
      <c r="J216" s="1027">
        <f>F21</f>
        <v>0.12</v>
      </c>
      <c r="K216" s="1023">
        <f>E21-C21</f>
        <v>-6.9999999999999993E-2</v>
      </c>
    </row>
    <row r="217" spans="1:11">
      <c r="A217" s="1015" t="s">
        <v>707</v>
      </c>
      <c r="B217" s="1042" t="s">
        <v>151</v>
      </c>
      <c r="C217" s="1031">
        <f>C39</f>
        <v>0.13</v>
      </c>
      <c r="D217" s="1031">
        <f>D39</f>
        <v>0.16</v>
      </c>
      <c r="E217" s="1031">
        <f>E39</f>
        <v>0.19</v>
      </c>
      <c r="F217" s="1032">
        <f>$C$2*C39+$E$2*D39+$G$2*E39</f>
        <v>0.16300000000000001</v>
      </c>
      <c r="G217" s="1031">
        <f>$C$2*C39</f>
        <v>2.6000000000000002E-2</v>
      </c>
      <c r="H217" s="1031">
        <f>$E$2*D39</f>
        <v>0.08</v>
      </c>
      <c r="I217" s="1033">
        <f>$G$2*E39</f>
        <v>5.6999999999999995E-2</v>
      </c>
      <c r="J217" s="1034">
        <f>F39</f>
        <v>0.16</v>
      </c>
      <c r="K217" s="1031">
        <f>E39-C39</f>
        <v>0.06</v>
      </c>
    </row>
    <row r="218" spans="1:11">
      <c r="A218" s="1012" t="s">
        <v>707</v>
      </c>
      <c r="B218" s="1040" t="s">
        <v>153</v>
      </c>
      <c r="C218" s="1023">
        <f t="shared" ref="C218:E220" si="9">C45</f>
        <v>0.13</v>
      </c>
      <c r="D218" s="1023">
        <f t="shared" si="9"/>
        <v>0.11</v>
      </c>
      <c r="E218" s="1024">
        <f t="shared" si="9"/>
        <v>0.09</v>
      </c>
      <c r="F218" s="1025">
        <f>$C$2*C45+$E$2*D45+$G$2*E45</f>
        <v>0.108</v>
      </c>
      <c r="G218" s="1023">
        <f>$C$2*C45</f>
        <v>2.6000000000000002E-2</v>
      </c>
      <c r="H218" s="1023">
        <f>$E$2*D45</f>
        <v>5.5E-2</v>
      </c>
      <c r="I218" s="1026">
        <f>$G$2*E45</f>
        <v>2.7E-2</v>
      </c>
      <c r="J218" s="1027">
        <f>F45</f>
        <v>0.11</v>
      </c>
      <c r="K218" s="1023">
        <f>E45-C45</f>
        <v>-4.0000000000000008E-2</v>
      </c>
    </row>
    <row r="219" spans="1:11">
      <c r="A219" s="1015" t="s">
        <v>660</v>
      </c>
      <c r="B219" s="1042" t="s">
        <v>158</v>
      </c>
      <c r="C219" s="1031">
        <f t="shared" si="9"/>
        <v>0.16</v>
      </c>
      <c r="D219" s="1031">
        <f t="shared" si="9"/>
        <v>0.14000000000000001</v>
      </c>
      <c r="E219" s="1031">
        <f t="shared" si="9"/>
        <v>0.12</v>
      </c>
      <c r="F219" s="1032">
        <f>$C$2*C46+$E$2*D46+$G$2*E46</f>
        <v>0.13800000000000001</v>
      </c>
      <c r="G219" s="1031">
        <f>$C$2*C46</f>
        <v>3.2000000000000001E-2</v>
      </c>
      <c r="H219" s="1031">
        <f>$E$2*D46</f>
        <v>7.0000000000000007E-2</v>
      </c>
      <c r="I219" s="1033">
        <f>$G$2*E46</f>
        <v>3.5999999999999997E-2</v>
      </c>
      <c r="J219" s="1034">
        <f>F46</f>
        <v>0.14000000000000001</v>
      </c>
      <c r="K219" s="1031">
        <f>E46-C46</f>
        <v>-4.0000000000000008E-2</v>
      </c>
    </row>
    <row r="220" spans="1:11">
      <c r="A220" s="1012" t="s">
        <v>660</v>
      </c>
      <c r="B220" s="1040" t="s">
        <v>152</v>
      </c>
      <c r="C220" s="1023">
        <f t="shared" si="9"/>
        <v>0.13</v>
      </c>
      <c r="D220" s="1023">
        <f t="shared" si="9"/>
        <v>0.11</v>
      </c>
      <c r="E220" s="1024">
        <f t="shared" si="9"/>
        <v>0.08</v>
      </c>
      <c r="F220" s="1025">
        <f>$C$2*C47+$E$2*D47+$G$2*E47</f>
        <v>0.10500000000000001</v>
      </c>
      <c r="G220" s="1023">
        <f>$C$2*C47</f>
        <v>2.6000000000000002E-2</v>
      </c>
      <c r="H220" s="1023">
        <f>$E$2*D47</f>
        <v>5.5E-2</v>
      </c>
      <c r="I220" s="1026">
        <f>$G$2*E47</f>
        <v>2.4E-2</v>
      </c>
      <c r="J220" s="1027">
        <f>F47</f>
        <v>0.11</v>
      </c>
      <c r="K220" s="1023">
        <f>E47-C47</f>
        <v>-0.05</v>
      </c>
    </row>
    <row r="221" spans="1:11">
      <c r="A221" s="103" t="s">
        <v>660</v>
      </c>
      <c r="B221" s="1041" t="s">
        <v>160</v>
      </c>
      <c r="C221" s="1028">
        <f t="shared" ref="C221:E222" si="10">C162</f>
        <v>0.19</v>
      </c>
      <c r="D221" s="1028">
        <f t="shared" si="10"/>
        <v>0.17</v>
      </c>
      <c r="E221" s="1029">
        <f t="shared" si="10"/>
        <v>0.15</v>
      </c>
      <c r="F221" s="1025">
        <f>$C$2*C162+$E$2*D162+$G$2*E162</f>
        <v>0.16800000000000001</v>
      </c>
      <c r="G221" s="1028">
        <f>$C$2*C162</f>
        <v>3.8000000000000006E-2</v>
      </c>
      <c r="H221" s="1028">
        <f>$E$2*D162</f>
        <v>8.5000000000000006E-2</v>
      </c>
      <c r="I221" s="1030">
        <f>$G$2*E162</f>
        <v>4.4999999999999998E-2</v>
      </c>
      <c r="J221" s="1027">
        <f>F162</f>
        <v>0.17</v>
      </c>
      <c r="K221" s="1028">
        <f>E162-C162</f>
        <v>-4.0000000000000008E-2</v>
      </c>
    </row>
    <row r="222" spans="1:11">
      <c r="A222" s="1012" t="s">
        <v>660</v>
      </c>
      <c r="B222" s="1040" t="s">
        <v>159</v>
      </c>
      <c r="C222" s="1023">
        <f t="shared" si="10"/>
        <v>0.17</v>
      </c>
      <c r="D222" s="1023">
        <f t="shared" si="10"/>
        <v>0.15</v>
      </c>
      <c r="E222" s="1024">
        <f t="shared" si="10"/>
        <v>0.13</v>
      </c>
      <c r="F222" s="1025">
        <f>$C$2*C163+$E$2*D163+$G$2*E163</f>
        <v>0.14799999999999999</v>
      </c>
      <c r="G222" s="1023">
        <f>$C$2*C163</f>
        <v>3.4000000000000002E-2</v>
      </c>
      <c r="H222" s="1023">
        <f>$E$2*D163</f>
        <v>7.4999999999999997E-2</v>
      </c>
      <c r="I222" s="1026">
        <f>$G$2*E163</f>
        <v>3.9E-2</v>
      </c>
      <c r="J222" s="1027">
        <f>F163</f>
        <v>0.15</v>
      </c>
      <c r="K222" s="1023">
        <f>E163-C163</f>
        <v>-4.0000000000000008E-2</v>
      </c>
    </row>
    <row r="223" spans="1:11">
      <c r="A223" s="1015" t="s">
        <v>708</v>
      </c>
      <c r="B223" s="1042" t="s">
        <v>348</v>
      </c>
      <c r="C223" s="1031">
        <f>C48</f>
        <v>0.05</v>
      </c>
      <c r="D223" s="1031">
        <f>D48</f>
        <v>0.04</v>
      </c>
      <c r="E223" s="1031">
        <f>E48</f>
        <v>0.03</v>
      </c>
      <c r="F223" s="1032">
        <f>$C$2*C48+$E$2*D48+$G$2*E48</f>
        <v>3.9E-2</v>
      </c>
      <c r="G223" s="1031">
        <f>$C$2*C48</f>
        <v>1.0000000000000002E-2</v>
      </c>
      <c r="H223" s="1031">
        <f>$E$2*D48</f>
        <v>0.02</v>
      </c>
      <c r="I223" s="1033">
        <f>$G$2*E48</f>
        <v>8.9999999999999993E-3</v>
      </c>
      <c r="J223" s="1034">
        <f>F48</f>
        <v>0.04</v>
      </c>
      <c r="K223" s="1031">
        <f>E48-C48</f>
        <v>-2.0000000000000004E-2</v>
      </c>
    </row>
    <row r="224" spans="1:11">
      <c r="A224" s="1016" t="s">
        <v>671</v>
      </c>
      <c r="B224" s="1043" t="s">
        <v>357</v>
      </c>
      <c r="C224" s="1035">
        <f>C51</f>
        <v>0.25</v>
      </c>
      <c r="D224" s="1035">
        <f>D51</f>
        <v>0.23</v>
      </c>
      <c r="E224" s="1035">
        <f>E51</f>
        <v>0.21</v>
      </c>
      <c r="F224" s="1032">
        <f>$C$2*C51+$E$2*D51+$G$2*E51</f>
        <v>0.22800000000000001</v>
      </c>
      <c r="G224" s="1035">
        <f>$C$2*C51</f>
        <v>0.05</v>
      </c>
      <c r="H224" s="1035">
        <f>$E$2*D51</f>
        <v>0.115</v>
      </c>
      <c r="I224" s="1036">
        <f>$G$2*E51</f>
        <v>6.3E-2</v>
      </c>
      <c r="J224" s="1034">
        <f>F51</f>
        <v>0.23</v>
      </c>
      <c r="K224" s="1035">
        <f>E51-C51</f>
        <v>-4.0000000000000008E-2</v>
      </c>
    </row>
    <row r="225" spans="1:11">
      <c r="A225" s="1015" t="s">
        <v>675</v>
      </c>
      <c r="B225" s="1042" t="s">
        <v>677</v>
      </c>
      <c r="C225" s="1031">
        <f>C74</f>
        <v>0.12175650636531818</v>
      </c>
      <c r="D225" s="1031">
        <f>D74</f>
        <v>0.115874493309381</v>
      </c>
      <c r="E225" s="1031">
        <f>E74</f>
        <v>0.11003836564433836</v>
      </c>
      <c r="F225" s="1032">
        <f>$C$2*C74+$E$2*D74+$G$2*E74</f>
        <v>0.11530005762105565</v>
      </c>
      <c r="G225" s="1031">
        <f>$C$2*C74</f>
        <v>2.4351301273063636E-2</v>
      </c>
      <c r="H225" s="1031">
        <f>$E$2*D74</f>
        <v>5.7937246654690501E-2</v>
      </c>
      <c r="I225" s="1033">
        <f>$G$2*E74</f>
        <v>3.3011509693301508E-2</v>
      </c>
      <c r="J225" s="1034">
        <f>F74</f>
        <v>0.115874493309381</v>
      </c>
      <c r="K225" s="1031">
        <f>E74-C74</f>
        <v>-1.1718140720979819E-2</v>
      </c>
    </row>
    <row r="226" spans="1:11">
      <c r="A226" s="1016" t="s">
        <v>709</v>
      </c>
      <c r="B226" s="1043" t="s">
        <v>434</v>
      </c>
      <c r="C226" s="1145">
        <f>C77</f>
        <v>3</v>
      </c>
      <c r="D226" s="1145">
        <f>D77</f>
        <v>3.5</v>
      </c>
      <c r="E226" s="1145">
        <f>E77</f>
        <v>4.5</v>
      </c>
      <c r="F226" s="1037">
        <f>$C$2*C77+$E$2*D77+$G$2*E77</f>
        <v>3.7</v>
      </c>
      <c r="G226" s="1145">
        <f>$C$2*C77</f>
        <v>0.60000000000000009</v>
      </c>
      <c r="H226" s="1145">
        <f>$E$2*D77</f>
        <v>1.75</v>
      </c>
      <c r="I226" s="1146">
        <f>$G$2*E77</f>
        <v>1.3499999999999999</v>
      </c>
      <c r="J226" s="1038">
        <f>F77</f>
        <v>3.5</v>
      </c>
      <c r="K226" s="1145">
        <f>E77-C77</f>
        <v>1.5</v>
      </c>
    </row>
    <row r="227" spans="1:11">
      <c r="A227" s="1015" t="s">
        <v>710</v>
      </c>
      <c r="B227" s="1042" t="s">
        <v>711</v>
      </c>
      <c r="C227" s="1031">
        <f>C151</f>
        <v>0.22</v>
      </c>
      <c r="D227" s="1031">
        <f>D151</f>
        <v>0.2</v>
      </c>
      <c r="E227" s="1031">
        <f>E151</f>
        <v>0.18</v>
      </c>
      <c r="F227" s="1032">
        <f>$C$2*C151+$E$2*D151+$G$2*E151</f>
        <v>0.19800000000000001</v>
      </c>
      <c r="G227" s="1031">
        <f>$C$2*C151</f>
        <v>4.4000000000000004E-2</v>
      </c>
      <c r="H227" s="1031">
        <f>$E$2*D151</f>
        <v>0.1</v>
      </c>
      <c r="I227" s="1033">
        <f>$G$2*E151</f>
        <v>5.3999999999999999E-2</v>
      </c>
      <c r="J227" s="1034">
        <f>F151</f>
        <v>0.2</v>
      </c>
      <c r="K227" s="1031">
        <f>E151-C151</f>
        <v>-4.0000000000000008E-2</v>
      </c>
    </row>
    <row r="228" spans="1:11">
      <c r="A228" s="1054" t="s">
        <v>712</v>
      </c>
      <c r="B228" s="1055" t="s">
        <v>713</v>
      </c>
      <c r="C228" s="1056">
        <f t="shared" ref="C228:E235" si="11">C167</f>
        <v>0.35</v>
      </c>
      <c r="D228" s="1056">
        <f t="shared" si="11"/>
        <v>0.48899999999999999</v>
      </c>
      <c r="E228" s="1056">
        <f t="shared" si="11"/>
        <v>0.7</v>
      </c>
      <c r="F228" s="1050">
        <f t="shared" ref="F228:F235" si="12">$C$2*C167+$E$2*D167+$G$2*E167</f>
        <v>0.52449999999999997</v>
      </c>
      <c r="G228" s="1056">
        <f t="shared" ref="G228:G235" si="13">$C$2*C167</f>
        <v>6.9999999999999993E-2</v>
      </c>
      <c r="H228" s="1056">
        <f t="shared" ref="H228:H235" si="14">$E$2*D167</f>
        <v>0.2445</v>
      </c>
      <c r="I228" s="1057">
        <f t="shared" ref="I228:I235" si="15">$G$2*E167</f>
        <v>0.21</v>
      </c>
      <c r="J228" s="1051">
        <f t="shared" ref="J228:J235" si="16">F167</f>
        <v>0.48899999999999999</v>
      </c>
      <c r="K228" s="1056">
        <f t="shared" ref="K228:K235" si="17">E167-C167</f>
        <v>0.35</v>
      </c>
    </row>
    <row r="229" spans="1:11">
      <c r="A229" s="1147" t="s">
        <v>712</v>
      </c>
      <c r="B229" s="1148" t="s">
        <v>714</v>
      </c>
      <c r="C229" s="1149">
        <f t="shared" si="11"/>
        <v>0.25</v>
      </c>
      <c r="D229" s="1149">
        <f t="shared" si="11"/>
        <v>0.372</v>
      </c>
      <c r="E229" s="1149">
        <f t="shared" si="11"/>
        <v>0.55000000000000004</v>
      </c>
      <c r="F229" s="1150">
        <f t="shared" si="12"/>
        <v>0.40100000000000002</v>
      </c>
      <c r="G229" s="1149">
        <f t="shared" si="13"/>
        <v>0.05</v>
      </c>
      <c r="H229" s="1149">
        <f t="shared" si="14"/>
        <v>0.186</v>
      </c>
      <c r="I229" s="1151">
        <f t="shared" si="15"/>
        <v>0.16500000000000001</v>
      </c>
      <c r="J229" s="1152">
        <f t="shared" si="16"/>
        <v>0.372</v>
      </c>
      <c r="K229" s="1149">
        <f t="shared" si="17"/>
        <v>0.30000000000000004</v>
      </c>
    </row>
    <row r="230" spans="1:11">
      <c r="A230" s="1047" t="s">
        <v>712</v>
      </c>
      <c r="B230" s="1048" t="s">
        <v>715</v>
      </c>
      <c r="C230" s="1024">
        <f t="shared" si="11"/>
        <v>0.18</v>
      </c>
      <c r="D230" s="1024">
        <f t="shared" si="11"/>
        <v>0.254</v>
      </c>
      <c r="E230" s="1024">
        <f t="shared" si="11"/>
        <v>0.38</v>
      </c>
      <c r="F230" s="1025">
        <f t="shared" si="12"/>
        <v>0.27700000000000002</v>
      </c>
      <c r="G230" s="1024">
        <f t="shared" si="13"/>
        <v>3.5999999999999997E-2</v>
      </c>
      <c r="H230" s="1024">
        <f t="shared" si="14"/>
        <v>0.127</v>
      </c>
      <c r="I230" s="1026">
        <f t="shared" si="15"/>
        <v>0.11399999999999999</v>
      </c>
      <c r="J230" s="1049">
        <f t="shared" si="16"/>
        <v>0.254</v>
      </c>
      <c r="K230" s="1024">
        <f t="shared" si="17"/>
        <v>0.2</v>
      </c>
    </row>
    <row r="231" spans="1:11">
      <c r="A231" s="103" t="s">
        <v>712</v>
      </c>
      <c r="B231" s="1041" t="s">
        <v>716</v>
      </c>
      <c r="C231" s="1028">
        <f t="shared" si="11"/>
        <v>0.14000000000000001</v>
      </c>
      <c r="D231" s="1028">
        <f t="shared" si="11"/>
        <v>0.186</v>
      </c>
      <c r="E231" s="1029">
        <f t="shared" si="11"/>
        <v>0.27</v>
      </c>
      <c r="F231" s="1025">
        <f t="shared" si="12"/>
        <v>0.20200000000000001</v>
      </c>
      <c r="G231" s="1028">
        <f t="shared" si="13"/>
        <v>2.8000000000000004E-2</v>
      </c>
      <c r="H231" s="1028">
        <f t="shared" si="14"/>
        <v>9.2999999999999999E-2</v>
      </c>
      <c r="I231" s="1030">
        <f t="shared" si="15"/>
        <v>8.1000000000000003E-2</v>
      </c>
      <c r="J231" s="1027">
        <f t="shared" si="16"/>
        <v>0.186</v>
      </c>
      <c r="K231" s="1028">
        <f t="shared" si="17"/>
        <v>0.13</v>
      </c>
    </row>
    <row r="232" spans="1:11">
      <c r="A232" s="1016" t="s">
        <v>712</v>
      </c>
      <c r="B232" s="1043" t="s">
        <v>717</v>
      </c>
      <c r="C232" s="1035">
        <f t="shared" si="11"/>
        <v>0.11</v>
      </c>
      <c r="D232" s="1035">
        <f t="shared" si="11"/>
        <v>0.13700000000000001</v>
      </c>
      <c r="E232" s="1035">
        <f t="shared" si="11"/>
        <v>0.19</v>
      </c>
      <c r="F232" s="1032">
        <f t="shared" si="12"/>
        <v>0.14750000000000002</v>
      </c>
      <c r="G232" s="1035">
        <f t="shared" si="13"/>
        <v>2.2000000000000002E-2</v>
      </c>
      <c r="H232" s="1035">
        <f t="shared" si="14"/>
        <v>6.8500000000000005E-2</v>
      </c>
      <c r="I232" s="1036">
        <f t="shared" si="15"/>
        <v>5.6999999999999995E-2</v>
      </c>
      <c r="J232" s="1034">
        <f t="shared" si="16"/>
        <v>0.13700000000000001</v>
      </c>
      <c r="K232" s="1035">
        <f t="shared" si="17"/>
        <v>0.08</v>
      </c>
    </row>
    <row r="233" spans="1:11">
      <c r="A233" s="103" t="s">
        <v>712</v>
      </c>
      <c r="B233" s="1041" t="s">
        <v>718</v>
      </c>
      <c r="C233" s="1028">
        <f t="shared" si="11"/>
        <v>0.08</v>
      </c>
      <c r="D233" s="1028">
        <f t="shared" si="11"/>
        <v>0.108</v>
      </c>
      <c r="E233" s="1029">
        <f t="shared" si="11"/>
        <v>0.13</v>
      </c>
      <c r="F233" s="1025">
        <f t="shared" si="12"/>
        <v>0.10900000000000001</v>
      </c>
      <c r="G233" s="1028">
        <f t="shared" si="13"/>
        <v>1.6E-2</v>
      </c>
      <c r="H233" s="1028">
        <f t="shared" si="14"/>
        <v>5.3999999999999999E-2</v>
      </c>
      <c r="I233" s="1030">
        <f t="shared" si="15"/>
        <v>3.9E-2</v>
      </c>
      <c r="J233" s="1027">
        <f t="shared" si="16"/>
        <v>0.108</v>
      </c>
      <c r="K233" s="1028">
        <f t="shared" si="17"/>
        <v>0.05</v>
      </c>
    </row>
    <row r="234" spans="1:11">
      <c r="A234" s="1016" t="s">
        <v>712</v>
      </c>
      <c r="B234" s="1043" t="s">
        <v>719</v>
      </c>
      <c r="C234" s="1035">
        <f t="shared" si="11"/>
        <v>0.06</v>
      </c>
      <c r="D234" s="1035">
        <f t="shared" si="11"/>
        <v>7.8E-2</v>
      </c>
      <c r="E234" s="1035">
        <f t="shared" si="11"/>
        <v>0.09</v>
      </c>
      <c r="F234" s="1032">
        <f t="shared" si="12"/>
        <v>7.8E-2</v>
      </c>
      <c r="G234" s="1035">
        <f t="shared" si="13"/>
        <v>1.2E-2</v>
      </c>
      <c r="H234" s="1035">
        <f t="shared" si="14"/>
        <v>3.9E-2</v>
      </c>
      <c r="I234" s="1036">
        <f t="shared" si="15"/>
        <v>2.7E-2</v>
      </c>
      <c r="J234" s="1034">
        <f t="shared" si="16"/>
        <v>7.8E-2</v>
      </c>
      <c r="K234" s="1035">
        <f t="shared" si="17"/>
        <v>0.03</v>
      </c>
    </row>
    <row r="235" spans="1:11">
      <c r="A235" s="1153" t="s">
        <v>712</v>
      </c>
      <c r="B235" s="1053" t="s">
        <v>720</v>
      </c>
      <c r="C235" s="1029">
        <f t="shared" si="11"/>
        <v>0.04</v>
      </c>
      <c r="D235" s="1029">
        <f t="shared" si="11"/>
        <v>5.8999999999999997E-2</v>
      </c>
      <c r="E235" s="1029">
        <f t="shared" si="11"/>
        <v>7.0000000000000007E-2</v>
      </c>
      <c r="F235" s="1025">
        <f t="shared" si="12"/>
        <v>5.8499999999999996E-2</v>
      </c>
      <c r="G235" s="1029">
        <f t="shared" si="13"/>
        <v>8.0000000000000002E-3</v>
      </c>
      <c r="H235" s="1029">
        <f t="shared" si="14"/>
        <v>2.9499999999999998E-2</v>
      </c>
      <c r="I235" s="1030">
        <f t="shared" si="15"/>
        <v>2.1000000000000001E-2</v>
      </c>
      <c r="J235" s="1049">
        <f t="shared" si="16"/>
        <v>5.8999999999999997E-2</v>
      </c>
      <c r="K235" s="1029">
        <f t="shared" si="17"/>
        <v>3.0000000000000006E-2</v>
      </c>
    </row>
    <row r="236" spans="1:11" ht="15.75" thickBot="1">
      <c r="A236" s="1154"/>
      <c r="B236" s="1155"/>
      <c r="C236" s="1156"/>
      <c r="D236" s="1156"/>
      <c r="E236" s="1156"/>
      <c r="F236" s="1157"/>
      <c r="G236" s="1156"/>
      <c r="H236" s="1156"/>
      <c r="I236" s="1158"/>
      <c r="J236" s="1156"/>
      <c r="K236" s="1156"/>
    </row>
    <row r="237" spans="1:11">
      <c r="A237" s="1490" t="s">
        <v>721</v>
      </c>
      <c r="B237" s="1490"/>
      <c r="C237" s="1028"/>
      <c r="D237" s="1028"/>
      <c r="E237" s="1029"/>
      <c r="F237" s="1025"/>
      <c r="G237" s="1028"/>
      <c r="H237" s="1028"/>
      <c r="I237" s="1030"/>
      <c r="J237" s="1027"/>
      <c r="K237" s="1028"/>
    </row>
    <row r="238" spans="1:11">
      <c r="A238" s="1453"/>
      <c r="B238" s="1160" t="s">
        <v>110</v>
      </c>
      <c r="C238" s="1161">
        <f>DCF!C60</f>
        <v>2496.75</v>
      </c>
      <c r="D238" s="1161">
        <f>DCF!C61</f>
        <v>7320.55</v>
      </c>
      <c r="E238" s="1161">
        <f>DCF!C62</f>
        <v>24657.67</v>
      </c>
      <c r="F238" s="1162">
        <f>DCF!C63</f>
        <v>8185.67</v>
      </c>
      <c r="G238" s="1161"/>
      <c r="H238" s="1161"/>
      <c r="I238" s="1163"/>
      <c r="J238" s="1164">
        <f>INDEX(C238:F238,MATCH($B$3,{"Bear","Base","Bull","ProbWeighted"},0))</f>
        <v>7320.55</v>
      </c>
      <c r="K238" s="1161">
        <f>E238-C238</f>
        <v>22160.92</v>
      </c>
    </row>
    <row r="239" spans="1:11" ht="15.75" thickBot="1">
      <c r="A239" s="1052"/>
      <c r="B239" s="1165" t="s">
        <v>722</v>
      </c>
      <c r="C239" s="1166" t="s">
        <v>723</v>
      </c>
      <c r="D239" s="1166" t="s">
        <v>723</v>
      </c>
      <c r="E239" s="1166" t="s">
        <v>723</v>
      </c>
      <c r="F239" s="1159">
        <f>DCF!C65</f>
        <v>11556.925999999999</v>
      </c>
      <c r="G239" s="1166"/>
      <c r="H239" s="1166"/>
      <c r="I239" s="1167"/>
      <c r="J239" s="1063">
        <f>F239</f>
        <v>11556.925999999999</v>
      </c>
      <c r="K239" s="1166" t="s">
        <v>723</v>
      </c>
    </row>
    <row r="240" spans="1:11" ht="15.75" thickBot="1">
      <c r="A240" s="1168"/>
      <c r="B240" s="1168" t="s">
        <v>724</v>
      </c>
      <c r="C240" s="1169">
        <f>C74</f>
        <v>0.12175650636531818</v>
      </c>
      <c r="D240" s="1169">
        <f>D74</f>
        <v>0.115874493309381</v>
      </c>
      <c r="E240" s="1169">
        <f>E74</f>
        <v>0.11003836564433836</v>
      </c>
      <c r="F240" s="1170">
        <f>J74</f>
        <v>0.11530005762105565</v>
      </c>
      <c r="G240" s="1169"/>
      <c r="H240" s="1169"/>
      <c r="I240" s="1169"/>
      <c r="J240" s="1171">
        <f>F74</f>
        <v>0.115874493309381</v>
      </c>
      <c r="K240" s="1169">
        <f>E74-C74</f>
        <v>-1.1718140720979819E-2</v>
      </c>
    </row>
    <row r="242" spans="1:11">
      <c r="A242" s="1172" t="s">
        <v>725</v>
      </c>
      <c r="B242" s="1060"/>
      <c r="C242" s="1061"/>
      <c r="D242" s="1061"/>
      <c r="E242" s="1061"/>
      <c r="F242" s="1062"/>
      <c r="G242" s="1061"/>
      <c r="H242" s="1061"/>
      <c r="I242" s="1061"/>
      <c r="J242" s="1063"/>
      <c r="K242" s="1061"/>
    </row>
    <row r="244" spans="1:11" ht="15.75">
      <c r="A244" s="1213" t="s">
        <v>726</v>
      </c>
      <c r="B244" s="1210"/>
      <c r="C244" s="1210"/>
      <c r="D244" s="792"/>
      <c r="E244" s="917"/>
      <c r="F244" s="917"/>
      <c r="G244" s="917"/>
      <c r="H244" s="917"/>
      <c r="I244" s="918"/>
      <c r="J244" s="1210"/>
      <c r="K244" s="1210"/>
    </row>
    <row r="246" spans="1:11">
      <c r="A246" s="1246" t="s">
        <v>727</v>
      </c>
      <c r="B246" s="1210"/>
      <c r="C246" s="1210"/>
      <c r="D246" s="1210"/>
      <c r="E246" s="1210"/>
      <c r="F246" s="1210"/>
      <c r="G246" s="1210"/>
      <c r="H246" s="1210"/>
      <c r="I246" s="1210"/>
      <c r="J246" s="1210"/>
      <c r="K246" s="1210"/>
    </row>
    <row r="247" spans="1:11">
      <c r="A247" s="1212" t="s">
        <v>104</v>
      </c>
      <c r="B247" s="1212" t="s">
        <v>728</v>
      </c>
      <c r="C247" s="958" t="s">
        <v>105</v>
      </c>
      <c r="D247" s="1247" t="s">
        <v>106</v>
      </c>
      <c r="E247" s="958" t="s">
        <v>107</v>
      </c>
      <c r="F247" s="1248" t="s">
        <v>729</v>
      </c>
      <c r="G247" s="1248" t="s">
        <v>730</v>
      </c>
      <c r="H247" s="1249" t="s">
        <v>731</v>
      </c>
      <c r="I247" s="958" t="s">
        <v>197</v>
      </c>
      <c r="J247" s="1210"/>
      <c r="K247" s="1210"/>
    </row>
    <row r="248" spans="1:11">
      <c r="A248" s="1210" t="s">
        <v>732</v>
      </c>
      <c r="B248" s="1210" t="s">
        <v>733</v>
      </c>
      <c r="C248" s="1250" t="s">
        <v>723</v>
      </c>
      <c r="D248" s="1210">
        <f>DCF!$C$30</f>
        <v>1769.3286168218406</v>
      </c>
      <c r="E248" s="1210" t="s">
        <v>723</v>
      </c>
      <c r="F248" s="1210" t="s">
        <v>723</v>
      </c>
      <c r="G248" s="1210" t="s">
        <v>723</v>
      </c>
      <c r="H248" s="1210">
        <f>DCF!$C$30</f>
        <v>1769.3286168218406</v>
      </c>
      <c r="I248" s="1210" t="s">
        <v>723</v>
      </c>
      <c r="J248" s="1210"/>
      <c r="K248" s="1210"/>
    </row>
    <row r="249" spans="1:11">
      <c r="A249" s="1210" t="s">
        <v>734</v>
      </c>
      <c r="B249" s="1210" t="s">
        <v>733</v>
      </c>
      <c r="C249" s="1210" t="s">
        <v>723</v>
      </c>
      <c r="D249" s="1210">
        <f>DCF!$C$31</f>
        <v>4832.6065753160383</v>
      </c>
      <c r="E249" s="1210" t="s">
        <v>723</v>
      </c>
      <c r="F249" s="1210" t="s">
        <v>723</v>
      </c>
      <c r="G249" s="1210" t="s">
        <v>723</v>
      </c>
      <c r="H249" s="1210">
        <f>DCF!$C$31</f>
        <v>4832.6065753160383</v>
      </c>
      <c r="I249" s="1210" t="s">
        <v>723</v>
      </c>
      <c r="J249" s="1210"/>
      <c r="K249" s="1210"/>
    </row>
    <row r="250" spans="1:11">
      <c r="A250" s="33" t="s">
        <v>735</v>
      </c>
      <c r="B250" s="1210" t="s">
        <v>733</v>
      </c>
      <c r="C250" s="1210" t="s">
        <v>723</v>
      </c>
      <c r="D250" s="1210">
        <f>DCF!$C$32</f>
        <v>6601.9351921378784</v>
      </c>
      <c r="E250" s="1210" t="s">
        <v>723</v>
      </c>
      <c r="F250" s="1210" t="s">
        <v>723</v>
      </c>
      <c r="G250" s="1210" t="s">
        <v>723</v>
      </c>
      <c r="H250" s="1210">
        <f>DCF!$C$32</f>
        <v>6601.9351921378784</v>
      </c>
      <c r="I250" s="1210" t="s">
        <v>723</v>
      </c>
      <c r="J250" s="1210"/>
      <c r="K250" s="1210"/>
    </row>
    <row r="251" spans="1:11">
      <c r="A251" s="1210" t="s">
        <v>736</v>
      </c>
      <c r="B251" s="1210" t="s">
        <v>733</v>
      </c>
      <c r="C251" s="1210" t="s">
        <v>723</v>
      </c>
      <c r="D251" s="1210" t="s">
        <v>723</v>
      </c>
      <c r="E251" s="1210" t="s">
        <v>723</v>
      </c>
      <c r="F251" s="1210" t="s">
        <v>723</v>
      </c>
      <c r="G251" s="1210" t="s">
        <v>723</v>
      </c>
      <c r="H251" s="1210">
        <f>DCF!$C$36</f>
        <v>-10</v>
      </c>
      <c r="I251" s="1210" t="s">
        <v>723</v>
      </c>
      <c r="J251" s="1210"/>
      <c r="K251" s="1210"/>
    </row>
    <row r="252" spans="1:11">
      <c r="A252" s="1210" t="s">
        <v>737</v>
      </c>
      <c r="B252" s="1210" t="s">
        <v>733</v>
      </c>
      <c r="C252" s="1210" t="s">
        <v>723</v>
      </c>
      <c r="D252" s="1210" t="s">
        <v>723</v>
      </c>
      <c r="E252" s="1210" t="s">
        <v>723</v>
      </c>
      <c r="F252" s="1210" t="s">
        <v>723</v>
      </c>
      <c r="G252" s="1210" t="s">
        <v>723</v>
      </c>
      <c r="H252" s="1210">
        <f>DCF!$C$37</f>
        <v>728.617633410959</v>
      </c>
      <c r="I252" s="1210" t="s">
        <v>723</v>
      </c>
      <c r="J252" s="1210"/>
      <c r="K252" s="1210"/>
    </row>
    <row r="253" spans="1:11">
      <c r="A253" s="1198" t="s">
        <v>738</v>
      </c>
      <c r="B253" s="1210" t="s">
        <v>733</v>
      </c>
      <c r="C253" s="1251">
        <f>DCF!C60</f>
        <v>2496.75</v>
      </c>
      <c r="D253" s="1251">
        <f>DCF!C61</f>
        <v>7320.55</v>
      </c>
      <c r="E253" s="1251">
        <f>DCF!C62</f>
        <v>24657.67</v>
      </c>
      <c r="F253" s="1251">
        <f>DCF!C63</f>
        <v>8185.67</v>
      </c>
      <c r="G253" s="1198">
        <f>DCF!C65</f>
        <v>11556.925999999999</v>
      </c>
      <c r="H253" s="1198">
        <f>DCF!C38</f>
        <v>7320.5528255488371</v>
      </c>
      <c r="I253" s="1252">
        <f>H253/DCF!$C$52-1</f>
        <v>-0.27519278954962012</v>
      </c>
      <c r="J253" s="1210"/>
      <c r="K253" s="1210"/>
    </row>
    <row r="254" spans="1:11">
      <c r="A254" s="1210" t="s">
        <v>739</v>
      </c>
      <c r="B254" s="1210" t="s">
        <v>733</v>
      </c>
      <c r="C254" s="1250" t="s">
        <v>70</v>
      </c>
      <c r="D254" s="1250" t="s">
        <v>70</v>
      </c>
      <c r="E254" s="1250" t="s">
        <v>70</v>
      </c>
      <c r="F254" s="1250" t="s">
        <v>70</v>
      </c>
      <c r="G254" s="1210" t="s">
        <v>70</v>
      </c>
      <c r="H254" s="1210" t="s">
        <v>70</v>
      </c>
      <c r="I254" s="1210" t="s">
        <v>723</v>
      </c>
      <c r="J254" s="1210"/>
      <c r="K254" s="1210"/>
    </row>
    <row r="255" spans="1:11">
      <c r="A255" s="792" t="s">
        <v>134</v>
      </c>
      <c r="B255" s="1210" t="s">
        <v>733</v>
      </c>
      <c r="C255" s="1253" t="s">
        <v>70</v>
      </c>
      <c r="D255" s="1253" t="s">
        <v>70</v>
      </c>
      <c r="E255" s="1253" t="s">
        <v>70</v>
      </c>
      <c r="F255" s="1253" t="s">
        <v>70</v>
      </c>
      <c r="G255" s="792" t="s">
        <v>70</v>
      </c>
      <c r="H255" s="792" t="s">
        <v>70</v>
      </c>
      <c r="I255" s="1254" t="s">
        <v>70</v>
      </c>
      <c r="J255" s="1210"/>
      <c r="K255" s="1210"/>
    </row>
    <row r="256" spans="1:11">
      <c r="A256" s="1210" t="s">
        <v>740</v>
      </c>
      <c r="B256" s="1210" t="s">
        <v>741</v>
      </c>
      <c r="C256" s="1250">
        <f>$F$54</f>
        <v>410</v>
      </c>
      <c r="D256" s="1250">
        <f>$F$54</f>
        <v>410</v>
      </c>
      <c r="E256" s="1250">
        <f>$F$54</f>
        <v>410</v>
      </c>
      <c r="F256" s="1250">
        <f>$F$54</f>
        <v>410</v>
      </c>
      <c r="G256" s="1250">
        <f>$F$54</f>
        <v>410</v>
      </c>
      <c r="H256" s="1250">
        <f>$F$54</f>
        <v>410</v>
      </c>
      <c r="I256" s="1210" t="s">
        <v>723</v>
      </c>
      <c r="J256" s="1210"/>
      <c r="K256" s="1210"/>
    </row>
    <row r="257" spans="1:9">
      <c r="A257" s="33" t="s">
        <v>742</v>
      </c>
      <c r="B257" s="1210" t="s">
        <v>743</v>
      </c>
      <c r="C257" s="1255">
        <f>C253/C256</f>
        <v>6.0896341463414636</v>
      </c>
      <c r="D257" s="1255">
        <f>D253/D256</f>
        <v>17.855</v>
      </c>
      <c r="E257" s="1255">
        <f>E253/E256</f>
        <v>60.140658536585363</v>
      </c>
      <c r="F257" s="1255">
        <f>F253/F256</f>
        <v>19.965048780487805</v>
      </c>
      <c r="G257" s="1255">
        <f>G253/G256</f>
        <v>28.187624390243901</v>
      </c>
      <c r="H257" s="1255">
        <f>H253/H256</f>
        <v>17.85500689158253</v>
      </c>
      <c r="I257" s="1256">
        <f>H257/(DCF!$C$52/$F$54)-1</f>
        <v>-0.27519278954962001</v>
      </c>
    </row>
    <row r="258" spans="1:9">
      <c r="A258" s="33" t="s">
        <v>744</v>
      </c>
      <c r="B258" s="1210" t="s">
        <v>743</v>
      </c>
      <c r="C258" s="1255" t="s">
        <v>70</v>
      </c>
      <c r="D258" s="1255" t="s">
        <v>70</v>
      </c>
      <c r="E258" s="1255" t="s">
        <v>70</v>
      </c>
      <c r="F258" s="1255" t="s">
        <v>70</v>
      </c>
      <c r="G258" s="1255" t="s">
        <v>70</v>
      </c>
      <c r="H258" s="1255" t="s">
        <v>70</v>
      </c>
      <c r="I258" s="1256" t="s">
        <v>70</v>
      </c>
    </row>
    <row r="259" spans="1:9">
      <c r="A259" s="1210" t="s">
        <v>72</v>
      </c>
      <c r="B259" s="1210" t="s">
        <v>733</v>
      </c>
      <c r="C259" s="1210">
        <f>DCF!$C$52</f>
        <v>10100</v>
      </c>
      <c r="D259" s="1210">
        <f>DCF!$C$52</f>
        <v>10100</v>
      </c>
      <c r="E259" s="1210">
        <f>DCF!$C$52</f>
        <v>10100</v>
      </c>
      <c r="F259" s="1210">
        <f>DCF!$C$52</f>
        <v>10100</v>
      </c>
      <c r="G259" s="1210">
        <f>DCF!$C$52</f>
        <v>10100</v>
      </c>
      <c r="H259" s="1210">
        <f>DCF!$C$52</f>
        <v>10100</v>
      </c>
      <c r="I259" s="1210" t="s">
        <v>723</v>
      </c>
    </row>
    <row r="260" spans="1:9">
      <c r="A260" s="1210" t="s">
        <v>745</v>
      </c>
      <c r="B260" s="1210" t="s">
        <v>746</v>
      </c>
      <c r="C260" s="1257">
        <f>C253/DCF!$C$52-1</f>
        <v>-0.75279702970297024</v>
      </c>
      <c r="D260" s="1257">
        <f>D253/DCF!$C$52-1</f>
        <v>-0.27519306930693066</v>
      </c>
      <c r="E260" s="1257">
        <f>E253/DCF!$C$52-1</f>
        <v>1.4413534653465345</v>
      </c>
      <c r="F260" s="1257">
        <f>F253/DCF!$C$52-1</f>
        <v>-0.18953762376237626</v>
      </c>
      <c r="G260" s="1257">
        <f>G253/DCF!$C$52-1</f>
        <v>0.14425009900990093</v>
      </c>
      <c r="H260" s="1257">
        <f>H253/DCF!$C$52-1</f>
        <v>-0.27519278954962012</v>
      </c>
      <c r="I260" s="1210" t="s">
        <v>723</v>
      </c>
    </row>
    <row r="262" spans="1:9">
      <c r="A262" s="1246" t="s">
        <v>747</v>
      </c>
      <c r="B262" s="1210"/>
      <c r="C262" s="1210"/>
      <c r="D262" s="1210"/>
      <c r="E262" s="1210"/>
      <c r="F262" s="1210"/>
      <c r="G262" s="1210"/>
      <c r="H262" s="1210"/>
      <c r="I262" s="1210"/>
    </row>
    <row r="263" spans="1:9">
      <c r="A263" s="1212" t="s">
        <v>649</v>
      </c>
      <c r="B263" s="1212" t="s">
        <v>138</v>
      </c>
      <c r="C263" s="958" t="s">
        <v>105</v>
      </c>
      <c r="D263" s="1247" t="s">
        <v>106</v>
      </c>
      <c r="E263" s="958" t="s">
        <v>107</v>
      </c>
      <c r="F263" s="1248" t="s">
        <v>702</v>
      </c>
      <c r="G263" s="1249" t="s">
        <v>221</v>
      </c>
      <c r="H263" s="958" t="s">
        <v>704</v>
      </c>
      <c r="I263" s="1210"/>
    </row>
    <row r="264" spans="1:9">
      <c r="A264" s="1210" t="str">
        <f>A216</f>
        <v>§1 Cohort</v>
      </c>
      <c r="B264" s="1210" t="str">
        <f>B216</f>
        <v>Y3+ Cohort Annual Churn</v>
      </c>
      <c r="C264" s="1258">
        <f>C216</f>
        <v>0.12</v>
      </c>
      <c r="D264" s="1259">
        <f>D216</f>
        <v>0.12</v>
      </c>
      <c r="E264" s="1258">
        <f>E216</f>
        <v>0.05</v>
      </c>
      <c r="F264" s="1260">
        <f>F216</f>
        <v>9.8999999999999991E-2</v>
      </c>
      <c r="G264" s="1261">
        <f>J216</f>
        <v>0.12</v>
      </c>
      <c r="H264" s="1258">
        <f>K216</f>
        <v>-6.9999999999999993E-2</v>
      </c>
      <c r="I264" s="1210"/>
    </row>
    <row r="265" spans="1:9">
      <c r="A265" s="1210" t="str">
        <f t="shared" ref="A265:F265" si="18">A217</f>
        <v>§2 OpEx</v>
      </c>
      <c r="B265" s="1210" t="str">
        <f t="shared" si="18"/>
        <v>R&amp;D % Rev (terminal)</v>
      </c>
      <c r="C265" s="1258">
        <f t="shared" si="18"/>
        <v>0.13</v>
      </c>
      <c r="D265" s="1259">
        <f t="shared" si="18"/>
        <v>0.16</v>
      </c>
      <c r="E265" s="1258">
        <f t="shared" si="18"/>
        <v>0.19</v>
      </c>
      <c r="F265" s="1260">
        <f t="shared" si="18"/>
        <v>0.16300000000000001</v>
      </c>
      <c r="G265" s="1261">
        <f t="shared" ref="G265:H265" si="19">J217</f>
        <v>0.16</v>
      </c>
      <c r="H265" s="1258">
        <f t="shared" si="19"/>
        <v>0.06</v>
      </c>
      <c r="I265" s="1210"/>
    </row>
    <row r="266" spans="1:9">
      <c r="A266" s="1210" t="str">
        <f t="shared" ref="A266:F266" si="20">A218</f>
        <v>§2 OpEx</v>
      </c>
      <c r="B266" s="1210" t="str">
        <f t="shared" si="20"/>
        <v>G&amp;A % Rev (terminal)</v>
      </c>
      <c r="C266" s="1258">
        <f t="shared" si="20"/>
        <v>0.13</v>
      </c>
      <c r="D266" s="1259">
        <f t="shared" si="20"/>
        <v>0.11</v>
      </c>
      <c r="E266" s="1258">
        <f t="shared" si="20"/>
        <v>0.09</v>
      </c>
      <c r="F266" s="1260">
        <f t="shared" si="20"/>
        <v>0.108</v>
      </c>
      <c r="G266" s="1261">
        <f t="shared" ref="G266:H266" si="21">J218</f>
        <v>0.11</v>
      </c>
      <c r="H266" s="1258">
        <f t="shared" si="21"/>
        <v>-4.0000000000000008E-2</v>
      </c>
      <c r="I266" s="1210"/>
    </row>
    <row r="267" spans="1:9">
      <c r="A267" s="1210" t="str">
        <f t="shared" ref="A267:F267" si="22">A219</f>
        <v>§2 SBC</v>
      </c>
      <c r="B267" s="1210" t="str">
        <f t="shared" si="22"/>
        <v>SBC % Rev (current)</v>
      </c>
      <c r="C267" s="1258">
        <f t="shared" si="22"/>
        <v>0.16</v>
      </c>
      <c r="D267" s="1259">
        <f t="shared" si="22"/>
        <v>0.14000000000000001</v>
      </c>
      <c r="E267" s="1258">
        <f t="shared" si="22"/>
        <v>0.12</v>
      </c>
      <c r="F267" s="1260">
        <f t="shared" si="22"/>
        <v>0.13800000000000001</v>
      </c>
      <c r="G267" s="1261">
        <f t="shared" ref="G267:H267" si="23">J219</f>
        <v>0.14000000000000001</v>
      </c>
      <c r="H267" s="1258">
        <f t="shared" si="23"/>
        <v>-4.0000000000000008E-2</v>
      </c>
      <c r="I267" s="1210"/>
    </row>
    <row r="268" spans="1:9">
      <c r="A268" s="1210" t="str">
        <f t="shared" ref="A268:F268" si="24">A220</f>
        <v>§2 SBC</v>
      </c>
      <c r="B268" s="1210" t="str">
        <f t="shared" si="24"/>
        <v>SBC % Rev (terminal)</v>
      </c>
      <c r="C268" s="1258">
        <f t="shared" si="24"/>
        <v>0.13</v>
      </c>
      <c r="D268" s="1259">
        <f t="shared" si="24"/>
        <v>0.11</v>
      </c>
      <c r="E268" s="1258">
        <f t="shared" si="24"/>
        <v>0.08</v>
      </c>
      <c r="F268" s="1260">
        <f t="shared" si="24"/>
        <v>0.10500000000000001</v>
      </c>
      <c r="G268" s="1261">
        <f t="shared" ref="G268:H268" si="25">J220</f>
        <v>0.11</v>
      </c>
      <c r="H268" s="1258">
        <f t="shared" si="25"/>
        <v>-0.05</v>
      </c>
      <c r="I268" s="1210"/>
    </row>
    <row r="269" spans="1:9">
      <c r="A269" s="1210" t="str">
        <f t="shared" ref="A269:F269" si="26">A221</f>
        <v>§2 SBC</v>
      </c>
      <c r="B269" s="1210" t="str">
        <f t="shared" si="26"/>
        <v>SBC IPO 2027 override</v>
      </c>
      <c r="C269" s="1258">
        <f t="shared" si="26"/>
        <v>0.19</v>
      </c>
      <c r="D269" s="1259">
        <f t="shared" si="26"/>
        <v>0.17</v>
      </c>
      <c r="E269" s="1258">
        <f t="shared" si="26"/>
        <v>0.15</v>
      </c>
      <c r="F269" s="1260">
        <f t="shared" si="26"/>
        <v>0.16800000000000001</v>
      </c>
      <c r="G269" s="1261">
        <f t="shared" ref="G269:H269" si="27">J221</f>
        <v>0.17</v>
      </c>
      <c r="H269" s="1258">
        <f t="shared" si="27"/>
        <v>-4.0000000000000008E-2</v>
      </c>
      <c r="I269" s="1210"/>
    </row>
    <row r="270" spans="1:9">
      <c r="A270" s="1210" t="str">
        <f t="shared" ref="A270:F270" si="28">A222</f>
        <v>§2 SBC</v>
      </c>
      <c r="B270" s="1210" t="str">
        <f t="shared" si="28"/>
        <v>SBC IPO 2028 override</v>
      </c>
      <c r="C270" s="1258">
        <f t="shared" si="28"/>
        <v>0.17</v>
      </c>
      <c r="D270" s="1259">
        <f t="shared" si="28"/>
        <v>0.15</v>
      </c>
      <c r="E270" s="1258">
        <f t="shared" si="28"/>
        <v>0.13</v>
      </c>
      <c r="F270" s="1260">
        <f t="shared" si="28"/>
        <v>0.14799999999999999</v>
      </c>
      <c r="G270" s="1261">
        <f t="shared" ref="G270:H270" si="29">J222</f>
        <v>0.15</v>
      </c>
      <c r="H270" s="1258">
        <f t="shared" si="29"/>
        <v>-4.0000000000000008E-2</v>
      </c>
      <c r="I270" s="1210"/>
    </row>
    <row r="271" spans="1:9">
      <c r="A271" s="1210" t="str">
        <f t="shared" ref="A271:F271" si="30">A223</f>
        <v>§3 FCF</v>
      </c>
      <c r="B271" s="1210" t="str">
        <f t="shared" si="30"/>
        <v>CapEx % of Revenue</v>
      </c>
      <c r="C271" s="1258">
        <f t="shared" si="30"/>
        <v>0.05</v>
      </c>
      <c r="D271" s="1259">
        <f t="shared" si="30"/>
        <v>0.04</v>
      </c>
      <c r="E271" s="1258">
        <f t="shared" si="30"/>
        <v>0.03</v>
      </c>
      <c r="F271" s="1260">
        <f t="shared" si="30"/>
        <v>3.9E-2</v>
      </c>
      <c r="G271" s="1261">
        <f t="shared" ref="G271:H271" si="31">J223</f>
        <v>0.04</v>
      </c>
      <c r="H271" s="1258">
        <f t="shared" si="31"/>
        <v>-2.0000000000000004E-2</v>
      </c>
      <c r="I271" s="1210"/>
    </row>
    <row r="272" spans="1:9">
      <c r="A272" s="1210" t="str">
        <f t="shared" ref="A272:F272" si="32">A224</f>
        <v>§3 Tax</v>
      </c>
      <c r="B272" s="1210" t="str">
        <f t="shared" si="32"/>
        <v>Tax Rate (effective)</v>
      </c>
      <c r="C272" s="1258">
        <f t="shared" si="32"/>
        <v>0.25</v>
      </c>
      <c r="D272" s="1259">
        <f t="shared" si="32"/>
        <v>0.23</v>
      </c>
      <c r="E272" s="1258">
        <f t="shared" si="32"/>
        <v>0.21</v>
      </c>
      <c r="F272" s="1260">
        <f t="shared" si="32"/>
        <v>0.22800000000000001</v>
      </c>
      <c r="G272" s="1261">
        <f t="shared" ref="G272:H272" si="33">J224</f>
        <v>0.23</v>
      </c>
      <c r="H272" s="1258">
        <f t="shared" si="33"/>
        <v>-4.0000000000000008E-2</v>
      </c>
      <c r="I272" s="1210"/>
    </row>
    <row r="273" spans="1:8">
      <c r="A273" s="1210" t="str">
        <f t="shared" ref="A273:F273" si="34">A225</f>
        <v>§4 WACC</v>
      </c>
      <c r="B273" s="1210" t="str">
        <f t="shared" si="34"/>
        <v>Bottoms-Up WACC (DCF reads)</v>
      </c>
      <c r="C273" s="1258">
        <f t="shared" si="34"/>
        <v>0.12175650636531818</v>
      </c>
      <c r="D273" s="1259">
        <f t="shared" si="34"/>
        <v>0.115874493309381</v>
      </c>
      <c r="E273" s="1258">
        <f t="shared" si="34"/>
        <v>0.11003836564433836</v>
      </c>
      <c r="F273" s="1260">
        <f t="shared" si="34"/>
        <v>0.11530005762105565</v>
      </c>
      <c r="G273" s="1261">
        <f t="shared" ref="G273:H273" si="35">J225</f>
        <v>0.115874493309381</v>
      </c>
      <c r="H273" s="1258">
        <f t="shared" si="35"/>
        <v>-1.1718140720979819E-2</v>
      </c>
    </row>
    <row r="274" spans="1:8">
      <c r="A274" s="1210" t="str">
        <f t="shared" ref="A274:F274" si="36">A226</f>
        <v>§5 TV</v>
      </c>
      <c r="B274" s="1210" t="str">
        <f t="shared" si="36"/>
        <v>Terminal EV/Revenue Multiple</v>
      </c>
      <c r="C274" s="1266">
        <f t="shared" si="36"/>
        <v>3</v>
      </c>
      <c r="D274" s="1267">
        <f t="shared" si="36"/>
        <v>3.5</v>
      </c>
      <c r="E274" s="1266">
        <f t="shared" si="36"/>
        <v>4.5</v>
      </c>
      <c r="F274" s="1268">
        <f t="shared" si="36"/>
        <v>3.7</v>
      </c>
      <c r="G274" s="1269">
        <f t="shared" ref="G274:H274" si="37">J226</f>
        <v>3.5</v>
      </c>
      <c r="H274" s="1266">
        <f t="shared" si="37"/>
        <v>1.5</v>
      </c>
    </row>
    <row r="275" spans="1:8">
      <c r="A275" s="1210" t="str">
        <f t="shared" ref="A275:F275" si="38">A227</f>
        <v>§10 ARPU</v>
      </c>
      <c r="B275" s="1210" t="str">
        <f t="shared" si="38"/>
        <v>Blended COGS % 2033 End</v>
      </c>
      <c r="C275" s="1258">
        <f t="shared" si="38"/>
        <v>0.22</v>
      </c>
      <c r="D275" s="1259">
        <f t="shared" si="38"/>
        <v>0.2</v>
      </c>
      <c r="E275" s="1258">
        <f t="shared" si="38"/>
        <v>0.18</v>
      </c>
      <c r="F275" s="1260">
        <f t="shared" si="38"/>
        <v>0.19800000000000001</v>
      </c>
      <c r="G275" s="1261">
        <f t="shared" ref="G275:H275" si="39">J227</f>
        <v>0.2</v>
      </c>
      <c r="H275" s="1258">
        <f t="shared" si="39"/>
        <v>-4.0000000000000008E-2</v>
      </c>
    </row>
    <row r="276" spans="1:8">
      <c r="A276" s="1210" t="str">
        <f t="shared" ref="A276:F276" si="40">A228</f>
        <v>§12 Members</v>
      </c>
      <c r="B276" s="1210" t="str">
        <f t="shared" si="40"/>
        <v>MG1 — 2026 YoY</v>
      </c>
      <c r="C276" s="1258">
        <f t="shared" si="40"/>
        <v>0.35</v>
      </c>
      <c r="D276" s="1259">
        <f t="shared" si="40"/>
        <v>0.48899999999999999</v>
      </c>
      <c r="E276" s="1258">
        <f t="shared" si="40"/>
        <v>0.7</v>
      </c>
      <c r="F276" s="1260">
        <f t="shared" si="40"/>
        <v>0.52449999999999997</v>
      </c>
      <c r="G276" s="1261">
        <f t="shared" ref="G276:H276" si="41">J228</f>
        <v>0.48899999999999999</v>
      </c>
      <c r="H276" s="1258">
        <f t="shared" si="41"/>
        <v>0.35</v>
      </c>
    </row>
    <row r="277" spans="1:8">
      <c r="A277" s="1210" t="str">
        <f t="shared" ref="A277:F277" si="42">A229</f>
        <v>§12 Members</v>
      </c>
      <c r="B277" s="1210" t="str">
        <f t="shared" si="42"/>
        <v>MG2 — 2027 YoY</v>
      </c>
      <c r="C277" s="1258">
        <f t="shared" si="42"/>
        <v>0.25</v>
      </c>
      <c r="D277" s="1259">
        <f t="shared" si="42"/>
        <v>0.372</v>
      </c>
      <c r="E277" s="1258">
        <f t="shared" si="42"/>
        <v>0.55000000000000004</v>
      </c>
      <c r="F277" s="1260">
        <f t="shared" si="42"/>
        <v>0.40100000000000002</v>
      </c>
      <c r="G277" s="1261">
        <f t="shared" ref="G277:H277" si="43">J229</f>
        <v>0.372</v>
      </c>
      <c r="H277" s="1258">
        <f t="shared" si="43"/>
        <v>0.30000000000000004</v>
      </c>
    </row>
    <row r="278" spans="1:8">
      <c r="A278" s="1210" t="str">
        <f t="shared" ref="A278:F278" si="44">A230</f>
        <v>§12 Members</v>
      </c>
      <c r="B278" s="1210" t="str">
        <f t="shared" si="44"/>
        <v>MG3 — 2028 YoY</v>
      </c>
      <c r="C278" s="1258">
        <f t="shared" si="44"/>
        <v>0.18</v>
      </c>
      <c r="D278" s="1259">
        <f t="shared" si="44"/>
        <v>0.254</v>
      </c>
      <c r="E278" s="1258">
        <f t="shared" si="44"/>
        <v>0.38</v>
      </c>
      <c r="F278" s="1260">
        <f t="shared" si="44"/>
        <v>0.27700000000000002</v>
      </c>
      <c r="G278" s="1261">
        <f t="shared" ref="G278:H278" si="45">J230</f>
        <v>0.254</v>
      </c>
      <c r="H278" s="1258">
        <f t="shared" si="45"/>
        <v>0.2</v>
      </c>
    </row>
    <row r="279" spans="1:8">
      <c r="A279" s="1210" t="str">
        <f t="shared" ref="A279:F279" si="46">A231</f>
        <v>§12 Members</v>
      </c>
      <c r="B279" s="1210" t="str">
        <f t="shared" si="46"/>
        <v>MG4 — 2029 YoY</v>
      </c>
      <c r="C279" s="1258">
        <f t="shared" si="46"/>
        <v>0.14000000000000001</v>
      </c>
      <c r="D279" s="1259">
        <f t="shared" si="46"/>
        <v>0.186</v>
      </c>
      <c r="E279" s="1258">
        <f t="shared" si="46"/>
        <v>0.27</v>
      </c>
      <c r="F279" s="1260">
        <f t="shared" si="46"/>
        <v>0.20200000000000001</v>
      </c>
      <c r="G279" s="1261">
        <f t="shared" ref="G279:H279" si="47">J231</f>
        <v>0.186</v>
      </c>
      <c r="H279" s="1258">
        <f t="shared" si="47"/>
        <v>0.13</v>
      </c>
    </row>
    <row r="280" spans="1:8">
      <c r="A280" s="1210" t="str">
        <f t="shared" ref="A280:F280" si="48">A232</f>
        <v>§12 Members</v>
      </c>
      <c r="B280" s="1210" t="str">
        <f t="shared" si="48"/>
        <v>MG5 — 2030 YoY</v>
      </c>
      <c r="C280" s="1258">
        <f t="shared" si="48"/>
        <v>0.11</v>
      </c>
      <c r="D280" s="1259">
        <f t="shared" si="48"/>
        <v>0.13700000000000001</v>
      </c>
      <c r="E280" s="1258">
        <f t="shared" si="48"/>
        <v>0.19</v>
      </c>
      <c r="F280" s="1260">
        <f t="shared" si="48"/>
        <v>0.14750000000000002</v>
      </c>
      <c r="G280" s="1261">
        <f t="shared" ref="G280:H280" si="49">J232</f>
        <v>0.13700000000000001</v>
      </c>
      <c r="H280" s="1258">
        <f t="shared" si="49"/>
        <v>0.08</v>
      </c>
    </row>
    <row r="281" spans="1:8">
      <c r="A281" s="1210" t="str">
        <f t="shared" ref="A281:F281" si="50">A233</f>
        <v>§12 Members</v>
      </c>
      <c r="B281" s="1210" t="str">
        <f t="shared" si="50"/>
        <v>MG6 — 2031 YoY</v>
      </c>
      <c r="C281" s="1258">
        <f t="shared" si="50"/>
        <v>0.08</v>
      </c>
      <c r="D281" s="1259">
        <f t="shared" si="50"/>
        <v>0.108</v>
      </c>
      <c r="E281" s="1258">
        <f t="shared" si="50"/>
        <v>0.13</v>
      </c>
      <c r="F281" s="1260">
        <f t="shared" si="50"/>
        <v>0.10900000000000001</v>
      </c>
      <c r="G281" s="1261">
        <f t="shared" ref="G281:H281" si="51">J233</f>
        <v>0.108</v>
      </c>
      <c r="H281" s="1258">
        <f t="shared" si="51"/>
        <v>0.05</v>
      </c>
    </row>
    <row r="282" spans="1:8">
      <c r="A282" s="1210" t="str">
        <f t="shared" ref="A282:F282" si="52">A234</f>
        <v>§12 Members</v>
      </c>
      <c r="B282" s="1210" t="str">
        <f t="shared" si="52"/>
        <v>MG7 — 2032 YoY</v>
      </c>
      <c r="C282" s="1258">
        <f t="shared" si="52"/>
        <v>0.06</v>
      </c>
      <c r="D282" s="1259">
        <f t="shared" si="52"/>
        <v>7.8E-2</v>
      </c>
      <c r="E282" s="1258">
        <f t="shared" si="52"/>
        <v>0.09</v>
      </c>
      <c r="F282" s="1260">
        <f t="shared" si="52"/>
        <v>7.8E-2</v>
      </c>
      <c r="G282" s="1261">
        <f t="shared" ref="G282:H282" si="53">J234</f>
        <v>7.8E-2</v>
      </c>
      <c r="H282" s="1258">
        <f t="shared" si="53"/>
        <v>0.03</v>
      </c>
    </row>
    <row r="283" spans="1:8">
      <c r="A283" s="1210" t="str">
        <f>A235</f>
        <v>§12 Members</v>
      </c>
      <c r="B283" s="1210" t="str">
        <f>B235</f>
        <v>MG8 — 2033 YoY</v>
      </c>
      <c r="C283" s="1262">
        <f>C235</f>
        <v>0.04</v>
      </c>
      <c r="D283" s="1263">
        <f>D235</f>
        <v>5.8999999999999997E-2</v>
      </c>
      <c r="E283" s="1262">
        <f>E235</f>
        <v>7.0000000000000007E-2</v>
      </c>
      <c r="F283" s="1264">
        <f>F235</f>
        <v>5.8499999999999996E-2</v>
      </c>
      <c r="G283" s="1265">
        <f>J235</f>
        <v>5.8999999999999997E-2</v>
      </c>
      <c r="H283" s="1262">
        <f>K235</f>
        <v>3.0000000000000006E-2</v>
      </c>
    </row>
    <row r="285" spans="1:8">
      <c r="A285" s="1270" t="s">
        <v>748</v>
      </c>
      <c r="B285" s="1210"/>
      <c r="C285" s="1210"/>
      <c r="D285" s="1210"/>
      <c r="E285" s="1210"/>
      <c r="F285" s="1210"/>
      <c r="G285" s="1210"/>
      <c r="H285" s="1210"/>
    </row>
  </sheetData>
  <mergeCells count="25">
    <mergeCell ref="C3:I3"/>
    <mergeCell ref="A75:I75"/>
    <mergeCell ref="A103:I103"/>
    <mergeCell ref="A113:I113"/>
    <mergeCell ref="A125:I125"/>
    <mergeCell ref="B109:I109"/>
    <mergeCell ref="B111:I111"/>
    <mergeCell ref="B108:I108"/>
    <mergeCell ref="B110:I110"/>
    <mergeCell ref="A210:F210"/>
    <mergeCell ref="A237:B237"/>
    <mergeCell ref="A1:N1"/>
    <mergeCell ref="A88:I88"/>
    <mergeCell ref="B107:I107"/>
    <mergeCell ref="A67:I67"/>
    <mergeCell ref="A106:I106"/>
    <mergeCell ref="A53:I53"/>
    <mergeCell ref="A29:I29"/>
    <mergeCell ref="A104:I104"/>
    <mergeCell ref="A7:I7"/>
    <mergeCell ref="A82:I82"/>
    <mergeCell ref="A95:I95"/>
    <mergeCell ref="A179:E179"/>
    <mergeCell ref="A164:E164"/>
    <mergeCell ref="A153:I153"/>
  </mergeCells>
  <conditionalFormatting sqref="I2">
    <cfRule type="cellIs" dxfId="12" priority="1" operator="notEqual">
      <formula>1</formula>
    </cfRule>
  </conditionalFormatting>
  <dataValidations count="1">
    <dataValidation type="list" sqref="B3" xr:uid="{00000000-0002-0000-0100-000000000000}">
      <formula1>"Bear,Base,Bull"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1ED-0C84-421F-81A1-4968AAFC4A5D}">
  <sheetPr>
    <tabColor rgb="FF2F5496"/>
  </sheetPr>
  <dimension ref="A1:M200"/>
  <sheetViews>
    <sheetView showGridLines="0" zoomScale="160" zoomScaleNormal="100" workbookViewId="0">
      <selection activeCell="M86" sqref="M86"/>
    </sheetView>
  </sheetViews>
  <sheetFormatPr defaultColWidth="8.85546875" defaultRowHeight="15"/>
  <cols>
    <col min="1" max="1" width="53.28515625" customWidth="1"/>
    <col min="2" max="2" width="15.85546875" customWidth="1"/>
    <col min="3" max="3" width="21.85546875" customWidth="1"/>
    <col min="4" max="4" width="15.140625" customWidth="1"/>
    <col min="5" max="5" width="12.85546875" customWidth="1"/>
    <col min="6" max="6" width="12.42578125" customWidth="1"/>
    <col min="7" max="7" width="14.140625" customWidth="1"/>
    <col min="8" max="8" width="14.7109375" customWidth="1"/>
    <col min="9" max="9" width="13.5703125" customWidth="1"/>
    <col min="10" max="10" width="12.42578125" customWidth="1"/>
    <col min="11" max="11" width="13" customWidth="1"/>
    <col min="12" max="12" width="2.42578125" customWidth="1"/>
    <col min="13" max="13" width="63.28515625" customWidth="1"/>
  </cols>
  <sheetData>
    <row r="1" spans="1:13" ht="27.95" customHeight="1">
      <c r="A1" s="797" t="s">
        <v>749</v>
      </c>
      <c r="B1" s="817"/>
      <c r="C1" s="817"/>
      <c r="D1" s="817"/>
      <c r="E1" s="817"/>
      <c r="F1" s="817"/>
      <c r="G1" s="816"/>
      <c r="H1" s="816"/>
      <c r="I1" s="816"/>
      <c r="J1" s="816"/>
      <c r="K1" s="816"/>
      <c r="L1" s="816"/>
      <c r="M1" s="816"/>
    </row>
    <row r="2" spans="1:13" ht="36" customHeight="1">
      <c r="A2" s="807" t="s">
        <v>750</v>
      </c>
      <c r="B2" s="816"/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</row>
    <row r="3" spans="1:13" ht="15" customHeight="1">
      <c r="A3" s="816"/>
      <c r="B3" s="816"/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</row>
    <row r="4" spans="1:13" ht="21.95" customHeight="1">
      <c r="A4" s="798" t="s">
        <v>751</v>
      </c>
      <c r="B4" s="817"/>
      <c r="C4" s="817"/>
      <c r="D4" s="817"/>
      <c r="E4" s="817"/>
      <c r="F4" s="817"/>
      <c r="G4" s="816"/>
      <c r="H4" s="816"/>
      <c r="I4" s="816"/>
      <c r="J4" s="816"/>
      <c r="K4" s="816"/>
      <c r="L4" s="816"/>
      <c r="M4" s="816"/>
    </row>
    <row r="5" spans="1:13" ht="15" customHeight="1">
      <c r="A5" s="816"/>
      <c r="B5" s="816"/>
      <c r="C5" s="816"/>
      <c r="D5" s="816"/>
      <c r="E5" s="816"/>
      <c r="F5" s="816"/>
      <c r="G5" s="816"/>
      <c r="H5" s="1189" t="s">
        <v>752</v>
      </c>
      <c r="I5" s="1210"/>
      <c r="J5" s="1210"/>
      <c r="K5" s="816"/>
      <c r="L5" s="816"/>
      <c r="M5" s="816"/>
    </row>
    <row r="6" spans="1:13" ht="15" customHeight="1">
      <c r="A6" s="819" t="s">
        <v>753</v>
      </c>
      <c r="B6" s="820">
        <v>2.5</v>
      </c>
      <c r="C6" s="816"/>
      <c r="D6" s="816"/>
      <c r="E6" s="816"/>
      <c r="F6" s="816"/>
      <c r="G6" s="816"/>
      <c r="H6" s="1210"/>
      <c r="I6" s="1210"/>
      <c r="J6" s="1210"/>
      <c r="K6" s="816"/>
      <c r="L6" s="816"/>
      <c r="M6" s="816"/>
    </row>
    <row r="7" spans="1:13" ht="15" customHeight="1">
      <c r="A7" s="821" t="s">
        <v>754</v>
      </c>
      <c r="B7" s="822">
        <f>Assumptions!F11</f>
        <v>274</v>
      </c>
      <c r="C7" s="816"/>
      <c r="D7" s="816"/>
      <c r="E7" s="816"/>
      <c r="F7" s="816"/>
      <c r="G7" s="816"/>
      <c r="H7" s="33" t="s">
        <v>755</v>
      </c>
      <c r="I7" s="33" t="s">
        <v>756</v>
      </c>
      <c r="J7" s="33" t="s">
        <v>196</v>
      </c>
      <c r="K7" s="816"/>
      <c r="L7" s="816"/>
      <c r="M7" s="816"/>
    </row>
    <row r="8" spans="1:13" ht="15" customHeight="1">
      <c r="A8" s="821" t="s">
        <v>757</v>
      </c>
      <c r="B8" s="823">
        <v>1100</v>
      </c>
      <c r="C8" s="816"/>
      <c r="D8" s="816"/>
      <c r="E8" s="816"/>
      <c r="F8" s="816"/>
      <c r="G8" s="816"/>
      <c r="H8" s="1210" t="s">
        <v>758</v>
      </c>
      <c r="I8" s="1210" t="s">
        <v>759</v>
      </c>
      <c r="J8" s="1210" t="s">
        <v>760</v>
      </c>
      <c r="K8" s="816"/>
      <c r="L8" s="816"/>
      <c r="M8" s="816"/>
    </row>
    <row r="9" spans="1:13" ht="15" customHeight="1">
      <c r="A9" s="821" t="s">
        <v>761</v>
      </c>
      <c r="B9" s="825">
        <v>24.63</v>
      </c>
      <c r="C9" s="816"/>
      <c r="D9" s="816"/>
      <c r="E9" s="816"/>
      <c r="F9" s="816"/>
      <c r="G9" s="816"/>
      <c r="H9" s="1210" t="s">
        <v>762</v>
      </c>
      <c r="I9" s="1210" t="s">
        <v>763</v>
      </c>
      <c r="J9" s="1210" t="s">
        <v>764</v>
      </c>
      <c r="K9" s="816"/>
      <c r="L9" s="816"/>
      <c r="M9" s="816"/>
    </row>
    <row r="10" spans="1:13" ht="15" customHeight="1">
      <c r="A10" s="824" t="s">
        <v>765</v>
      </c>
      <c r="B10" s="826">
        <f>DCF!C40</f>
        <v>17.85500689158253</v>
      </c>
      <c r="C10" s="816"/>
      <c r="D10" s="816"/>
      <c r="E10" s="816"/>
      <c r="F10" s="816"/>
      <c r="G10" s="816"/>
      <c r="H10" s="1210" t="s">
        <v>766</v>
      </c>
      <c r="I10" s="1210" t="s">
        <v>767</v>
      </c>
      <c r="J10" s="1210" t="s">
        <v>768</v>
      </c>
      <c r="K10" s="816"/>
      <c r="L10" s="816"/>
      <c r="M10" s="816"/>
    </row>
    <row r="11" spans="1:13" ht="15" customHeight="1">
      <c r="A11" s="816"/>
      <c r="B11" s="816"/>
      <c r="C11" s="816"/>
      <c r="D11" s="816"/>
      <c r="E11" s="816"/>
      <c r="F11" s="816"/>
      <c r="G11" s="816"/>
      <c r="H11" s="33" t="s">
        <v>769</v>
      </c>
      <c r="I11" s="33" t="s">
        <v>770</v>
      </c>
      <c r="J11" s="1210" t="s">
        <v>771</v>
      </c>
      <c r="K11" s="816"/>
      <c r="L11" s="816"/>
      <c r="M11" s="816"/>
    </row>
    <row r="12" spans="1:13" ht="21.95" customHeight="1" thickBot="1">
      <c r="A12" s="798" t="s">
        <v>772</v>
      </c>
      <c r="B12" s="817"/>
      <c r="C12" s="817"/>
      <c r="D12" s="817"/>
      <c r="E12" s="817"/>
      <c r="F12" s="817"/>
      <c r="G12" s="816"/>
      <c r="H12" s="816"/>
      <c r="I12" s="816"/>
      <c r="J12" s="816"/>
      <c r="K12" s="816"/>
      <c r="L12" s="816"/>
      <c r="M12" s="816"/>
    </row>
    <row r="13" spans="1:13" ht="30" customHeight="1" thickBot="1">
      <c r="A13" s="897" t="s">
        <v>773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32" t="s">
        <v>774</v>
      </c>
    </row>
    <row r="14" spans="1:13" ht="15" customHeight="1" thickBot="1">
      <c r="A14" s="816"/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33" t="s">
        <v>775</v>
      </c>
    </row>
    <row r="15" spans="1:13" ht="15" customHeight="1" thickBot="1">
      <c r="A15" s="829" t="s">
        <v>776</v>
      </c>
      <c r="B15" s="828" t="s">
        <v>777</v>
      </c>
      <c r="C15" s="828" t="s">
        <v>778</v>
      </c>
      <c r="D15" s="828" t="s">
        <v>223</v>
      </c>
      <c r="E15" s="816"/>
      <c r="F15" s="1210"/>
      <c r="G15" s="816"/>
      <c r="H15" s="816"/>
      <c r="I15" s="816"/>
      <c r="J15" s="816"/>
      <c r="K15" s="816"/>
      <c r="L15" s="816"/>
      <c r="M15" s="836" t="s">
        <v>779</v>
      </c>
    </row>
    <row r="16" spans="1:13" ht="15" customHeight="1">
      <c r="A16" s="830" t="s">
        <v>780</v>
      </c>
      <c r="B16" s="892">
        <f>B30</f>
        <v>11.953860558981317</v>
      </c>
      <c r="C16" s="801">
        <f>B16/$B$20-1</f>
        <v>9.4960645349277506E-2</v>
      </c>
      <c r="D16" s="831" t="str">
        <f>IF(ABS(C16)&lt;=0.15,"✓",IF(ABS(C16)&lt;=0.25,"⚠","✗"))</f>
        <v>✓</v>
      </c>
      <c r="E16" s="816"/>
      <c r="F16" s="1210"/>
      <c r="G16" s="816"/>
      <c r="H16" s="816"/>
      <c r="I16" s="816"/>
      <c r="J16" s="816"/>
      <c r="K16" s="816"/>
      <c r="L16" s="816"/>
      <c r="M16" s="838" t="s">
        <v>781</v>
      </c>
    </row>
    <row r="17" spans="1:13" ht="15" customHeight="1" thickBot="1">
      <c r="A17" s="834" t="s">
        <v>782</v>
      </c>
      <c r="B17" s="893">
        <f>B43</f>
        <v>11.209319999999998</v>
      </c>
      <c r="C17" s="805">
        <f>B17/$B$20-1</f>
        <v>2.6761538715196931E-2</v>
      </c>
      <c r="D17" s="835" t="str">
        <f>IF(ABS(C17)&lt;=0.15,"✓",IF(ABS(C17)&lt;=0.25,"⚠","✗"))</f>
        <v>✓</v>
      </c>
      <c r="E17" s="816"/>
      <c r="F17" s="1210"/>
      <c r="G17" s="816"/>
      <c r="H17" s="816"/>
      <c r="I17" s="816"/>
      <c r="J17" s="816"/>
      <c r="K17" s="816"/>
      <c r="L17" s="816"/>
      <c r="M17" s="836" t="s">
        <v>783</v>
      </c>
    </row>
    <row r="18" spans="1:13" ht="15" customHeight="1" thickBot="1">
      <c r="A18" s="837" t="s">
        <v>784</v>
      </c>
      <c r="B18" s="893">
        <f>B67</f>
        <v>10.625</v>
      </c>
      <c r="C18" s="801">
        <f>B18/$B$20-1</f>
        <v>-2.6761538715196931E-2</v>
      </c>
      <c r="D18" s="831" t="str">
        <f>IF(ABS(C18)&lt;=0.15,"✓",IF(ABS(C18)&lt;=0.25,"⚠","✗"))</f>
        <v>✓</v>
      </c>
      <c r="E18" s="816"/>
      <c r="F18" s="1210"/>
      <c r="G18" s="816"/>
      <c r="H18" s="816"/>
      <c r="I18" s="816"/>
      <c r="J18" s="816"/>
      <c r="K18" s="816"/>
      <c r="L18" s="816"/>
      <c r="M18" s="844" t="s">
        <v>785</v>
      </c>
    </row>
    <row r="19" spans="1:13" ht="15" customHeight="1" thickTop="1" thickBot="1">
      <c r="A19" s="834" t="s">
        <v>786</v>
      </c>
      <c r="B19" s="894">
        <f>B78</f>
        <v>8.3789999999999996</v>
      </c>
      <c r="C19" s="805">
        <f>B19/$B$20-1</f>
        <v>-0.23249269956655394</v>
      </c>
      <c r="D19" s="835" t="str">
        <f>IF(ABS(C19)&lt;=0.15,"✓",IF(ABS(C19)&lt;=0.25,"⚠","✗"))</f>
        <v>⚠</v>
      </c>
      <c r="E19" s="816"/>
      <c r="F19" s="1210"/>
      <c r="G19" s="816"/>
      <c r="H19" s="816"/>
      <c r="I19" s="816"/>
      <c r="J19" s="816"/>
      <c r="K19" s="816"/>
      <c r="L19" s="816"/>
      <c r="M19" s="816"/>
    </row>
    <row r="20" spans="1:13" ht="15" customHeight="1" thickBot="1">
      <c r="A20" s="840" t="s">
        <v>787</v>
      </c>
      <c r="B20" s="841">
        <f>MEDIAN(B16:B19)</f>
        <v>10.917159999999999</v>
      </c>
      <c r="C20" s="842">
        <f>STDEV(B16:B19)/B20</f>
        <v>0.14115472945364935</v>
      </c>
      <c r="D20" s="843" t="str">
        <f>IF(C20&lt;0.1,"✓ tight",IF(C20&lt;0.2,"⚠ wide","✗ diverge"))</f>
        <v>⚠ wide</v>
      </c>
      <c r="E20" s="816"/>
      <c r="F20" s="1210"/>
      <c r="G20" s="816"/>
      <c r="H20" s="816"/>
      <c r="I20" s="816"/>
      <c r="J20" s="816"/>
      <c r="K20" s="816"/>
      <c r="L20" s="816"/>
      <c r="M20" s="816"/>
    </row>
    <row r="21" spans="1:13" ht="15" customHeight="1" thickTop="1">
      <c r="A21" s="816"/>
      <c r="B21" s="816"/>
      <c r="C21" s="816"/>
      <c r="D21" s="816"/>
      <c r="E21" s="816"/>
      <c r="F21" s="1210"/>
      <c r="G21" s="816"/>
      <c r="H21" s="816"/>
      <c r="I21" s="816"/>
      <c r="J21" s="816"/>
      <c r="K21" s="816"/>
      <c r="L21" s="816"/>
      <c r="M21" s="816"/>
    </row>
    <row r="22" spans="1:13" ht="21.95" customHeight="1" thickBot="1">
      <c r="A22" s="798" t="s">
        <v>788</v>
      </c>
      <c r="B22" s="817"/>
      <c r="C22" s="817"/>
      <c r="D22" s="817"/>
      <c r="E22" s="816"/>
      <c r="F22" s="1210"/>
      <c r="G22" s="816"/>
      <c r="H22" s="816"/>
      <c r="I22" s="816"/>
      <c r="J22" s="816"/>
      <c r="K22" s="816"/>
      <c r="L22" s="816"/>
      <c r="M22" s="816"/>
    </row>
    <row r="23" spans="1:13" ht="30" customHeight="1">
      <c r="A23" s="845" t="s">
        <v>789</v>
      </c>
      <c r="B23" s="846"/>
      <c r="C23" s="846"/>
      <c r="D23" s="847"/>
      <c r="E23" s="816"/>
      <c r="F23" s="1210"/>
      <c r="G23" s="816"/>
      <c r="H23" s="816"/>
      <c r="I23" s="816"/>
      <c r="J23" s="816"/>
      <c r="K23" s="816"/>
      <c r="L23" s="816"/>
      <c r="M23" s="816"/>
    </row>
    <row r="24" spans="1:13" ht="15" customHeight="1">
      <c r="A24" s="897" t="s">
        <v>790</v>
      </c>
      <c r="B24" s="816"/>
      <c r="C24" s="816"/>
      <c r="D24" s="816"/>
      <c r="E24" s="816"/>
      <c r="F24" s="1210"/>
      <c r="G24" s="816"/>
      <c r="H24" s="816"/>
      <c r="I24" s="816"/>
      <c r="J24" s="816"/>
      <c r="K24" s="816"/>
      <c r="L24" s="816"/>
      <c r="M24" s="1210"/>
    </row>
    <row r="25" spans="1:13" ht="15" customHeight="1">
      <c r="A25" s="816"/>
      <c r="B25" s="816"/>
      <c r="C25" s="816"/>
      <c r="D25" s="816"/>
      <c r="E25" s="816"/>
      <c r="F25" s="1210"/>
      <c r="G25" s="816"/>
      <c r="H25" s="816"/>
      <c r="I25" s="816"/>
      <c r="J25" s="816"/>
      <c r="K25" s="816"/>
      <c r="L25" s="816"/>
      <c r="M25" s="1210"/>
    </row>
    <row r="26" spans="1:13" ht="15" customHeight="1">
      <c r="A26" s="829" t="s">
        <v>791</v>
      </c>
      <c r="B26" s="828" t="s">
        <v>792</v>
      </c>
      <c r="C26" s="827" t="s">
        <v>793</v>
      </c>
      <c r="D26" s="832" t="s">
        <v>167</v>
      </c>
      <c r="E26" s="816"/>
      <c r="F26" s="1210"/>
      <c r="G26" s="1210"/>
      <c r="H26" s="1210"/>
      <c r="I26" s="1210"/>
      <c r="J26" s="1210"/>
      <c r="K26" s="1210"/>
      <c r="L26" s="816"/>
      <c r="M26" s="1210"/>
    </row>
    <row r="27" spans="1:13" ht="15" customHeight="1">
      <c r="A27" s="830" t="s">
        <v>794</v>
      </c>
      <c r="B27" s="848">
        <v>25</v>
      </c>
      <c r="C27" s="898" t="s">
        <v>795</v>
      </c>
      <c r="D27" s="1311" t="s">
        <v>796</v>
      </c>
      <c r="E27" s="816"/>
      <c r="F27" s="1210"/>
      <c r="G27" s="1210"/>
      <c r="H27" s="1210"/>
      <c r="I27" s="1210"/>
      <c r="J27" s="1210"/>
      <c r="K27" s="1210"/>
      <c r="L27" s="816"/>
      <c r="M27" s="1210"/>
    </row>
    <row r="28" spans="1:13" ht="15" customHeight="1">
      <c r="A28" s="834" t="s">
        <v>797</v>
      </c>
      <c r="B28" s="849">
        <v>0.06</v>
      </c>
      <c r="C28" s="899" t="s">
        <v>798</v>
      </c>
      <c r="D28" s="1312" t="s">
        <v>799</v>
      </c>
      <c r="E28" s="816"/>
      <c r="F28" s="1210"/>
      <c r="G28" s="1210"/>
      <c r="H28" s="1210"/>
      <c r="I28" s="1210"/>
      <c r="J28" s="1210"/>
      <c r="K28" s="1210"/>
      <c r="L28" s="816"/>
      <c r="M28" s="1210"/>
    </row>
    <row r="29" spans="1:13" ht="15" customHeight="1">
      <c r="A29" s="837" t="s">
        <v>800</v>
      </c>
      <c r="B29" s="850">
        <v>0.3</v>
      </c>
      <c r="C29" s="898" t="s">
        <v>801</v>
      </c>
      <c r="D29" s="1313" t="s">
        <v>802</v>
      </c>
      <c r="E29" s="816"/>
      <c r="F29" s="1210"/>
      <c r="G29" s="1210"/>
      <c r="H29" s="1210"/>
      <c r="I29" s="1210"/>
      <c r="J29" s="1210"/>
      <c r="K29" s="1210"/>
      <c r="L29" s="816"/>
      <c r="M29" s="816"/>
    </row>
    <row r="30" spans="1:13" ht="15" customHeight="1">
      <c r="A30" s="840" t="s">
        <v>803</v>
      </c>
      <c r="B30" s="851">
        <f>B27*((1+B28)^8)*B29</f>
        <v>11.953860558981317</v>
      </c>
      <c r="C30" s="900" t="s">
        <v>804</v>
      </c>
      <c r="D30" s="844" t="s">
        <v>805</v>
      </c>
      <c r="E30" s="816"/>
      <c r="F30" s="1210"/>
      <c r="G30" s="1210"/>
      <c r="H30" s="1210"/>
      <c r="I30" s="1210"/>
      <c r="J30" s="1210"/>
      <c r="K30" s="1210"/>
      <c r="L30" s="816"/>
      <c r="M30" s="816"/>
    </row>
    <row r="31" spans="1:13" ht="15" customHeight="1">
      <c r="A31" s="816"/>
      <c r="B31" s="816"/>
      <c r="C31" s="816"/>
      <c r="D31" s="816"/>
      <c r="E31" s="816"/>
      <c r="F31" s="1210"/>
      <c r="G31" s="1210"/>
      <c r="H31" s="1210"/>
      <c r="I31" s="1210"/>
      <c r="J31" s="1210"/>
      <c r="K31" s="1210"/>
      <c r="L31" s="816"/>
      <c r="M31" s="816"/>
    </row>
    <row r="32" spans="1:13" ht="21.95" customHeight="1" thickBot="1">
      <c r="A32" s="798" t="s">
        <v>806</v>
      </c>
      <c r="B32" s="817"/>
      <c r="C32" s="817"/>
      <c r="D32" s="817"/>
      <c r="E32" s="816"/>
      <c r="F32" s="1210"/>
      <c r="G32" s="1210"/>
      <c r="H32" s="1210"/>
      <c r="I32" s="1210"/>
      <c r="J32" s="1210"/>
      <c r="K32" s="1210"/>
      <c r="L32" s="816"/>
      <c r="M32" s="816"/>
    </row>
    <row r="33" spans="1:13" ht="30" customHeight="1" thickBot="1">
      <c r="A33" s="853" t="s">
        <v>807</v>
      </c>
      <c r="B33" s="854"/>
      <c r="C33" s="854"/>
      <c r="D33" s="855"/>
      <c r="E33" s="816"/>
      <c r="F33" s="1210"/>
      <c r="G33" s="816"/>
      <c r="H33" s="816"/>
      <c r="I33" s="816"/>
      <c r="J33" s="816"/>
      <c r="K33" s="816"/>
      <c r="L33" s="816"/>
      <c r="M33" s="816"/>
    </row>
    <row r="34" spans="1:13" ht="15" customHeight="1" thickBot="1">
      <c r="A34" s="897" t="s">
        <v>808</v>
      </c>
      <c r="B34" s="816"/>
      <c r="C34" s="816"/>
      <c r="D34" s="816"/>
      <c r="E34" s="816"/>
      <c r="F34" s="1210"/>
      <c r="G34" s="816"/>
      <c r="H34" s="816"/>
      <c r="I34" s="816"/>
      <c r="J34" s="816"/>
      <c r="K34" s="816"/>
      <c r="L34" s="816"/>
      <c r="M34" s="832" t="s">
        <v>167</v>
      </c>
    </row>
    <row r="35" spans="1:13" ht="15" customHeight="1" thickBot="1">
      <c r="A35" s="816"/>
      <c r="B35" s="816"/>
      <c r="C35" s="816"/>
      <c r="D35" s="816"/>
      <c r="E35" s="816"/>
      <c r="F35" s="1210"/>
      <c r="G35" s="816"/>
      <c r="H35" s="816"/>
      <c r="I35" s="816"/>
      <c r="J35" s="816"/>
      <c r="K35" s="816"/>
      <c r="L35" s="816"/>
      <c r="M35" s="833" t="s">
        <v>809</v>
      </c>
    </row>
    <row r="36" spans="1:13" ht="15" customHeight="1" thickBot="1">
      <c r="A36" s="829" t="s">
        <v>791</v>
      </c>
      <c r="B36" s="828" t="s">
        <v>792</v>
      </c>
      <c r="C36" s="827" t="s">
        <v>793</v>
      </c>
      <c r="D36" s="816"/>
      <c r="E36" s="816"/>
      <c r="F36" s="1210"/>
      <c r="G36" s="816"/>
      <c r="H36" s="816"/>
      <c r="I36" s="816"/>
      <c r="J36" s="816"/>
      <c r="K36" s="816"/>
      <c r="L36" s="816"/>
      <c r="M36" s="836" t="s">
        <v>810</v>
      </c>
    </row>
    <row r="37" spans="1:13" ht="15" customHeight="1">
      <c r="A37" s="830" t="s">
        <v>811</v>
      </c>
      <c r="B37" s="856">
        <v>0.56299999999999994</v>
      </c>
      <c r="C37" s="898" t="s">
        <v>812</v>
      </c>
      <c r="D37" s="816"/>
      <c r="E37" s="816"/>
      <c r="F37" s="1210"/>
      <c r="G37" s="816"/>
      <c r="H37" s="816"/>
      <c r="I37" s="816"/>
      <c r="J37" s="816"/>
      <c r="K37" s="816"/>
      <c r="L37" s="816"/>
      <c r="M37" s="838" t="s">
        <v>813</v>
      </c>
    </row>
    <row r="38" spans="1:13" ht="15" customHeight="1">
      <c r="A38" s="834" t="s">
        <v>814</v>
      </c>
      <c r="B38" s="857">
        <v>2.4900000000000002</v>
      </c>
      <c r="C38" s="899" t="s">
        <v>815</v>
      </c>
      <c r="D38" s="816"/>
      <c r="E38" s="816"/>
      <c r="F38" s="1210"/>
      <c r="G38" s="816"/>
      <c r="H38" s="816"/>
      <c r="I38" s="816"/>
      <c r="J38" s="816"/>
      <c r="K38" s="816"/>
      <c r="L38" s="816"/>
      <c r="M38" s="836" t="s">
        <v>816</v>
      </c>
    </row>
    <row r="39" spans="1:13" ht="15" customHeight="1">
      <c r="A39" s="837" t="s">
        <v>817</v>
      </c>
      <c r="B39" s="818">
        <v>3.08</v>
      </c>
      <c r="C39" s="898" t="s">
        <v>818</v>
      </c>
      <c r="D39" s="816"/>
      <c r="E39" s="816"/>
      <c r="F39" s="1210"/>
      <c r="G39" s="816"/>
      <c r="H39" s="816"/>
      <c r="I39" s="816"/>
      <c r="J39" s="816"/>
      <c r="K39" s="816"/>
      <c r="L39" s="816"/>
      <c r="M39" s="838" t="s">
        <v>819</v>
      </c>
    </row>
    <row r="40" spans="1:13" ht="15" customHeight="1" thickBot="1">
      <c r="A40" s="834" t="s">
        <v>820</v>
      </c>
      <c r="B40" s="857">
        <v>10.7</v>
      </c>
      <c r="C40" s="899" t="s">
        <v>821</v>
      </c>
      <c r="D40" s="816"/>
      <c r="E40" s="816"/>
      <c r="F40" s="1210"/>
      <c r="G40" s="816"/>
      <c r="H40" s="816"/>
      <c r="I40" s="816"/>
      <c r="J40" s="816"/>
      <c r="K40" s="816"/>
      <c r="L40" s="816"/>
      <c r="M40" s="836" t="s">
        <v>822</v>
      </c>
    </row>
    <row r="41" spans="1:13" ht="15" customHeight="1" thickBot="1">
      <c r="A41" s="837" t="s">
        <v>823</v>
      </c>
      <c r="B41" s="858">
        <v>1.08</v>
      </c>
      <c r="C41" s="898" t="s">
        <v>824</v>
      </c>
      <c r="D41" s="816"/>
      <c r="E41" s="816"/>
      <c r="F41" s="1210"/>
      <c r="G41" s="816"/>
      <c r="H41" s="816"/>
      <c r="I41" s="816"/>
      <c r="J41" s="816"/>
      <c r="K41" s="816"/>
      <c r="L41" s="816"/>
      <c r="M41" s="860" t="s">
        <v>825</v>
      </c>
    </row>
    <row r="42" spans="1:13" ht="15" customHeight="1" thickTop="1" thickBot="1">
      <c r="A42" s="834" t="s">
        <v>826</v>
      </c>
      <c r="B42" s="859">
        <v>0.97</v>
      </c>
      <c r="C42" s="899" t="s">
        <v>827</v>
      </c>
      <c r="D42" s="816"/>
      <c r="E42" s="816"/>
      <c r="F42" s="1210"/>
      <c r="G42" s="816"/>
      <c r="H42" s="816"/>
      <c r="I42" s="816"/>
      <c r="J42" s="816"/>
      <c r="K42" s="816"/>
      <c r="L42" s="816"/>
      <c r="M42" s="1210"/>
    </row>
    <row r="43" spans="1:13" ht="15" customHeight="1" thickBot="1">
      <c r="A43" s="840" t="s">
        <v>803</v>
      </c>
      <c r="B43" s="851">
        <f>B40*B41*B42</f>
        <v>11.209319999999998</v>
      </c>
      <c r="C43" s="900" t="s">
        <v>828</v>
      </c>
      <c r="D43" s="816"/>
      <c r="E43" s="816"/>
      <c r="F43" s="796"/>
      <c r="G43" s="816"/>
      <c r="H43" s="816"/>
      <c r="I43" s="816"/>
      <c r="J43" s="816"/>
      <c r="K43" s="816"/>
      <c r="L43" s="816"/>
      <c r="M43" s="1210"/>
    </row>
    <row r="44" spans="1:13" ht="15" customHeight="1" thickTop="1">
      <c r="A44" s="816"/>
      <c r="B44" s="816"/>
      <c r="C44" s="816"/>
      <c r="D44" s="816"/>
      <c r="E44" s="816"/>
      <c r="F44" s="816"/>
      <c r="G44" s="816"/>
      <c r="H44" s="816"/>
      <c r="I44" s="816"/>
      <c r="J44" s="816"/>
      <c r="K44" s="816"/>
      <c r="L44" s="816"/>
      <c r="M44" s="816"/>
    </row>
    <row r="45" spans="1:13" ht="21.95" customHeight="1" thickBot="1">
      <c r="A45" s="798" t="s">
        <v>829</v>
      </c>
      <c r="B45" s="817"/>
      <c r="C45" s="817"/>
      <c r="D45" s="817"/>
      <c r="E45" s="817"/>
      <c r="F45" s="817"/>
      <c r="G45" s="817"/>
      <c r="H45" s="816"/>
      <c r="I45" s="817"/>
      <c r="J45" s="817"/>
      <c r="K45" s="817"/>
      <c r="L45" s="816"/>
      <c r="M45" s="816"/>
    </row>
    <row r="46" spans="1:13" ht="30" customHeight="1" thickBot="1">
      <c r="A46" s="853" t="s">
        <v>830</v>
      </c>
      <c r="B46" s="854"/>
      <c r="C46" s="854"/>
      <c r="D46" s="854"/>
      <c r="E46" s="854"/>
      <c r="F46" s="854"/>
      <c r="G46" s="854"/>
      <c r="H46" s="816"/>
      <c r="I46" s="854"/>
      <c r="J46" s="854"/>
      <c r="K46" s="855"/>
      <c r="L46" s="816"/>
      <c r="M46" s="816"/>
    </row>
    <row r="47" spans="1:13" ht="21.95" customHeight="1">
      <c r="A47" s="897" t="s">
        <v>831</v>
      </c>
      <c r="B47" s="816"/>
      <c r="C47" s="816"/>
      <c r="D47" s="816"/>
      <c r="E47" s="816"/>
      <c r="F47" s="816"/>
      <c r="G47" s="816"/>
      <c r="H47" s="816"/>
      <c r="I47" s="816"/>
      <c r="J47" s="816"/>
      <c r="K47" s="816"/>
      <c r="L47" s="816"/>
      <c r="M47" s="816"/>
    </row>
    <row r="48" spans="1:13" ht="15" customHeight="1">
      <c r="A48" s="816"/>
      <c r="B48" s="816"/>
      <c r="C48" s="816"/>
      <c r="D48" s="816"/>
      <c r="E48" s="816"/>
      <c r="F48" s="816"/>
      <c r="G48" s="816"/>
      <c r="H48" s="816"/>
      <c r="I48" s="816"/>
      <c r="J48" s="816"/>
      <c r="K48" s="816"/>
      <c r="L48" s="816"/>
      <c r="M48" s="816"/>
    </row>
    <row r="49" spans="1:13" ht="15" customHeight="1">
      <c r="A49" s="808" t="s">
        <v>832</v>
      </c>
      <c r="B49" s="861"/>
      <c r="C49" s="861"/>
      <c r="D49" s="816"/>
      <c r="E49" s="808" t="s">
        <v>833</v>
      </c>
      <c r="F49" s="861"/>
      <c r="G49" s="861"/>
      <c r="H49" s="816"/>
      <c r="I49" s="808" t="s">
        <v>834</v>
      </c>
      <c r="J49" s="861"/>
      <c r="K49" s="861"/>
      <c r="L49" s="816"/>
      <c r="M49" s="816"/>
    </row>
    <row r="50" spans="1:13" ht="15" customHeight="1">
      <c r="A50" s="897" t="s">
        <v>835</v>
      </c>
      <c r="B50" s="816"/>
      <c r="C50" s="816"/>
      <c r="D50" s="816"/>
      <c r="E50" s="897" t="s">
        <v>836</v>
      </c>
      <c r="F50" s="816"/>
      <c r="G50" s="816"/>
      <c r="H50" s="816"/>
      <c r="I50" s="807" t="s">
        <v>837</v>
      </c>
      <c r="J50" s="816"/>
      <c r="K50" s="816"/>
      <c r="L50" s="816"/>
      <c r="M50" s="816"/>
    </row>
    <row r="51" spans="1:13" ht="15" customHeight="1">
      <c r="A51" s="816"/>
      <c r="B51" s="816"/>
      <c r="C51" s="816"/>
      <c r="D51" s="816"/>
      <c r="E51" s="816"/>
      <c r="F51" s="816"/>
      <c r="G51" s="816"/>
      <c r="H51" s="816"/>
      <c r="I51" s="816"/>
      <c r="J51" s="816"/>
      <c r="K51" s="816"/>
      <c r="L51" s="816"/>
      <c r="M51" s="816"/>
    </row>
    <row r="52" spans="1:13" ht="15" customHeight="1">
      <c r="A52" s="810" t="s">
        <v>791</v>
      </c>
      <c r="B52" s="811" t="s">
        <v>792</v>
      </c>
      <c r="C52" s="810" t="s">
        <v>793</v>
      </c>
      <c r="D52" s="816"/>
      <c r="E52" s="810" t="s">
        <v>791</v>
      </c>
      <c r="F52" s="811" t="s">
        <v>792</v>
      </c>
      <c r="G52" s="810" t="s">
        <v>793</v>
      </c>
      <c r="H52" s="816"/>
      <c r="I52" s="810" t="s">
        <v>791</v>
      </c>
      <c r="J52" s="811" t="s">
        <v>792</v>
      </c>
      <c r="K52" s="810" t="s">
        <v>793</v>
      </c>
      <c r="L52" s="816"/>
      <c r="M52" s="816"/>
    </row>
    <row r="53" spans="1:13" ht="15" customHeight="1">
      <c r="A53" s="799" t="s">
        <v>838</v>
      </c>
      <c r="B53" s="848">
        <v>10</v>
      </c>
      <c r="C53" s="898" t="s">
        <v>839</v>
      </c>
      <c r="D53" s="816"/>
      <c r="E53" s="799" t="s">
        <v>840</v>
      </c>
      <c r="F53" s="818">
        <v>2</v>
      </c>
      <c r="G53" s="802" t="s">
        <v>841</v>
      </c>
      <c r="H53" s="816"/>
      <c r="I53" s="799" t="s">
        <v>842</v>
      </c>
      <c r="J53" s="848">
        <v>12</v>
      </c>
      <c r="K53" s="802" t="s">
        <v>843</v>
      </c>
      <c r="L53" s="816"/>
      <c r="M53" s="816"/>
    </row>
    <row r="54" spans="1:13" ht="15" customHeight="1">
      <c r="A54" s="803" t="s">
        <v>844</v>
      </c>
      <c r="B54" s="862">
        <v>170</v>
      </c>
      <c r="C54" s="899" t="s">
        <v>845</v>
      </c>
      <c r="D54" s="816"/>
      <c r="E54" s="803" t="s">
        <v>846</v>
      </c>
      <c r="F54" s="863">
        <f>(1.5)*(1.4)*(1.3)*(1.22)*(1.17)*(1.13)*(1.1)*(1.08)</f>
        <v>5.2312228768799987</v>
      </c>
      <c r="G54" s="815" t="s">
        <v>847</v>
      </c>
      <c r="H54" s="816"/>
      <c r="I54" s="803" t="s">
        <v>848</v>
      </c>
      <c r="J54" s="862">
        <v>10</v>
      </c>
      <c r="K54" s="806" t="s">
        <v>849</v>
      </c>
      <c r="L54" s="816"/>
      <c r="M54" s="816"/>
    </row>
    <row r="55" spans="1:13" ht="15" customHeight="1">
      <c r="A55" s="799" t="s">
        <v>850</v>
      </c>
      <c r="B55" s="864">
        <f>B54/B53</f>
        <v>17</v>
      </c>
      <c r="C55" s="905" t="s">
        <v>851</v>
      </c>
      <c r="D55" s="816"/>
      <c r="E55" s="816"/>
      <c r="F55" s="816"/>
      <c r="G55" s="816"/>
      <c r="H55" s="816"/>
      <c r="I55" s="799" t="s">
        <v>852</v>
      </c>
      <c r="J55" s="850">
        <v>0.8</v>
      </c>
      <c r="K55" s="802" t="s">
        <v>853</v>
      </c>
      <c r="L55" s="816"/>
      <c r="M55" s="816"/>
    </row>
    <row r="56" spans="1:13" ht="15" customHeight="1">
      <c r="A56" s="803" t="s">
        <v>840</v>
      </c>
      <c r="B56" s="857">
        <v>2.5</v>
      </c>
      <c r="C56" s="899" t="s">
        <v>854</v>
      </c>
      <c r="D56" s="816"/>
      <c r="E56" s="816"/>
      <c r="F56" s="816"/>
      <c r="G56" s="816"/>
      <c r="H56" s="816"/>
      <c r="I56" s="803" t="s">
        <v>855</v>
      </c>
      <c r="J56" s="865">
        <v>1.2</v>
      </c>
      <c r="K56" s="806" t="s">
        <v>856</v>
      </c>
      <c r="L56" s="816"/>
      <c r="M56" s="816"/>
    </row>
    <row r="57" spans="1:13" ht="15" customHeight="1">
      <c r="A57" s="799" t="s">
        <v>857</v>
      </c>
      <c r="B57" s="866">
        <f>B56*B55</f>
        <v>42.5</v>
      </c>
      <c r="C57" s="898" t="s">
        <v>858</v>
      </c>
      <c r="D57" s="816"/>
      <c r="E57" s="816"/>
      <c r="F57" s="816"/>
      <c r="G57" s="816"/>
      <c r="H57" s="816"/>
      <c r="I57" s="799" t="s">
        <v>859</v>
      </c>
      <c r="J57" s="867">
        <v>0.9</v>
      </c>
      <c r="K57" s="802" t="s">
        <v>860</v>
      </c>
      <c r="L57" s="816"/>
      <c r="M57" s="816"/>
    </row>
    <row r="58" spans="1:13" ht="15" customHeight="1">
      <c r="A58" s="803" t="s">
        <v>861</v>
      </c>
      <c r="B58" s="865">
        <v>4</v>
      </c>
      <c r="C58" s="899" t="s">
        <v>862</v>
      </c>
      <c r="D58" s="816"/>
      <c r="E58" s="816"/>
      <c r="F58" s="816"/>
      <c r="G58" s="816"/>
      <c r="H58" s="816"/>
      <c r="I58" s="816"/>
      <c r="J58" s="816"/>
      <c r="K58" s="816"/>
      <c r="L58" s="816"/>
      <c r="M58" s="816"/>
    </row>
    <row r="59" spans="1:13" ht="15" customHeight="1" thickBot="1">
      <c r="A59" s="816"/>
      <c r="B59" s="816"/>
      <c r="C59" s="816"/>
      <c r="D59" s="816"/>
      <c r="E59" s="816"/>
      <c r="F59" s="816"/>
      <c r="G59" s="816"/>
      <c r="H59" s="816"/>
      <c r="I59" s="816"/>
      <c r="J59" s="816"/>
      <c r="K59" s="816"/>
      <c r="L59" s="816"/>
      <c r="M59" s="816"/>
    </row>
    <row r="60" spans="1:13" ht="15" customHeight="1" thickBot="1">
      <c r="A60" s="839" t="s">
        <v>863</v>
      </c>
      <c r="B60" s="851">
        <f>B57/B58</f>
        <v>10.625</v>
      </c>
      <c r="C60" s="852" t="s">
        <v>864</v>
      </c>
      <c r="D60" s="816"/>
      <c r="E60" s="839" t="s">
        <v>865</v>
      </c>
      <c r="F60" s="851">
        <f>F53*F54</f>
        <v>10.462445753759997</v>
      </c>
      <c r="G60" s="852" t="s">
        <v>866</v>
      </c>
      <c r="H60" s="816"/>
      <c r="I60" s="839" t="s">
        <v>867</v>
      </c>
      <c r="J60" s="851">
        <f>J54*J56*J57</f>
        <v>10.8</v>
      </c>
      <c r="K60" s="852" t="s">
        <v>868</v>
      </c>
      <c r="L60" s="816"/>
      <c r="M60" s="816"/>
    </row>
    <row r="61" spans="1:13" ht="15" customHeight="1" thickTop="1">
      <c r="A61" s="816"/>
      <c r="B61" s="816"/>
      <c r="C61" s="816"/>
      <c r="D61" s="816"/>
      <c r="E61" s="816"/>
      <c r="F61" s="816"/>
      <c r="G61" s="816"/>
      <c r="H61" s="816"/>
      <c r="I61" s="816"/>
      <c r="J61" s="816"/>
      <c r="K61" s="816"/>
      <c r="L61" s="816"/>
      <c r="M61" s="816"/>
    </row>
    <row r="62" spans="1:13" ht="21.95" customHeight="1">
      <c r="A62" s="808" t="s">
        <v>869</v>
      </c>
      <c r="B62" s="861"/>
      <c r="C62" s="861"/>
      <c r="D62" s="861"/>
      <c r="E62" s="861"/>
      <c r="F62" s="861"/>
      <c r="G62" s="816"/>
      <c r="H62" s="816"/>
      <c r="I62" s="816"/>
      <c r="J62" s="816"/>
      <c r="K62" s="816"/>
      <c r="L62" s="816"/>
      <c r="M62" s="816"/>
    </row>
    <row r="63" spans="1:13" ht="15" customHeight="1">
      <c r="A63" s="816"/>
      <c r="B63" s="816"/>
      <c r="C63" s="816"/>
      <c r="D63" s="816"/>
      <c r="E63" s="816"/>
      <c r="F63" s="816"/>
      <c r="G63" s="816"/>
      <c r="H63" s="816"/>
      <c r="I63" s="816"/>
      <c r="J63" s="816"/>
      <c r="K63" s="816"/>
      <c r="L63" s="816"/>
      <c r="M63" s="816"/>
    </row>
    <row r="64" spans="1:13" ht="15" customHeight="1">
      <c r="A64" s="810" t="s">
        <v>88</v>
      </c>
      <c r="B64" s="811" t="s">
        <v>870</v>
      </c>
      <c r="C64" s="811" t="s">
        <v>871</v>
      </c>
      <c r="D64" s="811" t="s">
        <v>872</v>
      </c>
      <c r="E64" s="811" t="s">
        <v>873</v>
      </c>
      <c r="F64" s="811" t="s">
        <v>874</v>
      </c>
      <c r="G64" s="816"/>
      <c r="H64" s="816"/>
      <c r="I64" s="816"/>
      <c r="J64" s="816"/>
      <c r="K64" s="816"/>
      <c r="L64" s="816"/>
      <c r="M64" s="816"/>
    </row>
    <row r="65" spans="1:13" ht="15" customHeight="1">
      <c r="A65" s="803" t="s">
        <v>875</v>
      </c>
      <c r="B65" s="804">
        <f>B60</f>
        <v>10.625</v>
      </c>
      <c r="C65" s="804">
        <f>F60</f>
        <v>10.462445753759997</v>
      </c>
      <c r="D65" s="804">
        <f>J60</f>
        <v>10.8</v>
      </c>
      <c r="E65" s="868">
        <f>MEDIAN(B65:D65)</f>
        <v>10.625</v>
      </c>
      <c r="F65" s="804">
        <f>MAX(B65:D65)-MIN(B65:D65)</f>
        <v>0.33755424624000341</v>
      </c>
      <c r="G65" s="816"/>
      <c r="H65" s="816"/>
      <c r="I65" s="816"/>
      <c r="J65" s="816"/>
      <c r="K65" s="816"/>
      <c r="L65" s="816"/>
      <c r="M65" s="816"/>
    </row>
    <row r="66" spans="1:13" ht="15" customHeight="1" thickBot="1">
      <c r="A66" s="816"/>
      <c r="B66" s="816"/>
      <c r="C66" s="816"/>
      <c r="D66" s="816"/>
      <c r="E66" s="816"/>
      <c r="F66" s="816"/>
      <c r="G66" s="816"/>
      <c r="H66" s="816"/>
      <c r="I66" s="816"/>
      <c r="J66" s="816"/>
      <c r="K66" s="816"/>
      <c r="L66" s="816"/>
      <c r="M66" s="816"/>
    </row>
    <row r="67" spans="1:13" ht="15" customHeight="1" thickBot="1">
      <c r="A67" s="839" t="s">
        <v>876</v>
      </c>
      <c r="B67" s="851">
        <f>E65</f>
        <v>10.625</v>
      </c>
      <c r="C67" s="852" t="s">
        <v>877</v>
      </c>
      <c r="D67" s="816"/>
      <c r="E67" s="816"/>
      <c r="F67" s="816"/>
      <c r="G67" s="816"/>
      <c r="H67" s="816"/>
      <c r="I67" s="816"/>
      <c r="J67" s="816"/>
      <c r="K67" s="816"/>
      <c r="L67" s="816"/>
      <c r="M67" s="816"/>
    </row>
    <row r="68" spans="1:13" ht="15" customHeight="1" thickTop="1">
      <c r="A68" s="816"/>
      <c r="B68" s="816"/>
      <c r="C68" s="816"/>
      <c r="D68" s="816"/>
      <c r="E68" s="816"/>
      <c r="F68" s="816"/>
      <c r="G68" s="816"/>
      <c r="H68" s="816"/>
      <c r="I68" s="816"/>
      <c r="J68" s="816"/>
      <c r="K68" s="816"/>
      <c r="L68" s="816"/>
      <c r="M68" s="816"/>
    </row>
    <row r="69" spans="1:13" ht="21.95" customHeight="1" thickBot="1">
      <c r="A69" s="798" t="s">
        <v>878</v>
      </c>
      <c r="B69" s="817"/>
      <c r="C69" s="817"/>
      <c r="D69" s="817"/>
      <c r="E69" s="816"/>
      <c r="F69" s="816"/>
      <c r="G69" s="816"/>
      <c r="H69" s="816"/>
      <c r="I69" s="816"/>
      <c r="J69" s="816"/>
      <c r="K69" s="816"/>
      <c r="L69" s="816"/>
      <c r="M69" s="816"/>
    </row>
    <row r="70" spans="1:13" ht="30" customHeight="1" thickBot="1">
      <c r="A70" s="869" t="s">
        <v>879</v>
      </c>
      <c r="B70" s="870"/>
      <c r="C70" s="870"/>
      <c r="D70" s="871"/>
      <c r="E70" s="816"/>
      <c r="F70" s="816"/>
      <c r="G70" s="816"/>
      <c r="H70" s="816"/>
      <c r="I70" s="816"/>
      <c r="J70" s="816"/>
      <c r="K70" s="816"/>
      <c r="L70" s="816"/>
      <c r="M70" s="816"/>
    </row>
    <row r="71" spans="1:13" ht="15" customHeight="1">
      <c r="A71" s="897" t="s">
        <v>880</v>
      </c>
      <c r="B71" s="816"/>
      <c r="C71" s="816"/>
      <c r="D71" s="816"/>
      <c r="E71" s="816"/>
      <c r="F71" s="816"/>
      <c r="G71" s="816"/>
      <c r="H71" s="816"/>
      <c r="I71" s="816"/>
      <c r="J71" s="816"/>
      <c r="K71" s="816"/>
      <c r="L71" s="816"/>
      <c r="M71" s="816"/>
    </row>
    <row r="72" spans="1:13" ht="15" customHeight="1" thickBot="1">
      <c r="A72" s="816"/>
      <c r="B72" s="816"/>
      <c r="C72" s="816"/>
      <c r="D72" s="816"/>
      <c r="E72" s="816"/>
      <c r="F72" s="816"/>
      <c r="G72" s="816"/>
      <c r="H72" s="816"/>
      <c r="I72" s="816"/>
      <c r="J72" s="816"/>
      <c r="K72" s="816"/>
      <c r="L72" s="816"/>
      <c r="M72" s="816"/>
    </row>
    <row r="73" spans="1:13" ht="15" customHeight="1" thickBot="1">
      <c r="A73" s="829" t="s">
        <v>791</v>
      </c>
      <c r="B73" s="828" t="s">
        <v>792</v>
      </c>
      <c r="C73" s="827" t="s">
        <v>793</v>
      </c>
      <c r="D73" s="816"/>
      <c r="E73" s="816"/>
      <c r="F73" s="816"/>
      <c r="G73" s="816"/>
      <c r="H73" s="816"/>
      <c r="I73" s="816"/>
      <c r="J73" s="816"/>
      <c r="K73" s="816"/>
      <c r="L73" s="816"/>
      <c r="M73" s="832" t="s">
        <v>167</v>
      </c>
    </row>
    <row r="74" spans="1:13" ht="15" customHeight="1">
      <c r="A74" s="830" t="s">
        <v>881</v>
      </c>
      <c r="B74" s="872">
        <v>3500</v>
      </c>
      <c r="C74" s="898" t="s">
        <v>882</v>
      </c>
      <c r="D74" s="816"/>
      <c r="E74" s="816"/>
      <c r="F74" s="816"/>
      <c r="G74" s="816"/>
      <c r="H74" s="816"/>
      <c r="I74" s="816"/>
      <c r="J74" s="816"/>
      <c r="K74" s="816"/>
      <c r="L74" s="816"/>
      <c r="M74" s="833" t="s">
        <v>883</v>
      </c>
    </row>
    <row r="75" spans="1:13" ht="15" customHeight="1">
      <c r="A75" s="834" t="s">
        <v>884</v>
      </c>
      <c r="B75" s="862">
        <v>245</v>
      </c>
      <c r="C75" s="899" t="s">
        <v>885</v>
      </c>
      <c r="D75" s="816"/>
      <c r="E75" s="816"/>
      <c r="F75" s="816"/>
      <c r="G75" s="816"/>
      <c r="H75" s="816"/>
      <c r="I75" s="816"/>
      <c r="J75" s="816"/>
      <c r="K75" s="816"/>
      <c r="L75" s="816"/>
      <c r="M75" s="836" t="s">
        <v>886</v>
      </c>
    </row>
    <row r="76" spans="1:13" ht="15" customHeight="1">
      <c r="A76" s="837" t="s">
        <v>887</v>
      </c>
      <c r="B76" s="850">
        <v>0.15</v>
      </c>
      <c r="C76" s="898" t="s">
        <v>888</v>
      </c>
      <c r="D76" s="816"/>
      <c r="E76" s="816"/>
      <c r="F76" s="816"/>
      <c r="G76" s="816"/>
      <c r="H76" s="816"/>
      <c r="I76" s="816"/>
      <c r="J76" s="816"/>
      <c r="K76" s="816"/>
      <c r="L76" s="816"/>
      <c r="M76" s="838" t="s">
        <v>889</v>
      </c>
    </row>
    <row r="77" spans="1:13" ht="15" customHeight="1" thickBot="1">
      <c r="A77" s="834" t="s">
        <v>890</v>
      </c>
      <c r="B77" s="849">
        <v>0.22800000000000001</v>
      </c>
      <c r="C77" s="899" t="s">
        <v>891</v>
      </c>
      <c r="D77" s="816"/>
      <c r="E77" s="816"/>
      <c r="F77" s="816"/>
      <c r="G77" s="816"/>
      <c r="H77" s="816"/>
      <c r="I77" s="816"/>
      <c r="J77" s="816"/>
      <c r="K77" s="816"/>
      <c r="L77" s="816"/>
      <c r="M77" s="836" t="s">
        <v>892</v>
      </c>
    </row>
    <row r="78" spans="1:13" ht="15" customHeight="1" thickBot="1">
      <c r="A78" s="840" t="s">
        <v>893</v>
      </c>
      <c r="B78" s="851">
        <f>B75*B76*B77</f>
        <v>8.3789999999999996</v>
      </c>
      <c r="C78" s="900" t="s">
        <v>894</v>
      </c>
      <c r="D78" s="816"/>
      <c r="E78" s="816"/>
      <c r="F78" s="816"/>
      <c r="G78" s="816"/>
      <c r="H78" s="816"/>
      <c r="I78" s="816"/>
      <c r="J78" s="816"/>
      <c r="K78" s="816"/>
      <c r="L78" s="816"/>
      <c r="M78" s="860" t="s">
        <v>895</v>
      </c>
    </row>
    <row r="79" spans="1:13" ht="15" customHeight="1" thickTop="1">
      <c r="A79" s="816"/>
      <c r="B79" s="816"/>
      <c r="C79" s="913"/>
      <c r="D79" s="816"/>
      <c r="E79" s="816"/>
      <c r="F79" s="816"/>
      <c r="G79" s="816"/>
      <c r="H79" s="816"/>
      <c r="I79" s="816"/>
      <c r="J79" s="816"/>
      <c r="K79" s="816"/>
      <c r="L79" s="816"/>
      <c r="M79" s="816"/>
    </row>
    <row r="80" spans="1:13" ht="21.95" customHeight="1">
      <c r="A80" s="798" t="s">
        <v>896</v>
      </c>
      <c r="B80" s="817"/>
      <c r="C80" s="914"/>
      <c r="D80" s="817"/>
      <c r="E80" s="816"/>
      <c r="F80" s="816"/>
      <c r="G80" s="816"/>
      <c r="H80" s="816"/>
      <c r="I80" s="816"/>
      <c r="J80" s="816"/>
      <c r="K80" s="816"/>
      <c r="L80" s="816"/>
      <c r="M80" s="816"/>
    </row>
    <row r="81" spans="1:13" ht="15" customHeight="1" thickBot="1">
      <c r="A81" s="816"/>
      <c r="B81" s="816"/>
      <c r="C81" s="913"/>
      <c r="D81" s="816"/>
      <c r="E81" s="816"/>
      <c r="F81" s="816"/>
      <c r="G81" s="816"/>
      <c r="H81" s="816"/>
      <c r="I81" s="816"/>
      <c r="J81" s="816"/>
      <c r="K81" s="816"/>
      <c r="L81" s="816"/>
      <c r="M81" s="816"/>
    </row>
    <row r="82" spans="1:13" ht="15" customHeight="1">
      <c r="A82" s="830" t="s">
        <v>897</v>
      </c>
      <c r="B82" s="873">
        <f>MIN(B16:B19)</f>
        <v>8.3789999999999996</v>
      </c>
      <c r="C82" s="925" t="s">
        <v>898</v>
      </c>
      <c r="D82" s="816"/>
      <c r="E82" s="816"/>
      <c r="F82" s="816"/>
      <c r="G82" s="816"/>
      <c r="H82" s="816"/>
      <c r="I82" s="816"/>
      <c r="J82" s="816"/>
      <c r="K82" s="816"/>
      <c r="L82" s="816"/>
      <c r="M82" s="816"/>
    </row>
    <row r="83" spans="1:13" ht="15" customHeight="1" thickBot="1">
      <c r="A83" s="834" t="s">
        <v>899</v>
      </c>
      <c r="B83" s="874">
        <f>MAX(B16:B19)</f>
        <v>11.953860558981317</v>
      </c>
      <c r="C83" s="899" t="s">
        <v>900</v>
      </c>
      <c r="D83" s="816"/>
      <c r="E83" s="816"/>
      <c r="F83" s="816"/>
      <c r="G83" s="816"/>
      <c r="H83" s="816"/>
      <c r="I83" s="816"/>
      <c r="J83" s="816"/>
      <c r="K83" s="816"/>
      <c r="L83" s="816"/>
      <c r="M83" s="816"/>
    </row>
    <row r="84" spans="1:13" ht="15" customHeight="1">
      <c r="A84" s="876" t="s">
        <v>901</v>
      </c>
      <c r="B84" s="875">
        <f>B20</f>
        <v>10.917159999999999</v>
      </c>
      <c r="C84" s="926" t="s">
        <v>902</v>
      </c>
      <c r="D84" s="816"/>
      <c r="E84" s="816"/>
      <c r="F84" s="816"/>
      <c r="G84" s="816"/>
      <c r="H84" s="816"/>
      <c r="I84" s="816"/>
      <c r="J84" s="816"/>
      <c r="K84" s="816"/>
      <c r="L84" s="816"/>
      <c r="M84" s="816"/>
    </row>
    <row r="85" spans="1:13" ht="15" customHeight="1">
      <c r="A85" s="877" t="s">
        <v>903</v>
      </c>
      <c r="B85" s="878">
        <f>B83-B82</f>
        <v>3.5748605589813174</v>
      </c>
      <c r="C85" s="927" t="s">
        <v>904</v>
      </c>
      <c r="D85" s="816"/>
      <c r="E85" s="816"/>
      <c r="F85" s="816"/>
      <c r="G85" s="816"/>
      <c r="H85" s="816"/>
      <c r="I85" s="816"/>
      <c r="J85" s="816"/>
      <c r="K85" s="816"/>
      <c r="L85" s="816"/>
      <c r="M85" s="816"/>
    </row>
    <row r="86" spans="1:13" ht="15" customHeight="1">
      <c r="A86" s="816"/>
      <c r="B86" s="816"/>
      <c r="C86" s="816"/>
      <c r="D86" s="816"/>
      <c r="E86" s="816"/>
      <c r="F86" s="816"/>
      <c r="G86" s="816"/>
      <c r="H86" s="816"/>
      <c r="I86" s="816"/>
      <c r="J86" s="816"/>
      <c r="K86" s="816"/>
      <c r="L86" s="816"/>
      <c r="M86" s="816"/>
    </row>
    <row r="87" spans="1:13" ht="21.95" customHeight="1">
      <c r="A87" s="798" t="s">
        <v>905</v>
      </c>
      <c r="B87" s="817"/>
      <c r="C87" s="817"/>
      <c r="D87" s="817"/>
      <c r="E87" s="817"/>
      <c r="F87" s="817"/>
      <c r="G87" s="817"/>
      <c r="H87" s="817"/>
      <c r="I87" s="817"/>
      <c r="J87" s="817"/>
      <c r="K87" s="817"/>
      <c r="L87" s="816"/>
      <c r="M87" s="816"/>
    </row>
    <row r="88" spans="1:13" ht="30" customHeight="1">
      <c r="A88" s="807" t="s">
        <v>906</v>
      </c>
      <c r="B88" s="816"/>
      <c r="C88" s="816"/>
      <c r="D88" s="816"/>
      <c r="E88" s="816"/>
      <c r="F88" s="816"/>
      <c r="G88" s="816"/>
      <c r="H88" s="816"/>
      <c r="I88" s="816"/>
      <c r="J88" s="816"/>
      <c r="K88" s="816"/>
      <c r="L88" s="816"/>
      <c r="M88" s="816"/>
    </row>
    <row r="89" spans="1:13" ht="15" customHeight="1">
      <c r="A89" s="816"/>
      <c r="B89" s="816"/>
      <c r="C89" s="816"/>
      <c r="D89" s="816"/>
      <c r="E89" s="816"/>
      <c r="F89" s="816"/>
      <c r="G89" s="816"/>
      <c r="H89" s="816"/>
      <c r="I89" s="816"/>
      <c r="J89" s="816"/>
      <c r="K89" s="816"/>
      <c r="L89" s="816"/>
      <c r="M89" s="816"/>
    </row>
    <row r="90" spans="1:13" ht="15" customHeight="1">
      <c r="A90" s="810" t="s">
        <v>907</v>
      </c>
      <c r="B90" s="811" t="s">
        <v>908</v>
      </c>
      <c r="C90" s="811" t="s">
        <v>909</v>
      </c>
      <c r="D90" s="811" t="s">
        <v>910</v>
      </c>
      <c r="E90" s="811" t="s">
        <v>911</v>
      </c>
      <c r="F90" s="811" t="s">
        <v>912</v>
      </c>
      <c r="G90" s="811" t="s">
        <v>913</v>
      </c>
      <c r="H90" s="911" t="s">
        <v>914</v>
      </c>
      <c r="I90" s="811" t="s">
        <v>915</v>
      </c>
      <c r="J90" s="811" t="s">
        <v>916</v>
      </c>
      <c r="K90" s="811" t="s">
        <v>917</v>
      </c>
      <c r="L90" s="816"/>
      <c r="M90" s="816"/>
    </row>
    <row r="91" spans="1:13" ht="15" customHeight="1">
      <c r="A91" s="802" t="s">
        <v>918</v>
      </c>
      <c r="B91" s="816"/>
      <c r="C91" s="879">
        <v>0.5</v>
      </c>
      <c r="D91" s="879">
        <v>0.38</v>
      </c>
      <c r="E91" s="879">
        <v>0.26</v>
      </c>
      <c r="F91" s="879">
        <v>0.19</v>
      </c>
      <c r="G91" s="879">
        <v>0.14000000000000001</v>
      </c>
      <c r="H91" s="879">
        <v>0.11</v>
      </c>
      <c r="I91" s="879">
        <v>0.08</v>
      </c>
      <c r="J91" s="879">
        <v>0.06</v>
      </c>
      <c r="K91" s="816"/>
      <c r="L91" s="816"/>
      <c r="M91" s="816"/>
    </row>
    <row r="92" spans="1:13" ht="15" customHeight="1">
      <c r="A92" s="806" t="s">
        <v>919</v>
      </c>
      <c r="B92" s="880">
        <v>0.97809999999999997</v>
      </c>
      <c r="C92" s="1511" t="s">
        <v>920</v>
      </c>
      <c r="D92" s="1511"/>
      <c r="E92" s="1511"/>
      <c r="F92" s="1511"/>
      <c r="G92" s="1511"/>
      <c r="H92" s="1511"/>
      <c r="I92" s="1511"/>
      <c r="J92" s="1511"/>
      <c r="K92" s="1511"/>
      <c r="L92" s="816"/>
      <c r="M92" s="816"/>
    </row>
    <row r="93" spans="1:13" ht="15" customHeight="1">
      <c r="A93" s="812" t="s">
        <v>921</v>
      </c>
      <c r="B93" s="881">
        <v>2.5</v>
      </c>
      <c r="C93" s="809">
        <f t="shared" ref="C93:J93" si="0">B93*(1+C$91*$B$92)</f>
        <v>3.7226249999999999</v>
      </c>
      <c r="D93" s="809">
        <f t="shared" si="0"/>
        <v>5.1062428147499999</v>
      </c>
      <c r="E93" s="809">
        <f t="shared" si="0"/>
        <v>6.4047909999978128</v>
      </c>
      <c r="F93" s="809">
        <f t="shared" si="0"/>
        <v>7.5950509546464069</v>
      </c>
      <c r="G93" s="809">
        <f t="shared" si="0"/>
        <v>8.6350716620699597</v>
      </c>
      <c r="H93" s="809">
        <f t="shared" si="0"/>
        <v>9.5641276572637288</v>
      </c>
      <c r="I93" s="809">
        <f t="shared" si="0"/>
        <v>10.312501518189302</v>
      </c>
      <c r="J93" s="882">
        <f t="shared" si="0"/>
        <v>10.91770098228576</v>
      </c>
      <c r="K93" s="813">
        <f>(J93/B93)^(1/8)-1</f>
        <v>0.20233059464556757</v>
      </c>
      <c r="L93" s="816"/>
      <c r="M93" s="816"/>
    </row>
    <row r="94" spans="1:13" ht="15" customHeight="1">
      <c r="A94" s="806" t="s">
        <v>922</v>
      </c>
      <c r="B94" s="816"/>
      <c r="C94" s="814">
        <f t="shared" ref="C94:J94" si="1">C93/B93-1</f>
        <v>0.48904999999999998</v>
      </c>
      <c r="D94" s="814">
        <f t="shared" si="1"/>
        <v>0.37167799999999995</v>
      </c>
      <c r="E94" s="814">
        <f t="shared" si="1"/>
        <v>0.25430599999999992</v>
      </c>
      <c r="F94" s="814">
        <f t="shared" si="1"/>
        <v>0.18583900000000009</v>
      </c>
      <c r="G94" s="814">
        <f t="shared" si="1"/>
        <v>0.13693400000000033</v>
      </c>
      <c r="H94" s="814">
        <f t="shared" si="1"/>
        <v>0.10759099999999999</v>
      </c>
      <c r="I94" s="814">
        <f t="shared" si="1"/>
        <v>7.8248000000000095E-2</v>
      </c>
      <c r="J94" s="814">
        <f t="shared" si="1"/>
        <v>5.8686000000000016E-2</v>
      </c>
      <c r="K94" s="816"/>
      <c r="L94" s="816"/>
      <c r="M94" s="816"/>
    </row>
    <row r="95" spans="1:13" ht="15" customHeight="1">
      <c r="A95" s="816"/>
      <c r="B95" s="816"/>
      <c r="C95" s="816"/>
      <c r="D95" s="816"/>
      <c r="E95" s="816"/>
      <c r="F95" s="816"/>
      <c r="G95" s="816"/>
      <c r="H95" s="816"/>
      <c r="I95" s="816"/>
      <c r="J95" s="816"/>
      <c r="K95" s="816"/>
      <c r="L95" s="816"/>
      <c r="M95" s="816"/>
    </row>
    <row r="96" spans="1:13" ht="21.95" customHeight="1">
      <c r="A96" s="1389" t="s">
        <v>923</v>
      </c>
      <c r="B96" s="817"/>
      <c r="C96" s="817"/>
      <c r="D96" s="817"/>
      <c r="E96" s="816"/>
      <c r="F96" s="816"/>
      <c r="G96" s="816"/>
      <c r="H96" s="816"/>
      <c r="I96" s="816"/>
      <c r="J96" s="816"/>
      <c r="K96" s="816"/>
      <c r="L96" s="816"/>
      <c r="M96" s="816"/>
    </row>
    <row r="97" spans="1:13" ht="15" customHeight="1">
      <c r="A97" s="897" t="s">
        <v>924</v>
      </c>
      <c r="B97" s="816"/>
      <c r="C97" s="816"/>
      <c r="D97" s="816"/>
      <c r="E97" s="816"/>
      <c r="F97" s="816"/>
      <c r="G97" s="816"/>
      <c r="H97" s="816"/>
      <c r="I97" s="816"/>
      <c r="J97" s="816"/>
      <c r="K97" s="816"/>
      <c r="L97" s="816"/>
      <c r="M97" s="816"/>
    </row>
    <row r="98" spans="1:13" ht="15" customHeight="1">
      <c r="A98" s="816"/>
      <c r="B98" s="816"/>
      <c r="C98" s="816"/>
      <c r="D98" s="816"/>
      <c r="E98" s="816"/>
      <c r="F98" s="816"/>
      <c r="G98" s="816"/>
      <c r="H98" s="816"/>
      <c r="I98" s="816"/>
      <c r="J98" s="816"/>
      <c r="K98" s="816"/>
      <c r="L98" s="816"/>
      <c r="M98" s="816"/>
    </row>
    <row r="99" spans="1:13" ht="15" customHeight="1">
      <c r="A99" s="810" t="s">
        <v>925</v>
      </c>
      <c r="B99" s="811" t="s">
        <v>926</v>
      </c>
      <c r="C99" s="810" t="s">
        <v>793</v>
      </c>
      <c r="D99" s="816"/>
      <c r="E99" s="816"/>
      <c r="F99" s="816"/>
      <c r="G99" s="816"/>
      <c r="H99" s="816"/>
      <c r="I99" s="816"/>
      <c r="J99" s="816"/>
      <c r="K99" s="816"/>
      <c r="L99" s="816"/>
      <c r="M99" s="816"/>
    </row>
    <row r="100" spans="1:13" ht="15" customHeight="1">
      <c r="A100" s="799" t="s">
        <v>927</v>
      </c>
      <c r="B100" s="883">
        <f>Assumptions!F176</f>
        <v>10.924108107214609</v>
      </c>
      <c r="C100" s="898" t="s">
        <v>928</v>
      </c>
      <c r="D100" s="816"/>
      <c r="E100" s="816"/>
      <c r="F100" s="816"/>
      <c r="G100" s="816"/>
      <c r="H100" s="816"/>
      <c r="I100" s="816"/>
      <c r="J100" s="816"/>
      <c r="K100" s="816"/>
      <c r="L100" s="816"/>
      <c r="M100" s="816"/>
    </row>
    <row r="101" spans="1:13" ht="15" customHeight="1">
      <c r="A101" s="803" t="s">
        <v>929</v>
      </c>
      <c r="B101" s="804">
        <f>B20</f>
        <v>10.917159999999999</v>
      </c>
      <c r="C101" s="899" t="s">
        <v>930</v>
      </c>
      <c r="D101" s="816"/>
      <c r="E101" s="816"/>
      <c r="F101" s="816"/>
      <c r="G101" s="816"/>
      <c r="H101" s="816"/>
      <c r="I101" s="816"/>
      <c r="J101" s="816"/>
      <c r="K101" s="816"/>
      <c r="L101" s="816"/>
      <c r="M101" s="816"/>
    </row>
    <row r="102" spans="1:13" ht="15" customHeight="1" thickBot="1">
      <c r="A102" s="799" t="s">
        <v>931</v>
      </c>
      <c r="B102" s="800">
        <f>J93</f>
        <v>10.91770098228576</v>
      </c>
      <c r="C102" s="898" t="s">
        <v>932</v>
      </c>
      <c r="D102" s="816"/>
      <c r="E102" s="816"/>
      <c r="F102" s="816"/>
      <c r="G102" s="816"/>
      <c r="H102" s="816"/>
      <c r="I102" s="816"/>
      <c r="J102" s="816"/>
      <c r="K102" s="816"/>
      <c r="L102" s="816"/>
      <c r="M102" s="816"/>
    </row>
    <row r="103" spans="1:13" ht="15" customHeight="1" thickBot="1">
      <c r="A103" s="839" t="s">
        <v>933</v>
      </c>
      <c r="B103" s="884">
        <f>B100/B101-1</f>
        <v>6.3643907523669441E-4</v>
      </c>
      <c r="C103" s="912" t="s">
        <v>934</v>
      </c>
      <c r="D103" s="816"/>
      <c r="E103" s="816"/>
      <c r="F103" s="816"/>
      <c r="G103" s="816"/>
      <c r="H103" s="816"/>
      <c r="I103" s="816"/>
      <c r="J103" s="816"/>
      <c r="K103" s="816"/>
      <c r="L103" s="816"/>
      <c r="M103" s="816"/>
    </row>
    <row r="104" spans="1:13" ht="15" customHeight="1" thickTop="1">
      <c r="A104" s="816"/>
      <c r="B104" s="816"/>
      <c r="C104" s="913"/>
      <c r="D104" s="816"/>
      <c r="E104" s="816"/>
      <c r="F104" s="816"/>
      <c r="G104" s="816"/>
      <c r="H104" s="816"/>
      <c r="I104" s="816"/>
      <c r="J104" s="816"/>
      <c r="K104" s="816"/>
      <c r="L104" s="816"/>
      <c r="M104" s="816"/>
    </row>
    <row r="105" spans="1:13" ht="21.95" customHeight="1">
      <c r="A105" s="798" t="s">
        <v>935</v>
      </c>
      <c r="B105" s="817"/>
      <c r="C105" s="914"/>
      <c r="D105" s="817"/>
      <c r="E105" s="816"/>
      <c r="F105" s="816"/>
      <c r="G105" s="816"/>
      <c r="H105" s="816"/>
      <c r="I105" s="816"/>
      <c r="J105" s="816"/>
      <c r="K105" s="816"/>
      <c r="L105" s="816"/>
      <c r="M105" s="816"/>
    </row>
    <row r="106" spans="1:13" ht="30" customHeight="1">
      <c r="A106" s="807" t="s">
        <v>936</v>
      </c>
      <c r="B106" s="816"/>
      <c r="C106" s="913"/>
      <c r="D106" s="816"/>
      <c r="E106" s="816"/>
      <c r="F106" s="816"/>
      <c r="G106" s="816"/>
      <c r="H106" s="816"/>
      <c r="I106" s="816"/>
      <c r="J106" s="816"/>
      <c r="K106" s="816"/>
      <c r="L106" s="816"/>
      <c r="M106" s="816"/>
    </row>
    <row r="107" spans="1:13" ht="15" customHeight="1">
      <c r="A107" s="816"/>
      <c r="B107" s="816"/>
      <c r="C107" s="913"/>
      <c r="D107" s="816"/>
      <c r="E107" s="816"/>
      <c r="F107" s="816"/>
      <c r="G107" s="816"/>
      <c r="H107" s="816"/>
      <c r="I107" s="816"/>
      <c r="J107" s="816"/>
      <c r="K107" s="816"/>
      <c r="L107" s="816"/>
      <c r="M107" s="816"/>
    </row>
    <row r="108" spans="1:13" ht="15" customHeight="1">
      <c r="A108" s="810" t="s">
        <v>104</v>
      </c>
      <c r="B108" s="811" t="s">
        <v>792</v>
      </c>
      <c r="C108" s="915" t="s">
        <v>793</v>
      </c>
      <c r="D108" s="816"/>
      <c r="E108" s="816"/>
      <c r="F108" s="816"/>
      <c r="G108" s="816"/>
      <c r="H108" s="816"/>
      <c r="I108" s="816"/>
      <c r="J108" s="816"/>
      <c r="K108" s="816"/>
      <c r="L108" s="816"/>
      <c r="M108" s="816"/>
    </row>
    <row r="109" spans="1:13" ht="15" customHeight="1">
      <c r="A109" s="799" t="s">
        <v>937</v>
      </c>
      <c r="B109" s="885">
        <f>B9</f>
        <v>24.63</v>
      </c>
      <c r="C109" s="898" t="s">
        <v>938</v>
      </c>
      <c r="D109" s="816"/>
      <c r="E109" s="816"/>
      <c r="F109" s="816"/>
      <c r="G109" s="816"/>
      <c r="H109" s="816"/>
      <c r="I109" s="816"/>
      <c r="J109" s="816"/>
      <c r="K109" s="816"/>
      <c r="L109" s="816"/>
      <c r="M109" s="816"/>
    </row>
    <row r="110" spans="1:13" ht="15" customHeight="1">
      <c r="A110" s="803" t="s">
        <v>939</v>
      </c>
      <c r="B110" s="886">
        <f>B10</f>
        <v>17.85500689158253</v>
      </c>
      <c r="C110" s="899" t="s">
        <v>940</v>
      </c>
      <c r="D110" s="816"/>
      <c r="E110" s="816"/>
      <c r="F110" s="816"/>
      <c r="G110" s="816"/>
      <c r="H110" s="816"/>
      <c r="I110" s="816"/>
      <c r="J110" s="816"/>
      <c r="K110" s="816"/>
      <c r="L110" s="816"/>
      <c r="M110" s="816"/>
    </row>
    <row r="111" spans="1:13" ht="15" customHeight="1">
      <c r="A111" s="799" t="s">
        <v>941</v>
      </c>
      <c r="B111" s="887">
        <f>B109/B110-1</f>
        <v>0.37944500103281587</v>
      </c>
      <c r="C111" s="898" t="s">
        <v>942</v>
      </c>
      <c r="D111" s="816"/>
      <c r="E111" s="816"/>
      <c r="F111" s="816"/>
      <c r="G111" s="816"/>
      <c r="H111" s="816"/>
      <c r="I111" s="816"/>
      <c r="J111" s="816"/>
      <c r="K111" s="816"/>
      <c r="L111" s="816"/>
      <c r="M111" s="816"/>
    </row>
    <row r="112" spans="1:13" ht="15" customHeight="1" thickBot="1">
      <c r="A112" s="803" t="s">
        <v>943</v>
      </c>
      <c r="B112" s="888">
        <f>B101*(B109/B110)</f>
        <v>15.059621787475415</v>
      </c>
      <c r="C112" s="899" t="s">
        <v>944</v>
      </c>
      <c r="D112" s="816"/>
      <c r="E112" s="816"/>
      <c r="F112" s="816"/>
      <c r="G112" s="816"/>
      <c r="H112" s="816"/>
      <c r="I112" s="816"/>
      <c r="J112" s="816"/>
      <c r="K112" s="816"/>
      <c r="L112" s="816"/>
      <c r="M112" s="816"/>
    </row>
    <row r="113" spans="1:13" ht="15" customHeight="1" thickBot="1">
      <c r="A113" s="839" t="s">
        <v>945</v>
      </c>
      <c r="B113" s="889">
        <f>B112/B83-1</f>
        <v>0.25981240229213154</v>
      </c>
      <c r="C113" s="916" t="s">
        <v>946</v>
      </c>
      <c r="D113" s="816"/>
      <c r="E113" s="816"/>
      <c r="F113" s="816"/>
      <c r="G113" s="816"/>
      <c r="H113" s="816"/>
      <c r="I113" s="816"/>
      <c r="J113" s="816"/>
      <c r="K113" s="816"/>
      <c r="L113" s="816"/>
      <c r="M113" s="816"/>
    </row>
    <row r="114" spans="1:13" ht="15" customHeight="1" thickTop="1">
      <c r="A114" s="816"/>
      <c r="B114" s="816"/>
      <c r="C114" s="816"/>
      <c r="D114" s="816"/>
      <c r="E114" s="816"/>
      <c r="F114" s="816"/>
      <c r="G114" s="816"/>
      <c r="H114" s="816"/>
      <c r="I114" s="816"/>
      <c r="J114" s="816"/>
      <c r="K114" s="816"/>
      <c r="L114" s="816"/>
      <c r="M114" s="816"/>
    </row>
    <row r="115" spans="1:13" ht="21.95" customHeight="1">
      <c r="A115" s="798" t="s">
        <v>947</v>
      </c>
      <c r="B115" s="817"/>
      <c r="C115" s="817"/>
      <c r="D115" s="817"/>
      <c r="E115" s="816"/>
      <c r="F115" s="816"/>
      <c r="G115" s="816"/>
      <c r="H115" s="816"/>
      <c r="I115" s="816"/>
      <c r="J115" s="816"/>
      <c r="K115" s="816"/>
      <c r="L115" s="816"/>
      <c r="M115" s="816"/>
    </row>
    <row r="116" spans="1:13" ht="30" customHeight="1">
      <c r="A116" s="816"/>
      <c r="B116" s="816"/>
      <c r="C116" s="816"/>
      <c r="D116" s="816"/>
      <c r="E116" s="816"/>
      <c r="F116" s="816"/>
      <c r="G116" s="816"/>
      <c r="H116" s="816"/>
      <c r="I116" s="816"/>
      <c r="J116" s="816"/>
      <c r="K116" s="816"/>
      <c r="L116" s="816"/>
      <c r="M116" s="816"/>
    </row>
    <row r="117" spans="1:13" ht="15" customHeight="1">
      <c r="A117" s="921" t="s">
        <v>948</v>
      </c>
      <c r="B117" s="816"/>
      <c r="C117" s="816"/>
      <c r="D117" s="816"/>
      <c r="E117" s="816"/>
      <c r="F117" s="816"/>
      <c r="G117" s="816"/>
      <c r="H117" s="816"/>
      <c r="I117" s="816"/>
      <c r="J117" s="816"/>
      <c r="K117" s="816"/>
      <c r="L117" s="816"/>
      <c r="M117" s="816"/>
    </row>
    <row r="118" spans="1:13" ht="15" customHeight="1">
      <c r="A118" s="921" t="s">
        <v>949</v>
      </c>
      <c r="B118" s="816"/>
      <c r="C118" s="816"/>
      <c r="D118" s="816"/>
      <c r="E118" s="816"/>
      <c r="F118" s="816"/>
      <c r="G118" s="816"/>
      <c r="H118" s="816"/>
      <c r="I118" s="816"/>
      <c r="J118" s="816"/>
      <c r="K118" s="816"/>
      <c r="L118" s="816"/>
      <c r="M118" s="816"/>
    </row>
    <row r="119" spans="1:13" ht="15" customHeight="1">
      <c r="A119" s="921" t="s">
        <v>950</v>
      </c>
      <c r="B119" s="816"/>
      <c r="C119" s="816"/>
      <c r="D119" s="816"/>
      <c r="E119" s="816"/>
      <c r="F119" s="816"/>
      <c r="G119" s="816"/>
      <c r="H119" s="816"/>
      <c r="I119" s="816"/>
      <c r="J119" s="816"/>
      <c r="K119" s="816"/>
      <c r="L119" s="816"/>
      <c r="M119" s="816"/>
    </row>
    <row r="120" spans="1:13" ht="15" customHeight="1">
      <c r="A120" s="921" t="s">
        <v>951</v>
      </c>
      <c r="B120" s="816"/>
      <c r="C120" s="816"/>
      <c r="D120" s="816"/>
      <c r="E120" s="816"/>
      <c r="F120" s="816"/>
      <c r="G120" s="816"/>
      <c r="H120" s="816"/>
      <c r="I120" s="816"/>
      <c r="J120" s="816"/>
      <c r="K120" s="816"/>
      <c r="L120" s="816"/>
      <c r="M120" s="816"/>
    </row>
    <row r="121" spans="1:13" ht="15" customHeight="1">
      <c r="A121" s="921" t="s">
        <v>952</v>
      </c>
      <c r="B121" s="816"/>
      <c r="C121" s="816"/>
      <c r="D121" s="816"/>
      <c r="E121" s="816"/>
      <c r="F121" s="816"/>
      <c r="G121" s="816"/>
      <c r="H121" s="816"/>
      <c r="I121" s="816"/>
      <c r="J121" s="816"/>
      <c r="K121" s="816"/>
      <c r="L121" s="816"/>
      <c r="M121" s="816"/>
    </row>
    <row r="122" spans="1:13" ht="15" customHeight="1">
      <c r="A122" s="921" t="s">
        <v>953</v>
      </c>
      <c r="B122" s="816"/>
      <c r="C122" s="816"/>
      <c r="D122" s="816"/>
      <c r="E122" s="816"/>
      <c r="F122" s="816"/>
      <c r="G122" s="816"/>
      <c r="H122" s="816"/>
      <c r="I122" s="816"/>
      <c r="J122" s="816"/>
      <c r="K122" s="816"/>
      <c r="L122" s="816"/>
      <c r="M122" s="816"/>
    </row>
    <row r="123" spans="1:13" ht="15" customHeight="1">
      <c r="A123" s="922" t="s">
        <v>954</v>
      </c>
      <c r="B123" s="816"/>
      <c r="C123" s="816"/>
      <c r="D123" s="816"/>
      <c r="E123" s="816"/>
      <c r="F123" s="816"/>
      <c r="G123" s="816"/>
      <c r="H123" s="816"/>
      <c r="I123" s="816"/>
      <c r="J123" s="816"/>
      <c r="K123" s="816"/>
      <c r="L123" s="816"/>
      <c r="M123" s="816"/>
    </row>
    <row r="124" spans="1:13" ht="15" customHeight="1">
      <c r="A124" s="913"/>
      <c r="B124" s="816"/>
      <c r="C124" s="816"/>
      <c r="D124" s="816"/>
      <c r="E124" s="816"/>
      <c r="F124" s="816"/>
      <c r="G124" s="816"/>
      <c r="H124" s="816"/>
      <c r="I124" s="816"/>
      <c r="J124" s="816"/>
      <c r="K124" s="816"/>
      <c r="L124" s="816"/>
      <c r="M124" s="816"/>
    </row>
    <row r="125" spans="1:13" ht="15" customHeight="1">
      <c r="A125" s="923" t="s">
        <v>955</v>
      </c>
      <c r="B125" s="816"/>
      <c r="C125" s="816"/>
      <c r="D125" s="816"/>
      <c r="E125" s="816"/>
      <c r="F125" s="816"/>
      <c r="G125" s="816"/>
      <c r="H125" s="816"/>
      <c r="I125" s="816"/>
      <c r="J125" s="816"/>
      <c r="K125" s="816"/>
      <c r="L125" s="816"/>
      <c r="M125" s="816"/>
    </row>
    <row r="126" spans="1:13" ht="15" customHeight="1">
      <c r="A126" s="913"/>
      <c r="B126" s="816"/>
      <c r="C126" s="816"/>
      <c r="D126" s="816"/>
      <c r="E126" s="816"/>
      <c r="F126" s="816"/>
      <c r="G126" s="816"/>
      <c r="H126" s="816"/>
      <c r="I126" s="816"/>
      <c r="J126" s="816"/>
      <c r="K126" s="816"/>
      <c r="L126" s="816"/>
      <c r="M126" s="816"/>
    </row>
    <row r="127" spans="1:13" ht="15" customHeight="1">
      <c r="A127" s="1335" t="s">
        <v>956</v>
      </c>
      <c r="B127" s="1336"/>
      <c r="C127" s="1336"/>
      <c r="D127" s="1336"/>
      <c r="E127" s="1336"/>
      <c r="F127" s="1336"/>
      <c r="G127" s="816"/>
      <c r="H127" s="816"/>
      <c r="I127" s="816"/>
      <c r="J127" s="816"/>
      <c r="K127" s="816"/>
      <c r="L127" s="816"/>
      <c r="M127" s="816"/>
    </row>
    <row r="128" spans="1:13" ht="15" customHeight="1">
      <c r="A128" s="1337" t="s">
        <v>957</v>
      </c>
      <c r="B128" s="816"/>
      <c r="C128" s="816"/>
      <c r="D128" s="816"/>
      <c r="E128" s="816"/>
      <c r="F128" s="816"/>
      <c r="G128" s="816"/>
      <c r="H128" s="816"/>
      <c r="I128" s="816"/>
      <c r="J128" s="816"/>
      <c r="K128" s="816"/>
      <c r="L128" s="816"/>
      <c r="M128" s="816"/>
    </row>
    <row r="129" spans="1:13" ht="15" customHeight="1">
      <c r="A129" s="816"/>
      <c r="B129" s="816"/>
      <c r="C129" s="816"/>
      <c r="D129" s="816"/>
      <c r="E129" s="816"/>
      <c r="F129" s="816"/>
      <c r="G129" s="816"/>
      <c r="H129" s="816"/>
      <c r="I129" s="816"/>
      <c r="J129" s="816"/>
      <c r="K129" s="816"/>
      <c r="L129" s="816"/>
      <c r="M129" s="816"/>
    </row>
    <row r="130" spans="1:13" ht="15" customHeight="1">
      <c r="A130" s="1338" t="s">
        <v>776</v>
      </c>
      <c r="B130" s="1339" t="s">
        <v>958</v>
      </c>
      <c r="C130" s="1339" t="s">
        <v>959</v>
      </c>
      <c r="D130" s="1339" t="s">
        <v>960</v>
      </c>
      <c r="E130" s="1339" t="s">
        <v>961</v>
      </c>
      <c r="F130" s="1339" t="s">
        <v>223</v>
      </c>
      <c r="G130" s="816"/>
      <c r="H130" s="816"/>
      <c r="I130" s="816"/>
      <c r="J130" s="816"/>
      <c r="K130" s="816"/>
      <c r="L130" s="816"/>
      <c r="M130" s="816"/>
    </row>
    <row r="131" spans="1:13" ht="15" customHeight="1">
      <c r="A131" s="1340" t="s">
        <v>780</v>
      </c>
      <c r="B131" s="1341">
        <f>MIN(B16,$B$20)</f>
        <v>10.917159999999999</v>
      </c>
      <c r="C131" s="1342">
        <f>MAX(0,B16-$B$20)</f>
        <v>1.0367005589813179</v>
      </c>
      <c r="D131" s="1343">
        <f>MAX(0,$B$20-B16)</f>
        <v>0</v>
      </c>
      <c r="E131" s="1344">
        <f>B16</f>
        <v>11.953860558981317</v>
      </c>
      <c r="F131" s="1345" t="str">
        <f>D16</f>
        <v>✓</v>
      </c>
      <c r="G131" s="816"/>
      <c r="H131" s="816"/>
      <c r="I131" s="816"/>
      <c r="J131" s="816"/>
      <c r="K131" s="816"/>
      <c r="L131" s="816"/>
      <c r="M131" s="816"/>
    </row>
    <row r="132" spans="1:13" ht="15" customHeight="1">
      <c r="A132" s="1340" t="s">
        <v>782</v>
      </c>
      <c r="B132" s="1341">
        <f>MIN(B17,$B$20)</f>
        <v>10.917159999999999</v>
      </c>
      <c r="C132" s="1342">
        <f>MAX(0,B17-$B$20)</f>
        <v>0.29215999999999909</v>
      </c>
      <c r="D132" s="1343">
        <f>MAX(0,$B$20-B17)</f>
        <v>0</v>
      </c>
      <c r="E132" s="1344">
        <f>B17</f>
        <v>11.209319999999998</v>
      </c>
      <c r="F132" s="1345" t="str">
        <f>D17</f>
        <v>✓</v>
      </c>
      <c r="G132" s="816"/>
      <c r="H132" s="816"/>
      <c r="I132" s="816"/>
      <c r="J132" s="816"/>
      <c r="K132" s="816"/>
      <c r="L132" s="816"/>
      <c r="M132" s="816"/>
    </row>
    <row r="133" spans="1:13" ht="15" customHeight="1">
      <c r="A133" s="1340" t="s">
        <v>784</v>
      </c>
      <c r="B133" s="1341">
        <f>MIN(B18,$B$20)</f>
        <v>10.625</v>
      </c>
      <c r="C133" s="1342">
        <f>MAX(0,B18-$B$20)</f>
        <v>0</v>
      </c>
      <c r="D133" s="1343">
        <f>MAX(0,$B$20-B18)</f>
        <v>0.29215999999999909</v>
      </c>
      <c r="E133" s="1344">
        <f>B18</f>
        <v>10.625</v>
      </c>
      <c r="F133" s="1345" t="str">
        <f>D18</f>
        <v>✓</v>
      </c>
      <c r="G133" s="816"/>
      <c r="H133" s="816"/>
      <c r="I133" s="816"/>
      <c r="J133" s="816"/>
      <c r="K133" s="816"/>
      <c r="L133" s="816"/>
      <c r="M133" s="816"/>
    </row>
    <row r="134" spans="1:13" ht="15" customHeight="1">
      <c r="A134" s="1340" t="s">
        <v>786</v>
      </c>
      <c r="B134" s="1341">
        <f>MIN(B19,$B$20)</f>
        <v>8.3789999999999996</v>
      </c>
      <c r="C134" s="1342">
        <f>MAX(0,B19-$B$20)</f>
        <v>0</v>
      </c>
      <c r="D134" s="1343">
        <f>MAX(0,$B$20-B19)</f>
        <v>2.5381599999999995</v>
      </c>
      <c r="E134" s="1344">
        <f>B19</f>
        <v>8.3789999999999996</v>
      </c>
      <c r="F134" s="1345" t="str">
        <f>D19</f>
        <v>⚠</v>
      </c>
      <c r="G134" s="816"/>
      <c r="H134" s="816"/>
      <c r="I134" s="816"/>
      <c r="J134" s="816"/>
      <c r="K134" s="816"/>
      <c r="L134" s="816"/>
      <c r="M134" s="816"/>
    </row>
    <row r="135" spans="1:13" ht="15" customHeight="1">
      <c r="A135" s="1346" t="s">
        <v>962</v>
      </c>
      <c r="B135" s="1347">
        <f>B20</f>
        <v>10.917159999999999</v>
      </c>
      <c r="C135" s="1349">
        <v>0</v>
      </c>
      <c r="D135" s="1349">
        <v>0</v>
      </c>
      <c r="E135" s="1350">
        <f>B20</f>
        <v>10.917159999999999</v>
      </c>
      <c r="F135" s="1348" t="s">
        <v>963</v>
      </c>
      <c r="G135" s="816"/>
      <c r="H135" s="816"/>
      <c r="I135" s="816"/>
      <c r="J135" s="816"/>
      <c r="K135" s="816"/>
      <c r="L135" s="816"/>
      <c r="M135" s="816"/>
    </row>
    <row r="136" spans="1:13" ht="15" customHeight="1">
      <c r="A136" s="816"/>
      <c r="B136" s="816"/>
      <c r="C136" s="816"/>
      <c r="D136" s="816"/>
      <c r="E136" s="816"/>
      <c r="F136" s="816"/>
      <c r="G136" s="816"/>
      <c r="H136" s="816"/>
      <c r="I136" s="816"/>
      <c r="J136" s="816"/>
      <c r="K136" s="816"/>
      <c r="L136" s="816"/>
      <c r="M136" s="816"/>
    </row>
    <row r="137" spans="1:13" ht="15" customHeight="1">
      <c r="A137" s="816"/>
      <c r="B137" s="816"/>
      <c r="C137" s="816"/>
      <c r="D137" s="816"/>
      <c r="E137" s="816"/>
      <c r="F137" s="816"/>
      <c r="G137" s="816"/>
      <c r="H137" s="816"/>
      <c r="I137" s="816"/>
      <c r="J137" s="816"/>
      <c r="K137" s="816"/>
      <c r="L137" s="816"/>
      <c r="M137" s="816"/>
    </row>
    <row r="138" spans="1:13" ht="15" customHeight="1">
      <c r="A138" s="816"/>
      <c r="B138" s="816"/>
      <c r="C138" s="816"/>
      <c r="D138" s="816"/>
      <c r="E138" s="816"/>
      <c r="F138" s="816"/>
      <c r="G138" s="816"/>
      <c r="H138" s="816"/>
      <c r="I138" s="816"/>
      <c r="J138" s="816"/>
      <c r="K138" s="816"/>
      <c r="L138" s="816"/>
      <c r="M138" s="816"/>
    </row>
    <row r="139" spans="1:13" ht="15" customHeight="1">
      <c r="A139" s="816"/>
      <c r="B139" s="816"/>
      <c r="C139" s="816"/>
      <c r="D139" s="816"/>
      <c r="E139" s="816"/>
      <c r="F139" s="816"/>
      <c r="G139" s="816"/>
      <c r="H139" s="816"/>
      <c r="I139" s="816"/>
      <c r="J139" s="816"/>
      <c r="K139" s="816"/>
      <c r="L139" s="816"/>
      <c r="M139" s="816"/>
    </row>
    <row r="140" spans="1:13" ht="15" customHeight="1">
      <c r="A140" s="816"/>
      <c r="B140" s="816"/>
      <c r="C140" s="816"/>
      <c r="D140" s="816"/>
      <c r="E140" s="816"/>
      <c r="F140" s="816"/>
      <c r="G140" s="816"/>
      <c r="H140" s="816"/>
      <c r="I140" s="816"/>
      <c r="J140" s="816"/>
      <c r="K140" s="816"/>
      <c r="L140" s="816"/>
      <c r="M140" s="816"/>
    </row>
    <row r="141" spans="1:13" ht="15" customHeight="1">
      <c r="A141" s="816"/>
      <c r="B141" s="816"/>
      <c r="C141" s="816"/>
      <c r="D141" s="816"/>
      <c r="E141" s="816"/>
      <c r="F141" s="816"/>
      <c r="G141" s="816"/>
      <c r="H141" s="816"/>
      <c r="I141" s="816"/>
      <c r="J141" s="816"/>
      <c r="K141" s="816"/>
      <c r="L141" s="816"/>
      <c r="M141" s="816"/>
    </row>
    <row r="142" spans="1:13" ht="15" customHeight="1">
      <c r="A142" s="816"/>
      <c r="B142" s="816"/>
      <c r="C142" s="816"/>
      <c r="D142" s="816"/>
      <c r="E142" s="816"/>
      <c r="F142" s="816"/>
      <c r="G142" s="816"/>
      <c r="H142" s="816"/>
      <c r="I142" s="816"/>
      <c r="J142" s="816"/>
      <c r="K142" s="816"/>
      <c r="L142" s="816"/>
      <c r="M142" s="816"/>
    </row>
    <row r="143" spans="1:13" ht="15" customHeight="1">
      <c r="A143" s="816"/>
      <c r="B143" s="816"/>
      <c r="C143" s="816"/>
      <c r="D143" s="816"/>
      <c r="E143" s="816"/>
      <c r="F143" s="816"/>
      <c r="G143" s="816"/>
      <c r="H143" s="816"/>
      <c r="I143" s="816"/>
      <c r="J143" s="816"/>
      <c r="K143" s="816"/>
      <c r="L143" s="816"/>
      <c r="M143" s="816"/>
    </row>
    <row r="144" spans="1:13" ht="15" customHeight="1">
      <c r="A144" s="816"/>
      <c r="B144" s="816"/>
      <c r="C144" s="816"/>
      <c r="D144" s="816"/>
      <c r="E144" s="816"/>
      <c r="F144" s="816"/>
      <c r="G144" s="816"/>
      <c r="H144" s="816"/>
      <c r="I144" s="816"/>
      <c r="J144" s="816"/>
      <c r="K144" s="816"/>
      <c r="L144" s="816"/>
      <c r="M144" s="816"/>
    </row>
    <row r="145" spans="1:13" ht="15" customHeight="1">
      <c r="A145" s="816"/>
      <c r="B145" s="816"/>
      <c r="C145" s="816"/>
      <c r="D145" s="816"/>
      <c r="E145" s="816"/>
      <c r="F145" s="816"/>
      <c r="G145" s="816"/>
      <c r="H145" s="816"/>
      <c r="I145" s="816"/>
      <c r="J145" s="816"/>
      <c r="K145" s="816"/>
      <c r="L145" s="816"/>
      <c r="M145" s="816"/>
    </row>
    <row r="146" spans="1:13" ht="15" customHeight="1">
      <c r="A146" s="816"/>
      <c r="B146" s="816"/>
      <c r="C146" s="816"/>
      <c r="D146" s="816"/>
      <c r="E146" s="816"/>
      <c r="F146" s="816"/>
      <c r="G146" s="816"/>
      <c r="H146" s="816"/>
      <c r="I146" s="816"/>
      <c r="J146" s="816"/>
      <c r="K146" s="816"/>
      <c r="L146" s="816"/>
      <c r="M146" s="816"/>
    </row>
    <row r="147" spans="1:13" ht="15" customHeight="1">
      <c r="A147" s="816"/>
      <c r="B147" s="816"/>
      <c r="C147" s="816"/>
      <c r="D147" s="816"/>
      <c r="E147" s="816"/>
      <c r="F147" s="816"/>
      <c r="G147" s="816"/>
      <c r="H147" s="816"/>
      <c r="I147" s="816"/>
      <c r="J147" s="816"/>
      <c r="K147" s="816"/>
      <c r="L147" s="816"/>
      <c r="M147" s="816"/>
    </row>
    <row r="148" spans="1:13" ht="15" customHeight="1">
      <c r="A148" s="816"/>
      <c r="B148" s="816"/>
      <c r="C148" s="816"/>
      <c r="D148" s="816"/>
      <c r="E148" s="816"/>
      <c r="F148" s="816"/>
      <c r="G148" s="816"/>
      <c r="H148" s="816"/>
      <c r="I148" s="816"/>
      <c r="J148" s="816"/>
      <c r="K148" s="816"/>
      <c r="L148" s="816"/>
      <c r="M148" s="816"/>
    </row>
    <row r="149" spans="1:13" ht="15" customHeight="1">
      <c r="A149" s="816"/>
      <c r="B149" s="816"/>
      <c r="C149" s="816"/>
      <c r="D149" s="816"/>
      <c r="E149" s="816"/>
      <c r="F149" s="816"/>
      <c r="G149" s="816"/>
      <c r="H149" s="816"/>
      <c r="I149" s="816"/>
      <c r="J149" s="816"/>
      <c r="K149" s="816"/>
      <c r="L149" s="816"/>
      <c r="M149" s="816"/>
    </row>
    <row r="150" spans="1:13" ht="15" customHeight="1">
      <c r="A150" s="816"/>
      <c r="B150" s="816"/>
      <c r="C150" s="816"/>
      <c r="D150" s="816"/>
      <c r="E150" s="816"/>
      <c r="F150" s="816"/>
      <c r="G150" s="816"/>
      <c r="H150" s="816"/>
      <c r="I150" s="816"/>
      <c r="J150" s="816"/>
      <c r="K150" s="816"/>
      <c r="L150" s="816"/>
      <c r="M150" s="816"/>
    </row>
    <row r="151" spans="1:13" ht="15" customHeight="1">
      <c r="A151" s="816"/>
      <c r="B151" s="816"/>
      <c r="C151" s="816"/>
      <c r="D151" s="816"/>
      <c r="E151" s="816"/>
      <c r="F151" s="816"/>
      <c r="G151" s="816"/>
      <c r="H151" s="816"/>
      <c r="I151" s="816"/>
      <c r="J151" s="816"/>
      <c r="K151" s="816"/>
      <c r="L151" s="816"/>
      <c r="M151" s="816"/>
    </row>
    <row r="152" spans="1:13" ht="15" customHeight="1">
      <c r="A152" s="816"/>
      <c r="B152" s="816"/>
      <c r="C152" s="816"/>
      <c r="D152" s="816"/>
      <c r="E152" s="816"/>
      <c r="F152" s="816"/>
      <c r="G152" s="816"/>
      <c r="H152" s="816"/>
      <c r="I152" s="816"/>
      <c r="J152" s="816"/>
      <c r="K152" s="816"/>
      <c r="L152" s="816"/>
      <c r="M152" s="816"/>
    </row>
    <row r="153" spans="1:13" ht="15" customHeight="1">
      <c r="A153" s="816"/>
      <c r="B153" s="816"/>
      <c r="C153" s="816"/>
      <c r="D153" s="816"/>
      <c r="E153" s="816"/>
      <c r="F153" s="816"/>
      <c r="G153" s="816"/>
      <c r="H153" s="816"/>
      <c r="I153" s="816"/>
      <c r="J153" s="816"/>
      <c r="K153" s="816"/>
      <c r="L153" s="816"/>
      <c r="M153" s="816"/>
    </row>
    <row r="154" spans="1:13" ht="15" customHeight="1">
      <c r="A154" s="816"/>
      <c r="B154" s="816"/>
      <c r="C154" s="816"/>
      <c r="D154" s="816"/>
      <c r="E154" s="816"/>
      <c r="F154" s="816"/>
      <c r="G154" s="816"/>
      <c r="H154" s="816"/>
      <c r="I154" s="816"/>
      <c r="J154" s="816"/>
      <c r="K154" s="816"/>
      <c r="L154" s="816"/>
      <c r="M154" s="816"/>
    </row>
    <row r="155" spans="1:13" ht="15" customHeight="1">
      <c r="A155" s="816"/>
      <c r="B155" s="816"/>
      <c r="C155" s="816"/>
      <c r="D155" s="816"/>
      <c r="E155" s="816"/>
      <c r="F155" s="816"/>
      <c r="G155" s="816"/>
      <c r="H155" s="816"/>
      <c r="I155" s="816"/>
      <c r="J155" s="816"/>
      <c r="K155" s="816"/>
      <c r="L155" s="816"/>
      <c r="M155" s="816"/>
    </row>
    <row r="156" spans="1:13" ht="15" customHeight="1">
      <c r="A156" s="816"/>
      <c r="B156" s="816"/>
      <c r="C156" s="816"/>
      <c r="D156" s="816"/>
      <c r="E156" s="816"/>
      <c r="F156" s="816"/>
      <c r="G156" s="816"/>
      <c r="H156" s="816"/>
      <c r="I156" s="816"/>
      <c r="J156" s="816"/>
      <c r="K156" s="816"/>
      <c r="L156" s="816"/>
      <c r="M156" s="816"/>
    </row>
    <row r="157" spans="1:13" ht="15" customHeight="1">
      <c r="A157" s="816"/>
      <c r="B157" s="816"/>
      <c r="C157" s="816"/>
      <c r="D157" s="816"/>
      <c r="E157" s="816"/>
      <c r="F157" s="816"/>
      <c r="G157" s="816"/>
      <c r="H157" s="816"/>
      <c r="I157" s="816"/>
      <c r="J157" s="816"/>
      <c r="K157" s="816"/>
      <c r="L157" s="816"/>
      <c r="M157" s="816"/>
    </row>
    <row r="158" spans="1:13" ht="15" customHeight="1">
      <c r="A158" s="816"/>
      <c r="B158" s="816"/>
      <c r="C158" s="816"/>
      <c r="D158" s="816"/>
      <c r="E158" s="816"/>
      <c r="F158" s="816"/>
      <c r="G158" s="816"/>
      <c r="H158" s="816"/>
      <c r="I158" s="816"/>
      <c r="J158" s="816"/>
      <c r="K158" s="816"/>
      <c r="L158" s="816"/>
      <c r="M158" s="816"/>
    </row>
    <row r="159" spans="1:13" ht="15" customHeight="1">
      <c r="A159" s="816"/>
      <c r="B159" s="816"/>
      <c r="C159" s="816"/>
      <c r="D159" s="816"/>
      <c r="E159" s="816"/>
      <c r="F159" s="816"/>
      <c r="G159" s="816"/>
      <c r="H159" s="816"/>
      <c r="I159" s="816"/>
      <c r="J159" s="816"/>
      <c r="K159" s="816"/>
      <c r="L159" s="816"/>
      <c r="M159" s="816"/>
    </row>
    <row r="160" spans="1:13" ht="15" customHeight="1">
      <c r="A160" s="816"/>
      <c r="B160" s="816"/>
      <c r="C160" s="816"/>
      <c r="D160" s="816"/>
      <c r="E160" s="816"/>
      <c r="F160" s="816"/>
      <c r="G160" s="816"/>
      <c r="H160" s="816"/>
      <c r="I160" s="816"/>
      <c r="J160" s="816"/>
      <c r="K160" s="816"/>
      <c r="L160" s="816"/>
      <c r="M160" s="816"/>
    </row>
    <row r="161" spans="1:13" ht="15" customHeight="1">
      <c r="A161" s="816"/>
      <c r="B161" s="816"/>
      <c r="C161" s="816"/>
      <c r="D161" s="816"/>
      <c r="E161" s="816"/>
      <c r="F161" s="816"/>
      <c r="G161" s="816"/>
      <c r="H161" s="816"/>
      <c r="I161" s="816"/>
      <c r="J161" s="816"/>
      <c r="K161" s="816"/>
      <c r="L161" s="816"/>
      <c r="M161" s="816"/>
    </row>
    <row r="162" spans="1:13" ht="15" customHeight="1">
      <c r="A162" s="816"/>
      <c r="B162" s="816"/>
      <c r="C162" s="816"/>
      <c r="D162" s="816"/>
      <c r="E162" s="816"/>
      <c r="F162" s="816"/>
      <c r="G162" s="816"/>
      <c r="H162" s="816"/>
      <c r="I162" s="816"/>
      <c r="J162" s="816"/>
      <c r="K162" s="816"/>
      <c r="L162" s="816"/>
      <c r="M162" s="816"/>
    </row>
    <row r="163" spans="1:13" ht="15" customHeight="1">
      <c r="A163" s="816"/>
      <c r="B163" s="816"/>
      <c r="C163" s="816"/>
      <c r="D163" s="816"/>
      <c r="E163" s="816"/>
      <c r="F163" s="816"/>
      <c r="G163" s="816"/>
      <c r="H163" s="816"/>
      <c r="I163" s="816"/>
      <c r="J163" s="816"/>
      <c r="K163" s="816"/>
      <c r="L163" s="816"/>
      <c r="M163" s="816"/>
    </row>
    <row r="164" spans="1:13" ht="15" customHeight="1">
      <c r="A164" s="816"/>
      <c r="B164" s="816"/>
      <c r="C164" s="816"/>
      <c r="D164" s="816"/>
      <c r="E164" s="816"/>
      <c r="F164" s="816"/>
      <c r="G164" s="816"/>
      <c r="H164" s="816"/>
      <c r="I164" s="816"/>
      <c r="J164" s="816"/>
      <c r="K164" s="816"/>
      <c r="L164" s="816"/>
      <c r="M164" s="816"/>
    </row>
    <row r="165" spans="1:13" ht="15" customHeight="1">
      <c r="A165" s="816"/>
      <c r="B165" s="816"/>
      <c r="C165" s="816"/>
      <c r="D165" s="816"/>
      <c r="E165" s="816"/>
      <c r="F165" s="816"/>
      <c r="G165" s="816"/>
      <c r="H165" s="816"/>
      <c r="I165" s="816"/>
      <c r="J165" s="816"/>
      <c r="K165" s="816"/>
      <c r="L165" s="816"/>
      <c r="M165" s="816"/>
    </row>
    <row r="166" spans="1:13" ht="15" customHeight="1">
      <c r="A166" s="816"/>
      <c r="B166" s="816"/>
      <c r="C166" s="816"/>
      <c r="D166" s="816"/>
      <c r="E166" s="816"/>
      <c r="F166" s="816"/>
      <c r="G166" s="816"/>
      <c r="H166" s="816"/>
      <c r="I166" s="816"/>
      <c r="J166" s="816"/>
      <c r="K166" s="816"/>
      <c r="L166" s="816"/>
      <c r="M166" s="816"/>
    </row>
    <row r="167" spans="1:13" ht="15" customHeight="1">
      <c r="A167" s="816"/>
      <c r="B167" s="816"/>
      <c r="C167" s="816"/>
      <c r="D167" s="816"/>
      <c r="E167" s="816"/>
      <c r="F167" s="816"/>
      <c r="G167" s="816"/>
      <c r="H167" s="816"/>
      <c r="I167" s="816"/>
      <c r="J167" s="816"/>
      <c r="K167" s="816"/>
      <c r="L167" s="816"/>
      <c r="M167" s="816"/>
    </row>
    <row r="168" spans="1:13" ht="15" customHeight="1">
      <c r="A168" s="816"/>
      <c r="B168" s="816"/>
      <c r="C168" s="816"/>
      <c r="D168" s="816"/>
      <c r="E168" s="816"/>
      <c r="F168" s="816"/>
      <c r="G168" s="816"/>
      <c r="H168" s="816"/>
      <c r="I168" s="816"/>
      <c r="J168" s="816"/>
      <c r="K168" s="816"/>
      <c r="L168" s="816"/>
      <c r="M168" s="816"/>
    </row>
    <row r="169" spans="1:13" ht="15" customHeight="1">
      <c r="A169" s="816"/>
      <c r="B169" s="816"/>
      <c r="C169" s="816"/>
      <c r="D169" s="816"/>
      <c r="E169" s="816"/>
      <c r="F169" s="816"/>
      <c r="G169" s="816"/>
      <c r="H169" s="816"/>
      <c r="I169" s="816"/>
      <c r="J169" s="816"/>
      <c r="K169" s="816"/>
      <c r="L169" s="816"/>
      <c r="M169" s="816"/>
    </row>
    <row r="170" spans="1:13" ht="15" customHeight="1">
      <c r="A170" s="816"/>
      <c r="B170" s="816"/>
      <c r="C170" s="816"/>
      <c r="D170" s="816"/>
      <c r="E170" s="816"/>
      <c r="F170" s="816"/>
      <c r="G170" s="816"/>
      <c r="H170" s="816"/>
      <c r="I170" s="816"/>
      <c r="J170" s="816"/>
      <c r="K170" s="816"/>
      <c r="L170" s="816"/>
      <c r="M170" s="816"/>
    </row>
    <row r="171" spans="1:13" ht="15" customHeight="1">
      <c r="A171" s="816"/>
      <c r="B171" s="816"/>
      <c r="C171" s="816"/>
      <c r="D171" s="816"/>
      <c r="E171" s="816"/>
      <c r="F171" s="816"/>
      <c r="G171" s="816"/>
      <c r="H171" s="816"/>
      <c r="I171" s="816"/>
      <c r="J171" s="816"/>
      <c r="K171" s="816"/>
      <c r="L171" s="816"/>
      <c r="M171" s="816"/>
    </row>
    <row r="172" spans="1:13" ht="15" customHeight="1">
      <c r="A172" s="816"/>
      <c r="B172" s="816"/>
      <c r="C172" s="816"/>
      <c r="D172" s="816"/>
      <c r="E172" s="816"/>
      <c r="F172" s="816"/>
      <c r="G172" s="816"/>
      <c r="H172" s="816"/>
      <c r="I172" s="816"/>
      <c r="J172" s="816"/>
      <c r="K172" s="816"/>
      <c r="L172" s="816"/>
      <c r="M172" s="816"/>
    </row>
    <row r="173" spans="1:13" ht="15" customHeight="1">
      <c r="A173" s="816"/>
      <c r="B173" s="816"/>
      <c r="C173" s="816"/>
      <c r="D173" s="816"/>
      <c r="E173" s="816"/>
      <c r="F173" s="816"/>
      <c r="G173" s="816"/>
      <c r="H173" s="816"/>
      <c r="I173" s="816"/>
      <c r="J173" s="816"/>
      <c r="K173" s="816"/>
      <c r="L173" s="816"/>
      <c r="M173" s="816"/>
    </row>
    <row r="174" spans="1:13" ht="15" customHeight="1">
      <c r="A174" s="816"/>
      <c r="B174" s="816"/>
      <c r="C174" s="816"/>
      <c r="D174" s="816"/>
      <c r="E174" s="816"/>
      <c r="F174" s="816"/>
      <c r="G174" s="816"/>
      <c r="H174" s="816"/>
      <c r="I174" s="816"/>
      <c r="J174" s="816"/>
      <c r="K174" s="816"/>
      <c r="L174" s="816"/>
      <c r="M174" s="816"/>
    </row>
    <row r="175" spans="1:13" ht="15" customHeight="1">
      <c r="A175" s="816"/>
      <c r="B175" s="816"/>
      <c r="C175" s="816"/>
      <c r="D175" s="816"/>
      <c r="E175" s="816"/>
      <c r="F175" s="816"/>
      <c r="G175" s="816"/>
      <c r="H175" s="816"/>
      <c r="I175" s="816"/>
      <c r="J175" s="816"/>
      <c r="K175" s="816"/>
      <c r="L175" s="816"/>
      <c r="M175" s="816"/>
    </row>
    <row r="176" spans="1:13" ht="15" customHeight="1">
      <c r="A176" s="816"/>
      <c r="B176" s="816"/>
      <c r="C176" s="816"/>
      <c r="D176" s="816"/>
      <c r="E176" s="816"/>
      <c r="F176" s="816"/>
      <c r="G176" s="816"/>
      <c r="H176" s="816"/>
      <c r="I176" s="816"/>
      <c r="J176" s="816"/>
      <c r="K176" s="816"/>
      <c r="L176" s="816"/>
      <c r="M176" s="816"/>
    </row>
    <row r="177" spans="1:13" ht="15" customHeight="1">
      <c r="A177" s="816"/>
      <c r="B177" s="816"/>
      <c r="C177" s="816"/>
      <c r="D177" s="816"/>
      <c r="E177" s="816"/>
      <c r="F177" s="816"/>
      <c r="G177" s="816"/>
      <c r="H177" s="816"/>
      <c r="I177" s="816"/>
      <c r="J177" s="816"/>
      <c r="K177" s="816"/>
      <c r="L177" s="816"/>
      <c r="M177" s="816"/>
    </row>
    <row r="178" spans="1:13" ht="15" customHeight="1">
      <c r="A178" s="816"/>
      <c r="B178" s="816"/>
      <c r="C178" s="816"/>
      <c r="D178" s="816"/>
      <c r="E178" s="816"/>
      <c r="F178" s="816"/>
      <c r="G178" s="816"/>
      <c r="H178" s="816"/>
      <c r="I178" s="816"/>
      <c r="J178" s="816"/>
      <c r="K178" s="816"/>
      <c r="L178" s="816"/>
      <c r="M178" s="816"/>
    </row>
    <row r="179" spans="1:13" ht="15" customHeight="1">
      <c r="A179" s="816"/>
      <c r="B179" s="816"/>
      <c r="C179" s="816"/>
      <c r="D179" s="816"/>
      <c r="E179" s="816"/>
      <c r="F179" s="816"/>
      <c r="G179" s="816"/>
      <c r="H179" s="816"/>
      <c r="I179" s="816"/>
      <c r="J179" s="816"/>
      <c r="K179" s="816"/>
      <c r="L179" s="816"/>
      <c r="M179" s="816"/>
    </row>
    <row r="180" spans="1:13" ht="15" customHeight="1">
      <c r="A180" s="816"/>
      <c r="B180" s="816"/>
      <c r="C180" s="816"/>
      <c r="D180" s="816"/>
      <c r="E180" s="816"/>
      <c r="F180" s="816"/>
      <c r="G180" s="816"/>
      <c r="H180" s="816"/>
      <c r="I180" s="816"/>
      <c r="J180" s="816"/>
      <c r="K180" s="816"/>
      <c r="L180" s="816"/>
      <c r="M180" s="816"/>
    </row>
    <row r="181" spans="1:13" ht="15" customHeight="1">
      <c r="A181" s="816"/>
      <c r="B181" s="816"/>
      <c r="C181" s="816"/>
      <c r="D181" s="816"/>
      <c r="E181" s="816"/>
      <c r="F181" s="816"/>
      <c r="G181" s="816"/>
      <c r="H181" s="816"/>
      <c r="I181" s="816"/>
      <c r="J181" s="816"/>
      <c r="K181" s="816"/>
      <c r="L181" s="816"/>
      <c r="M181" s="816"/>
    </row>
    <row r="182" spans="1:13" ht="15" customHeight="1">
      <c r="A182" s="816"/>
      <c r="B182" s="816"/>
      <c r="C182" s="816"/>
      <c r="D182" s="816"/>
      <c r="E182" s="816"/>
      <c r="F182" s="816"/>
      <c r="G182" s="816"/>
      <c r="H182" s="816"/>
      <c r="I182" s="816"/>
      <c r="J182" s="816"/>
      <c r="K182" s="816"/>
      <c r="L182" s="816"/>
      <c r="M182" s="816"/>
    </row>
    <row r="183" spans="1:13" ht="15" customHeight="1">
      <c r="A183" s="816"/>
      <c r="B183" s="816"/>
      <c r="C183" s="816"/>
      <c r="D183" s="816"/>
      <c r="E183" s="816"/>
      <c r="F183" s="816"/>
      <c r="G183" s="816"/>
      <c r="H183" s="816"/>
      <c r="I183" s="816"/>
      <c r="J183" s="816"/>
      <c r="K183" s="816"/>
      <c r="L183" s="816"/>
      <c r="M183" s="816"/>
    </row>
    <row r="184" spans="1:13" ht="15" customHeight="1">
      <c r="A184" s="816"/>
      <c r="B184" s="816"/>
      <c r="C184" s="816"/>
      <c r="D184" s="816"/>
      <c r="E184" s="816"/>
      <c r="F184" s="816"/>
      <c r="G184" s="816"/>
      <c r="H184" s="816"/>
      <c r="I184" s="816"/>
      <c r="J184" s="816"/>
      <c r="K184" s="816"/>
      <c r="L184" s="816"/>
      <c r="M184" s="816"/>
    </row>
    <row r="185" spans="1:13" ht="15" customHeight="1">
      <c r="A185" s="816"/>
      <c r="B185" s="816"/>
      <c r="C185" s="816"/>
      <c r="D185" s="816"/>
      <c r="E185" s="816"/>
      <c r="F185" s="816"/>
      <c r="G185" s="816"/>
      <c r="H185" s="816"/>
      <c r="I185" s="816"/>
      <c r="J185" s="816"/>
      <c r="K185" s="816"/>
      <c r="L185" s="816"/>
      <c r="M185" s="816"/>
    </row>
    <row r="186" spans="1:13" ht="15" customHeight="1">
      <c r="A186" s="816"/>
      <c r="B186" s="816"/>
      <c r="C186" s="816"/>
      <c r="D186" s="816"/>
      <c r="E186" s="816"/>
      <c r="F186" s="816"/>
      <c r="G186" s="816"/>
      <c r="H186" s="816"/>
      <c r="I186" s="816"/>
      <c r="J186" s="816"/>
      <c r="K186" s="816"/>
      <c r="L186" s="816"/>
      <c r="M186" s="816"/>
    </row>
    <row r="187" spans="1:13" ht="15" customHeight="1">
      <c r="A187" s="816"/>
      <c r="B187" s="816"/>
      <c r="C187" s="816"/>
      <c r="D187" s="816"/>
      <c r="E187" s="816"/>
      <c r="F187" s="816"/>
      <c r="G187" s="816"/>
      <c r="H187" s="816"/>
      <c r="I187" s="816"/>
      <c r="J187" s="816"/>
      <c r="K187" s="816"/>
      <c r="L187" s="816"/>
      <c r="M187" s="816"/>
    </row>
    <row r="188" spans="1:13" ht="15" customHeight="1">
      <c r="A188" s="816"/>
      <c r="B188" s="816"/>
      <c r="C188" s="816"/>
      <c r="D188" s="816"/>
      <c r="E188" s="816"/>
      <c r="F188" s="816"/>
      <c r="G188" s="816"/>
      <c r="H188" s="816"/>
      <c r="I188" s="816"/>
      <c r="J188" s="816"/>
      <c r="K188" s="816"/>
      <c r="L188" s="816"/>
      <c r="M188" s="816"/>
    </row>
    <row r="189" spans="1:13" ht="15" customHeight="1">
      <c r="A189" s="816"/>
      <c r="B189" s="816"/>
      <c r="C189" s="816"/>
      <c r="D189" s="816"/>
      <c r="E189" s="816"/>
      <c r="F189" s="816"/>
      <c r="G189" s="816"/>
      <c r="H189" s="816"/>
      <c r="I189" s="816"/>
      <c r="J189" s="816"/>
      <c r="K189" s="816"/>
      <c r="L189" s="816"/>
      <c r="M189" s="816"/>
    </row>
    <row r="190" spans="1:13" ht="15" customHeight="1">
      <c r="A190" s="816"/>
      <c r="B190" s="816"/>
      <c r="C190" s="816"/>
      <c r="D190" s="816"/>
      <c r="E190" s="816"/>
      <c r="F190" s="816"/>
      <c r="G190" s="816"/>
      <c r="H190" s="816"/>
      <c r="I190" s="816"/>
      <c r="J190" s="816"/>
      <c r="K190" s="816"/>
      <c r="L190" s="816"/>
      <c r="M190" s="816"/>
    </row>
    <row r="191" spans="1:13" ht="15" customHeight="1">
      <c r="A191" s="816"/>
      <c r="B191" s="816"/>
      <c r="C191" s="816"/>
      <c r="D191" s="816"/>
      <c r="E191" s="816"/>
      <c r="F191" s="816"/>
      <c r="G191" s="816"/>
      <c r="H191" s="816"/>
      <c r="I191" s="816"/>
      <c r="J191" s="816"/>
      <c r="K191" s="816"/>
      <c r="L191" s="816"/>
      <c r="M191" s="816"/>
    </row>
    <row r="192" spans="1:13" ht="15" customHeight="1">
      <c r="A192" s="816"/>
      <c r="B192" s="816"/>
      <c r="C192" s="816"/>
      <c r="D192" s="816"/>
      <c r="E192" s="816"/>
      <c r="F192" s="816"/>
      <c r="G192" s="816"/>
      <c r="H192" s="816"/>
      <c r="I192" s="816"/>
      <c r="J192" s="816"/>
      <c r="K192" s="816"/>
      <c r="L192" s="816"/>
      <c r="M192" s="816"/>
    </row>
    <row r="193" spans="1:13" ht="15" customHeight="1">
      <c r="A193" s="816"/>
      <c r="B193" s="816"/>
      <c r="C193" s="816"/>
      <c r="D193" s="816"/>
      <c r="E193" s="816"/>
      <c r="F193" s="816"/>
      <c r="G193" s="816"/>
      <c r="H193" s="816"/>
      <c r="I193" s="816"/>
      <c r="J193" s="816"/>
      <c r="K193" s="816"/>
      <c r="L193" s="816"/>
      <c r="M193" s="816"/>
    </row>
    <row r="194" spans="1:13" ht="15" customHeight="1">
      <c r="A194" s="816"/>
      <c r="B194" s="816"/>
      <c r="C194" s="816"/>
      <c r="D194" s="816"/>
      <c r="E194" s="816"/>
      <c r="F194" s="816"/>
      <c r="G194" s="816"/>
      <c r="H194" s="816"/>
      <c r="I194" s="816"/>
      <c r="J194" s="816"/>
      <c r="K194" s="816"/>
      <c r="L194" s="816"/>
      <c r="M194" s="816"/>
    </row>
    <row r="195" spans="1:13" ht="15" customHeight="1">
      <c r="A195" s="816"/>
      <c r="B195" s="816"/>
      <c r="C195" s="816"/>
      <c r="D195" s="816"/>
      <c r="E195" s="816"/>
      <c r="F195" s="816"/>
      <c r="G195" s="816"/>
      <c r="H195" s="816"/>
      <c r="I195" s="816"/>
      <c r="J195" s="816"/>
      <c r="K195" s="816"/>
      <c r="L195" s="816"/>
      <c r="M195" s="816"/>
    </row>
    <row r="196" spans="1:13" ht="15" customHeight="1">
      <c r="A196" s="816"/>
      <c r="B196" s="816"/>
      <c r="C196" s="816"/>
      <c r="D196" s="816"/>
      <c r="E196" s="816"/>
      <c r="F196" s="816"/>
      <c r="G196" s="816"/>
      <c r="H196" s="816"/>
      <c r="I196" s="816"/>
      <c r="J196" s="816"/>
      <c r="K196" s="816"/>
      <c r="L196" s="816"/>
      <c r="M196" s="816"/>
    </row>
    <row r="197" spans="1:13" ht="15" customHeight="1">
      <c r="A197" s="816"/>
      <c r="B197" s="816"/>
      <c r="C197" s="816"/>
      <c r="D197" s="816"/>
      <c r="E197" s="816"/>
      <c r="F197" s="816"/>
      <c r="G197" s="816"/>
      <c r="H197" s="816"/>
      <c r="I197" s="816"/>
      <c r="J197" s="816"/>
      <c r="K197" s="816"/>
      <c r="L197" s="816"/>
      <c r="M197" s="816"/>
    </row>
    <row r="198" spans="1:13" ht="15" customHeight="1">
      <c r="A198" s="816"/>
      <c r="B198" s="816"/>
      <c r="C198" s="816"/>
      <c r="D198" s="816"/>
      <c r="E198" s="816"/>
      <c r="F198" s="816"/>
      <c r="G198" s="816"/>
      <c r="H198" s="816"/>
      <c r="I198" s="816"/>
      <c r="J198" s="816"/>
      <c r="K198" s="816"/>
      <c r="L198" s="816"/>
      <c r="M198" s="816"/>
    </row>
    <row r="199" spans="1:13" ht="15" customHeight="1">
      <c r="A199" s="816"/>
      <c r="B199" s="816"/>
      <c r="C199" s="816"/>
      <c r="D199" s="816"/>
      <c r="E199" s="816"/>
      <c r="F199" s="816"/>
      <c r="G199" s="816"/>
      <c r="H199" s="816"/>
      <c r="I199" s="816"/>
      <c r="J199" s="816"/>
      <c r="K199" s="816"/>
      <c r="L199" s="816"/>
      <c r="M199" s="816"/>
    </row>
    <row r="200" spans="1:13" ht="15" customHeight="1">
      <c r="A200" s="816"/>
      <c r="B200" s="816"/>
      <c r="C200" s="816"/>
      <c r="D200" s="816"/>
      <c r="E200" s="816"/>
      <c r="F200" s="816"/>
      <c r="G200" s="816"/>
      <c r="H200" s="816"/>
      <c r="I200" s="816"/>
      <c r="J200" s="816"/>
      <c r="K200" s="816"/>
      <c r="L200" s="816"/>
      <c r="M200" s="816"/>
    </row>
  </sheetData>
  <mergeCells count="1">
    <mergeCell ref="C92:K92"/>
  </mergeCells>
  <pageMargins left="0.7" right="0.7" top="0.75" bottom="0.75" header="0.3" footer="0.3"/>
  <pageSetup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N114"/>
  <sheetViews>
    <sheetView showGridLines="0" topLeftCell="A83" zoomScale="125" zoomScaleNormal="100" workbookViewId="0">
      <selection activeCell="D116" sqref="D116"/>
    </sheetView>
  </sheetViews>
  <sheetFormatPr defaultColWidth="8.85546875" defaultRowHeight="15"/>
  <cols>
    <col min="1" max="1" width="61" customWidth="1"/>
    <col min="2" max="2" width="9.42578125" customWidth="1"/>
    <col min="3" max="12" width="14.28515625" customWidth="1"/>
    <col min="13" max="13" width="66.7109375" customWidth="1"/>
    <col min="14" max="14" width="33.28515625" customWidth="1"/>
  </cols>
  <sheetData>
    <row r="1" spans="1:14" ht="27.95" customHeight="1">
      <c r="A1" s="1514" t="s">
        <v>964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391"/>
      <c r="N1" s="1391"/>
    </row>
    <row r="2" spans="1:14" ht="15.75" customHeight="1">
      <c r="A2" s="1519" t="s">
        <v>965</v>
      </c>
      <c r="B2" s="1520"/>
      <c r="C2" s="1520"/>
      <c r="D2" s="1520"/>
      <c r="E2" s="1520"/>
      <c r="F2" s="1520"/>
      <c r="G2" s="1520"/>
      <c r="H2" s="1520"/>
      <c r="I2" s="1520"/>
      <c r="J2" s="1520"/>
      <c r="K2" s="1520"/>
      <c r="L2" s="1520"/>
      <c r="M2" s="1390"/>
      <c r="N2" s="1390"/>
    </row>
    <row r="3" spans="1:14" ht="15.75" customHeight="1">
      <c r="A3" s="1210"/>
      <c r="B3" s="1210"/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</row>
    <row r="4" spans="1:14" ht="15.75" customHeight="1">
      <c r="A4" s="1210"/>
      <c r="B4" s="1210"/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 ht="21.95" customHeight="1">
      <c r="A5" s="387"/>
      <c r="B5" s="388" t="s">
        <v>966</v>
      </c>
      <c r="C5" s="756">
        <v>2024</v>
      </c>
      <c r="D5" s="756">
        <v>2025</v>
      </c>
      <c r="E5" s="756">
        <v>2026</v>
      </c>
      <c r="F5" s="756">
        <v>2027</v>
      </c>
      <c r="G5" s="756">
        <v>2028</v>
      </c>
      <c r="H5" s="756">
        <v>2029</v>
      </c>
      <c r="I5" s="756">
        <v>2030</v>
      </c>
      <c r="J5" s="756">
        <v>2031</v>
      </c>
      <c r="K5" s="756">
        <v>2032</v>
      </c>
      <c r="L5" s="756">
        <v>2033</v>
      </c>
      <c r="M5" s="1210"/>
      <c r="N5" s="1210"/>
    </row>
    <row r="6" spans="1:14" ht="15.75" customHeight="1">
      <c r="A6" s="1210"/>
      <c r="B6" s="1210"/>
      <c r="C6" s="755" t="s">
        <v>967</v>
      </c>
      <c r="D6" s="755" t="s">
        <v>967</v>
      </c>
      <c r="E6" s="755" t="s">
        <v>968</v>
      </c>
      <c r="F6" s="755" t="s">
        <v>968</v>
      </c>
      <c r="G6" s="755" t="s">
        <v>969</v>
      </c>
      <c r="H6" s="755" t="s">
        <v>969</v>
      </c>
      <c r="I6" s="755" t="s">
        <v>969</v>
      </c>
      <c r="J6" s="755" t="s">
        <v>970</v>
      </c>
      <c r="K6" s="755" t="s">
        <v>970</v>
      </c>
      <c r="L6" s="755" t="s">
        <v>970</v>
      </c>
      <c r="M6" s="1210"/>
      <c r="N6" s="1210"/>
    </row>
    <row r="7" spans="1:14" ht="15.75" customHeight="1">
      <c r="A7" s="1210"/>
      <c r="B7" s="1210"/>
      <c r="C7" s="1210"/>
      <c r="D7" s="1210"/>
      <c r="E7" s="1210"/>
      <c r="F7" s="1210"/>
      <c r="G7" s="1210"/>
      <c r="H7" s="1210"/>
      <c r="I7" s="1210"/>
      <c r="J7" s="1210"/>
      <c r="K7" s="1210"/>
      <c r="L7" s="1210"/>
      <c r="M7" s="1210"/>
      <c r="N7" s="1210"/>
    </row>
    <row r="8" spans="1:14" ht="21.95" customHeight="1">
      <c r="A8" s="1492" t="s">
        <v>971</v>
      </c>
      <c r="B8" s="1521"/>
      <c r="C8" s="1516"/>
      <c r="D8" s="1516"/>
      <c r="E8" s="1516"/>
      <c r="F8" s="1516"/>
      <c r="G8" s="1516"/>
      <c r="H8" s="1516"/>
      <c r="I8" s="1516"/>
      <c r="J8" s="1516"/>
      <c r="K8" s="1516"/>
      <c r="L8" s="1516"/>
      <c r="M8" s="1210"/>
      <c r="N8" s="1210"/>
    </row>
    <row r="9" spans="1:14" ht="15.75" customHeight="1">
      <c r="A9" s="18" t="s">
        <v>972</v>
      </c>
      <c r="B9" s="69" t="s">
        <v>741</v>
      </c>
      <c r="C9" s="760">
        <v>0.7</v>
      </c>
      <c r="D9" s="761">
        <f>Assumptions!$F$8</f>
        <v>1.3</v>
      </c>
      <c r="E9" s="762">
        <f t="shared" ref="E9:L9" si="0">D34</f>
        <v>2.5</v>
      </c>
      <c r="F9" s="762">
        <f t="shared" si="0"/>
        <v>3.7224999999999997</v>
      </c>
      <c r="G9" s="762">
        <f t="shared" si="0"/>
        <v>5.1072699999999989</v>
      </c>
      <c r="H9" s="762">
        <f t="shared" si="0"/>
        <v>6.4045165799999983</v>
      </c>
      <c r="I9" s="762">
        <f t="shared" si="0"/>
        <v>7.5957566638799978</v>
      </c>
      <c r="J9" s="762">
        <f t="shared" si="0"/>
        <v>8.6363753268315584</v>
      </c>
      <c r="K9" s="762">
        <f t="shared" si="0"/>
        <v>9.5691038621293671</v>
      </c>
      <c r="L9" s="762">
        <f t="shared" si="0"/>
        <v>10.315493963375458</v>
      </c>
      <c r="M9" s="1210"/>
      <c r="N9" s="1210"/>
    </row>
    <row r="10" spans="1:14" ht="15.75" customHeight="1">
      <c r="A10" s="401" t="s">
        <v>973</v>
      </c>
      <c r="B10" s="757" t="s">
        <v>741</v>
      </c>
      <c r="C10" s="551">
        <v>0.5</v>
      </c>
      <c r="D10" s="551">
        <v>0</v>
      </c>
      <c r="E10" s="763">
        <f t="shared" ref="E10:L10" si="1">D31</f>
        <v>1.3559999999999999</v>
      </c>
      <c r="F10" s="763">
        <f t="shared" si="1"/>
        <v>1.6580999999999997</v>
      </c>
      <c r="G10" s="763">
        <f t="shared" si="1"/>
        <v>2.0290103999999989</v>
      </c>
      <c r="H10" s="763">
        <f t="shared" si="1"/>
        <v>2.151819559999999</v>
      </c>
      <c r="I10" s="763">
        <f t="shared" si="1"/>
        <v>2.222442872839999</v>
      </c>
      <c r="J10" s="763">
        <f t="shared" si="1"/>
        <v>2.2247063276051602</v>
      </c>
      <c r="K10" s="763">
        <f t="shared" si="1"/>
        <v>2.2435693705025677</v>
      </c>
      <c r="L10" s="763">
        <f t="shared" si="1"/>
        <v>2.1710976298178322</v>
      </c>
      <c r="M10" s="1210"/>
      <c r="N10" s="1210"/>
    </row>
    <row r="11" spans="1:14" ht="15.75" customHeight="1">
      <c r="A11" s="402" t="s">
        <v>974</v>
      </c>
      <c r="B11" s="69" t="s">
        <v>741</v>
      </c>
      <c r="C11" s="760">
        <v>0.15</v>
      </c>
      <c r="D11" s="15">
        <v>0</v>
      </c>
      <c r="E11" s="762">
        <f t="shared" ref="E11:L11" si="2">D26</f>
        <v>0</v>
      </c>
      <c r="F11" s="762">
        <f t="shared" si="2"/>
        <v>1.05768</v>
      </c>
      <c r="G11" s="762">
        <f t="shared" si="2"/>
        <v>1.2933179999999997</v>
      </c>
      <c r="H11" s="762">
        <f t="shared" si="2"/>
        <v>1.5826281119999992</v>
      </c>
      <c r="I11" s="762">
        <f t="shared" si="2"/>
        <v>1.6784192567999991</v>
      </c>
      <c r="J11" s="762">
        <f t="shared" si="2"/>
        <v>1.7335054408151991</v>
      </c>
      <c r="K11" s="762">
        <f t="shared" si="2"/>
        <v>1.735270935532025</v>
      </c>
      <c r="L11" s="762">
        <f t="shared" si="2"/>
        <v>1.7499841089920027</v>
      </c>
      <c r="M11" s="1210"/>
      <c r="N11" s="1210"/>
    </row>
    <row r="12" spans="1:14" ht="15.75" customHeight="1">
      <c r="A12" s="401" t="s">
        <v>975</v>
      </c>
      <c r="B12" s="757" t="s">
        <v>741</v>
      </c>
      <c r="C12" s="551">
        <v>0.05</v>
      </c>
      <c r="D12" s="764">
        <f>Assumptions!$F$8</f>
        <v>1.3</v>
      </c>
      <c r="E12" s="763">
        <f t="shared" ref="E12:L12" si="3">D28</f>
        <v>1.1440000000000001</v>
      </c>
      <c r="F12" s="763">
        <f t="shared" si="3"/>
        <v>1.0067200000000001</v>
      </c>
      <c r="G12" s="763">
        <f t="shared" si="3"/>
        <v>1.7849416</v>
      </c>
      <c r="H12" s="763">
        <f t="shared" si="3"/>
        <v>2.6700689079999997</v>
      </c>
      <c r="I12" s="763">
        <f t="shared" si="3"/>
        <v>3.694894534239999</v>
      </c>
      <c r="J12" s="763">
        <f t="shared" si="3"/>
        <v>4.6781635584111978</v>
      </c>
      <c r="K12" s="763">
        <f t="shared" si="3"/>
        <v>5.5902635560947731</v>
      </c>
      <c r="L12" s="763">
        <f t="shared" si="3"/>
        <v>6.3944122245656212</v>
      </c>
      <c r="M12" s="1210"/>
      <c r="N12" s="1210"/>
    </row>
    <row r="13" spans="1:14" ht="15.75" customHeight="1">
      <c r="A13" s="1194"/>
      <c r="B13" s="753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210"/>
      <c r="N13" s="1210"/>
    </row>
    <row r="14" spans="1:14" ht="21.95" customHeight="1">
      <c r="A14" s="1492" t="s">
        <v>976</v>
      </c>
      <c r="B14" s="1515"/>
      <c r="C14" s="1516"/>
      <c r="D14" s="1516"/>
      <c r="E14" s="1516"/>
      <c r="F14" s="1516"/>
      <c r="G14" s="1516"/>
      <c r="H14" s="1516"/>
      <c r="I14" s="1516"/>
      <c r="J14" s="1516"/>
      <c r="K14" s="1516"/>
      <c r="L14" s="1516"/>
      <c r="M14" s="1210"/>
      <c r="N14" s="1210"/>
    </row>
    <row r="15" spans="1:14" ht="15.75" customHeight="1">
      <c r="A15" s="18" t="s">
        <v>977</v>
      </c>
      <c r="B15" s="69" t="s">
        <v>746</v>
      </c>
      <c r="C15" s="771">
        <f>Assumptions!$F$19</f>
        <v>0.22</v>
      </c>
      <c r="D15" s="771">
        <f>Assumptions!$F$19</f>
        <v>0.22</v>
      </c>
      <c r="E15" s="771">
        <f>Assumptions!$F$19</f>
        <v>0.22</v>
      </c>
      <c r="F15" s="771">
        <f>Assumptions!$F$19</f>
        <v>0.22</v>
      </c>
      <c r="G15" s="771">
        <f>Assumptions!$F$19</f>
        <v>0.22</v>
      </c>
      <c r="H15" s="771">
        <f>Assumptions!$F$19</f>
        <v>0.22</v>
      </c>
      <c r="I15" s="771">
        <f>Assumptions!$F$19</f>
        <v>0.22</v>
      </c>
      <c r="J15" s="771">
        <f>Assumptions!$F$19</f>
        <v>0.22</v>
      </c>
      <c r="K15" s="771">
        <f>Assumptions!$F$19</f>
        <v>0.22</v>
      </c>
      <c r="L15" s="771">
        <f>Assumptions!$F$19</f>
        <v>0.22</v>
      </c>
      <c r="M15" s="1210"/>
      <c r="N15" s="1210"/>
    </row>
    <row r="16" spans="1:14" ht="15.75" customHeight="1">
      <c r="A16" s="396" t="s">
        <v>978</v>
      </c>
      <c r="B16" s="757" t="s">
        <v>746</v>
      </c>
      <c r="C16" s="772">
        <f>Assumptions!$F$20</f>
        <v>0.15</v>
      </c>
      <c r="D16" s="772">
        <f>Assumptions!$F$20</f>
        <v>0.15</v>
      </c>
      <c r="E16" s="772">
        <f>Assumptions!$F$20</f>
        <v>0.15</v>
      </c>
      <c r="F16" s="772">
        <f>Assumptions!$F$20</f>
        <v>0.15</v>
      </c>
      <c r="G16" s="772">
        <f>Assumptions!$F$20</f>
        <v>0.15</v>
      </c>
      <c r="H16" s="772">
        <f>Assumptions!$F$20</f>
        <v>0.15</v>
      </c>
      <c r="I16" s="772">
        <f>Assumptions!$F$20</f>
        <v>0.15</v>
      </c>
      <c r="J16" s="772">
        <f>Assumptions!$F$20</f>
        <v>0.15</v>
      </c>
      <c r="K16" s="772">
        <f>Assumptions!$F$20</f>
        <v>0.15</v>
      </c>
      <c r="L16" s="772">
        <f>Assumptions!$F$20</f>
        <v>0.15</v>
      </c>
      <c r="M16" s="1210"/>
      <c r="N16" s="1210"/>
    </row>
    <row r="17" spans="1:12" ht="15.75" customHeight="1">
      <c r="A17" s="18" t="s">
        <v>979</v>
      </c>
      <c r="B17" s="69" t="s">
        <v>746</v>
      </c>
      <c r="C17" s="771">
        <f>Assumptions!$F$21</f>
        <v>0.12</v>
      </c>
      <c r="D17" s="771">
        <f>Assumptions!$F$21</f>
        <v>0.12</v>
      </c>
      <c r="E17" s="771">
        <f>Assumptions!$F$21</f>
        <v>0.12</v>
      </c>
      <c r="F17" s="771">
        <f>Assumptions!$F$21</f>
        <v>0.12</v>
      </c>
      <c r="G17" s="771">
        <f>Assumptions!$F$21</f>
        <v>0.12</v>
      </c>
      <c r="H17" s="771">
        <f>Assumptions!$F$21</f>
        <v>0.12</v>
      </c>
      <c r="I17" s="771">
        <f>Assumptions!$F$21</f>
        <v>0.12</v>
      </c>
      <c r="J17" s="771">
        <f>Assumptions!$F$21</f>
        <v>0.12</v>
      </c>
      <c r="K17" s="771">
        <f>Assumptions!$F$21</f>
        <v>0.12</v>
      </c>
      <c r="L17" s="771">
        <f>Assumptions!$F$21</f>
        <v>0.12</v>
      </c>
    </row>
    <row r="18" spans="1:12" ht="15.75" customHeight="1">
      <c r="A18" s="1194"/>
      <c r="B18" s="753"/>
      <c r="C18" s="148"/>
      <c r="D18" s="148"/>
      <c r="E18" s="148"/>
      <c r="F18" s="148"/>
      <c r="G18" s="148"/>
      <c r="H18" s="148"/>
      <c r="I18" s="148"/>
      <c r="J18" s="148"/>
      <c r="K18" s="148"/>
      <c r="L18" s="148"/>
    </row>
    <row r="19" spans="1:12" ht="21.95" customHeight="1">
      <c r="A19" s="1492" t="s">
        <v>980</v>
      </c>
      <c r="B19" s="1515"/>
      <c r="C19" s="1516"/>
      <c r="D19" s="1516"/>
      <c r="E19" s="1516"/>
      <c r="F19" s="1516"/>
      <c r="G19" s="1516"/>
      <c r="H19" s="1516"/>
      <c r="I19" s="1516"/>
      <c r="J19" s="1516"/>
      <c r="K19" s="1516"/>
      <c r="L19" s="1516"/>
    </row>
    <row r="20" spans="1:12" ht="15.75" customHeight="1">
      <c r="A20" s="402" t="s">
        <v>981</v>
      </c>
      <c r="B20" s="69" t="s">
        <v>741</v>
      </c>
      <c r="C20" s="762">
        <f t="shared" ref="C20:L20" si="4">C10*C15</f>
        <v>0.11</v>
      </c>
      <c r="D20" s="762">
        <f t="shared" si="4"/>
        <v>0</v>
      </c>
      <c r="E20" s="762">
        <f t="shared" si="4"/>
        <v>0.29831999999999997</v>
      </c>
      <c r="F20" s="762">
        <f t="shared" si="4"/>
        <v>0.36478199999999994</v>
      </c>
      <c r="G20" s="762">
        <f t="shared" si="4"/>
        <v>0.44638228799999974</v>
      </c>
      <c r="H20" s="762">
        <f t="shared" si="4"/>
        <v>0.47340030319999976</v>
      </c>
      <c r="I20" s="762">
        <f t="shared" si="4"/>
        <v>0.48893743202479978</v>
      </c>
      <c r="J20" s="762">
        <f t="shared" si="4"/>
        <v>0.48943539207313524</v>
      </c>
      <c r="K20" s="762">
        <f t="shared" si="4"/>
        <v>0.49358526151056487</v>
      </c>
      <c r="L20" s="762">
        <f t="shared" si="4"/>
        <v>0.47764147855992306</v>
      </c>
    </row>
    <row r="21" spans="1:12" ht="15.75" customHeight="1">
      <c r="A21" s="401" t="s">
        <v>982</v>
      </c>
      <c r="B21" s="757" t="s">
        <v>741</v>
      </c>
      <c r="C21" s="763">
        <f t="shared" ref="C21:L21" si="5">C11*C16</f>
        <v>2.2499999999999999E-2</v>
      </c>
      <c r="D21" s="763">
        <f t="shared" si="5"/>
        <v>0</v>
      </c>
      <c r="E21" s="763">
        <f t="shared" si="5"/>
        <v>0</v>
      </c>
      <c r="F21" s="763">
        <f t="shared" si="5"/>
        <v>0.15865199999999999</v>
      </c>
      <c r="G21" s="763">
        <f t="shared" si="5"/>
        <v>0.19399769999999997</v>
      </c>
      <c r="H21" s="763">
        <f t="shared" si="5"/>
        <v>0.23739421679999986</v>
      </c>
      <c r="I21" s="763">
        <f t="shared" si="5"/>
        <v>0.25176288851999984</v>
      </c>
      <c r="J21" s="763">
        <f t="shared" si="5"/>
        <v>0.26002581612227987</v>
      </c>
      <c r="K21" s="763">
        <f t="shared" si="5"/>
        <v>0.26029064032980376</v>
      </c>
      <c r="L21" s="763">
        <f t="shared" si="5"/>
        <v>0.26249761634880042</v>
      </c>
    </row>
    <row r="22" spans="1:12" ht="15.75" customHeight="1">
      <c r="A22" s="402" t="s">
        <v>983</v>
      </c>
      <c r="B22" s="69" t="s">
        <v>741</v>
      </c>
      <c r="C22" s="762">
        <f t="shared" ref="C22:L22" si="6">C12*C17</f>
        <v>6.0000000000000001E-3</v>
      </c>
      <c r="D22" s="762">
        <f t="shared" si="6"/>
        <v>0.156</v>
      </c>
      <c r="E22" s="762">
        <f t="shared" si="6"/>
        <v>0.13728000000000001</v>
      </c>
      <c r="F22" s="762">
        <f t="shared" si="6"/>
        <v>0.12080640000000001</v>
      </c>
      <c r="G22" s="762">
        <f t="shared" si="6"/>
        <v>0.214192992</v>
      </c>
      <c r="H22" s="762">
        <f t="shared" si="6"/>
        <v>0.32040826895999996</v>
      </c>
      <c r="I22" s="762">
        <f t="shared" si="6"/>
        <v>0.44338734410879987</v>
      </c>
      <c r="J22" s="762">
        <f t="shared" si="6"/>
        <v>0.56137962700934374</v>
      </c>
      <c r="K22" s="762">
        <f t="shared" si="6"/>
        <v>0.67083162673137275</v>
      </c>
      <c r="L22" s="762">
        <f t="shared" si="6"/>
        <v>0.76732946694787452</v>
      </c>
    </row>
    <row r="23" spans="1:12" ht="15.75" customHeight="1">
      <c r="A23" s="393" t="s">
        <v>984</v>
      </c>
      <c r="B23" s="758" t="s">
        <v>741</v>
      </c>
      <c r="C23" s="770">
        <f t="shared" ref="C23:L23" si="7">SUM(C20:C22)</f>
        <v>0.13850000000000001</v>
      </c>
      <c r="D23" s="770">
        <f t="shared" si="7"/>
        <v>0.156</v>
      </c>
      <c r="E23" s="770">
        <f t="shared" si="7"/>
        <v>0.43559999999999999</v>
      </c>
      <c r="F23" s="770">
        <f t="shared" si="7"/>
        <v>0.64424039999999994</v>
      </c>
      <c r="G23" s="770">
        <f t="shared" si="7"/>
        <v>0.8545729799999997</v>
      </c>
      <c r="H23" s="770">
        <f t="shared" si="7"/>
        <v>1.0312027889599995</v>
      </c>
      <c r="I23" s="770">
        <f t="shared" si="7"/>
        <v>1.1840876646535996</v>
      </c>
      <c r="J23" s="770">
        <f t="shared" si="7"/>
        <v>1.3108408352047589</v>
      </c>
      <c r="K23" s="770">
        <f t="shared" si="7"/>
        <v>1.4247075285717414</v>
      </c>
      <c r="L23" s="770">
        <f t="shared" si="7"/>
        <v>1.5074685618565979</v>
      </c>
    </row>
    <row r="24" spans="1:12" ht="15.75" customHeight="1">
      <c r="A24" s="1194"/>
      <c r="B24" s="753"/>
      <c r="C24" s="148"/>
      <c r="D24" s="148"/>
      <c r="E24" s="148"/>
      <c r="F24" s="148"/>
      <c r="G24" s="148"/>
      <c r="H24" s="148"/>
      <c r="I24" s="148"/>
      <c r="J24" s="148"/>
      <c r="K24" s="148"/>
      <c r="L24" s="148"/>
    </row>
    <row r="25" spans="1:12" ht="21.95" customHeight="1">
      <c r="A25" s="1492" t="s">
        <v>985</v>
      </c>
      <c r="B25" s="1517"/>
      <c r="C25" s="1518"/>
      <c r="D25" s="1518"/>
      <c r="E25" s="1518"/>
      <c r="F25" s="1518"/>
      <c r="G25" s="1518"/>
      <c r="H25" s="1518"/>
      <c r="I25" s="1518"/>
      <c r="J25" s="1518"/>
      <c r="K25" s="1518"/>
      <c r="L25" s="1518"/>
    </row>
    <row r="26" spans="1:12" ht="15.75" customHeight="1">
      <c r="A26" s="402" t="s">
        <v>986</v>
      </c>
      <c r="B26" s="69" t="s">
        <v>741</v>
      </c>
      <c r="C26" s="391">
        <f t="shared" ref="C26:L26" si="8">C10-C20</f>
        <v>0.39</v>
      </c>
      <c r="D26" s="391">
        <f t="shared" si="8"/>
        <v>0</v>
      </c>
      <c r="E26" s="391">
        <f t="shared" si="8"/>
        <v>1.05768</v>
      </c>
      <c r="F26" s="391">
        <f t="shared" si="8"/>
        <v>1.2933179999999997</v>
      </c>
      <c r="G26" s="391">
        <f t="shared" si="8"/>
        <v>1.5826281119999992</v>
      </c>
      <c r="H26" s="391">
        <f t="shared" si="8"/>
        <v>1.6784192567999991</v>
      </c>
      <c r="I26" s="391">
        <f t="shared" si="8"/>
        <v>1.7335054408151991</v>
      </c>
      <c r="J26" s="391">
        <f t="shared" si="8"/>
        <v>1.735270935532025</v>
      </c>
      <c r="K26" s="391">
        <f t="shared" si="8"/>
        <v>1.7499841089920027</v>
      </c>
      <c r="L26" s="391">
        <f t="shared" si="8"/>
        <v>1.6934561512579092</v>
      </c>
    </row>
    <row r="27" spans="1:12" ht="15.75" customHeight="1">
      <c r="A27" s="401" t="s">
        <v>987</v>
      </c>
      <c r="B27" s="757" t="s">
        <v>741</v>
      </c>
      <c r="C27" s="397">
        <f t="shared" ref="C27:L27" si="9">C11-C21</f>
        <v>0.1275</v>
      </c>
      <c r="D27" s="397">
        <f t="shared" si="9"/>
        <v>0</v>
      </c>
      <c r="E27" s="397">
        <f t="shared" si="9"/>
        <v>0</v>
      </c>
      <c r="F27" s="397">
        <f t="shared" si="9"/>
        <v>0.89902799999999994</v>
      </c>
      <c r="G27" s="397">
        <f t="shared" si="9"/>
        <v>1.0993202999999998</v>
      </c>
      <c r="H27" s="397">
        <f t="shared" si="9"/>
        <v>1.3452338951999994</v>
      </c>
      <c r="I27" s="397">
        <f t="shared" si="9"/>
        <v>1.4266563682799993</v>
      </c>
      <c r="J27" s="397">
        <f t="shared" si="9"/>
        <v>1.4734796246929192</v>
      </c>
      <c r="K27" s="397">
        <f t="shared" si="9"/>
        <v>1.4749802952022213</v>
      </c>
      <c r="L27" s="397">
        <f t="shared" si="9"/>
        <v>1.4874864926432023</v>
      </c>
    </row>
    <row r="28" spans="1:12" ht="15.75" customHeight="1">
      <c r="A28" s="402" t="s">
        <v>988</v>
      </c>
      <c r="B28" s="69" t="s">
        <v>741</v>
      </c>
      <c r="C28" s="391">
        <f t="shared" ref="C28:L28" si="10">C12-C22+C27</f>
        <v>0.17150000000000001</v>
      </c>
      <c r="D28" s="391">
        <f t="shared" si="10"/>
        <v>1.1440000000000001</v>
      </c>
      <c r="E28" s="391">
        <f t="shared" si="10"/>
        <v>1.0067200000000001</v>
      </c>
      <c r="F28" s="391">
        <f t="shared" si="10"/>
        <v>1.7849416</v>
      </c>
      <c r="G28" s="391">
        <f t="shared" si="10"/>
        <v>2.6700689079999997</v>
      </c>
      <c r="H28" s="391">
        <f t="shared" si="10"/>
        <v>3.694894534239999</v>
      </c>
      <c r="I28" s="391">
        <f t="shared" si="10"/>
        <v>4.6781635584111978</v>
      </c>
      <c r="J28" s="391">
        <f t="shared" si="10"/>
        <v>5.5902635560947731</v>
      </c>
      <c r="K28" s="391">
        <f t="shared" si="10"/>
        <v>6.3944122245656212</v>
      </c>
      <c r="L28" s="391">
        <f t="shared" si="10"/>
        <v>7.1145692502609492</v>
      </c>
    </row>
    <row r="29" spans="1:12" ht="15.75" customHeight="1">
      <c r="A29" s="1194"/>
      <c r="B29" s="753"/>
      <c r="C29" s="148"/>
      <c r="D29" s="148"/>
      <c r="E29" s="148"/>
      <c r="F29" s="148"/>
      <c r="G29" s="148"/>
      <c r="H29" s="148"/>
      <c r="I29" s="148"/>
      <c r="J29" s="148"/>
      <c r="K29" s="148"/>
      <c r="L29" s="148"/>
    </row>
    <row r="30" spans="1:12" ht="21.95" customHeight="1">
      <c r="A30" s="1492" t="s">
        <v>989</v>
      </c>
      <c r="B30" s="1515"/>
      <c r="C30" s="1516"/>
      <c r="D30" s="1516"/>
      <c r="E30" s="1516"/>
      <c r="F30" s="1516"/>
      <c r="G30" s="1516"/>
      <c r="H30" s="1516"/>
      <c r="I30" s="1516"/>
      <c r="J30" s="1516"/>
      <c r="K30" s="1516"/>
      <c r="L30" s="1516"/>
    </row>
    <row r="31" spans="1:12" ht="15.75" customHeight="1">
      <c r="A31" s="18" t="s">
        <v>990</v>
      </c>
      <c r="B31" s="69" t="s">
        <v>741</v>
      </c>
      <c r="C31" s="768">
        <v>0.6</v>
      </c>
      <c r="D31" s="769">
        <f>Assumptions!$F$9-D28</f>
        <v>1.3559999999999999</v>
      </c>
      <c r="E31" s="769">
        <f t="shared" ref="E31:L31" si="11">E34-E9+E23</f>
        <v>1.6580999999999997</v>
      </c>
      <c r="F31" s="769">
        <f t="shared" si="11"/>
        <v>2.0290103999999989</v>
      </c>
      <c r="G31" s="769">
        <f t="shared" si="11"/>
        <v>2.151819559999999</v>
      </c>
      <c r="H31" s="769">
        <f t="shared" si="11"/>
        <v>2.222442872839999</v>
      </c>
      <c r="I31" s="769">
        <f t="shared" si="11"/>
        <v>2.2247063276051602</v>
      </c>
      <c r="J31" s="769">
        <f t="shared" si="11"/>
        <v>2.2435693705025677</v>
      </c>
      <c r="K31" s="769">
        <f t="shared" si="11"/>
        <v>2.1710976298178322</v>
      </c>
      <c r="L31" s="769">
        <f t="shared" si="11"/>
        <v>2.1160827056957494</v>
      </c>
    </row>
    <row r="32" spans="1:12" ht="15.75" customHeight="1">
      <c r="A32" s="1194"/>
      <c r="B32" s="753"/>
      <c r="C32" s="148"/>
      <c r="D32" s="148"/>
      <c r="E32" s="148"/>
      <c r="F32" s="148"/>
      <c r="G32" s="148"/>
      <c r="H32" s="148"/>
      <c r="I32" s="148"/>
      <c r="J32" s="148"/>
      <c r="K32" s="148"/>
      <c r="L32" s="148"/>
    </row>
    <row r="33" spans="1:12" ht="21.95" customHeight="1">
      <c r="A33" s="1492" t="s">
        <v>991</v>
      </c>
      <c r="B33" s="1515"/>
      <c r="C33" s="1516"/>
      <c r="D33" s="1516"/>
      <c r="E33" s="1516"/>
      <c r="F33" s="1516"/>
      <c r="G33" s="1516"/>
      <c r="H33" s="1516"/>
      <c r="I33" s="1516"/>
      <c r="J33" s="1516"/>
      <c r="K33" s="1516"/>
      <c r="L33" s="1516"/>
    </row>
    <row r="34" spans="1:12" ht="15.75" customHeight="1">
      <c r="A34" s="395" t="s">
        <v>992</v>
      </c>
      <c r="B34" s="759" t="s">
        <v>741</v>
      </c>
      <c r="C34" s="765">
        <f t="shared" ref="C34:D34" si="12">C26+C28+C31</f>
        <v>1.1615</v>
      </c>
      <c r="D34" s="765">
        <f t="shared" si="12"/>
        <v>2.5</v>
      </c>
      <c r="E34" s="765">
        <f>MIN(D34*(1+Assumptions!$F$167),0.45*Assumptions!$F$122)</f>
        <v>3.7224999999999997</v>
      </c>
      <c r="F34" s="765">
        <f>MIN(E34*(1+Assumptions!$F$168),0.45*Assumptions!$F$122)</f>
        <v>5.1072699999999989</v>
      </c>
      <c r="G34" s="765">
        <f>MIN(F34*(1+Assumptions!$F$169),0.45*Assumptions!$F$122)</f>
        <v>6.4045165799999983</v>
      </c>
      <c r="H34" s="765">
        <f>MIN(G34*(1+Assumptions!$F$170),0.45*Assumptions!$F$122)</f>
        <v>7.5957566638799978</v>
      </c>
      <c r="I34" s="765">
        <f>MIN(H34*(1+Assumptions!$F$171),0.45*Assumptions!$F$122)</f>
        <v>8.6363753268315584</v>
      </c>
      <c r="J34" s="765">
        <f>MIN(I34*(1+Assumptions!$F$172),0.45*Assumptions!$F$122)</f>
        <v>9.5691038621293671</v>
      </c>
      <c r="K34" s="765">
        <f>MIN(J34*(1+Assumptions!$F$173),0.45*Assumptions!$F$122)</f>
        <v>10.315493963375458</v>
      </c>
      <c r="L34" s="765">
        <f>MIN(K34*(1+Assumptions!$F$174),0.45*Assumptions!$F$122)</f>
        <v>10.924108107214609</v>
      </c>
    </row>
    <row r="35" spans="1:12" ht="15.75" customHeight="1">
      <c r="A35" s="393" t="s">
        <v>993</v>
      </c>
      <c r="B35" s="758" t="s">
        <v>741</v>
      </c>
      <c r="C35" s="766">
        <f t="shared" ref="C35:L35" si="13">(C9+C34)/2</f>
        <v>0.93074999999999997</v>
      </c>
      <c r="D35" s="766">
        <f t="shared" si="13"/>
        <v>1.9</v>
      </c>
      <c r="E35" s="766">
        <f t="shared" si="13"/>
        <v>3.1112500000000001</v>
      </c>
      <c r="F35" s="766">
        <f t="shared" si="13"/>
        <v>4.4148849999999991</v>
      </c>
      <c r="G35" s="766">
        <f t="shared" si="13"/>
        <v>5.7558932899999986</v>
      </c>
      <c r="H35" s="766">
        <f t="shared" si="13"/>
        <v>7.0001366219399976</v>
      </c>
      <c r="I35" s="766">
        <f t="shared" si="13"/>
        <v>8.116065995355779</v>
      </c>
      <c r="J35" s="766">
        <f t="shared" si="13"/>
        <v>9.1027395944804628</v>
      </c>
      <c r="K35" s="766">
        <f t="shared" si="13"/>
        <v>9.9422989127524133</v>
      </c>
      <c r="L35" s="766">
        <f t="shared" si="13"/>
        <v>10.619801035295033</v>
      </c>
    </row>
    <row r="36" spans="1:12" ht="15.75" customHeight="1">
      <c r="A36" s="1194"/>
      <c r="B36" s="753"/>
      <c r="C36" s="148"/>
      <c r="D36" s="148"/>
      <c r="E36" s="148"/>
      <c r="F36" s="148"/>
      <c r="G36" s="148"/>
      <c r="H36" s="148"/>
      <c r="I36" s="148"/>
      <c r="J36" s="148"/>
      <c r="K36" s="148"/>
      <c r="L36" s="148"/>
    </row>
    <row r="37" spans="1:12" ht="21.95" customHeight="1">
      <c r="A37" s="1492" t="s">
        <v>994</v>
      </c>
      <c r="B37" s="1515"/>
      <c r="C37" s="1516"/>
      <c r="D37" s="1516"/>
      <c r="E37" s="1516"/>
      <c r="F37" s="1516"/>
      <c r="G37" s="1516"/>
      <c r="H37" s="1516"/>
      <c r="I37" s="1516"/>
      <c r="J37" s="1516"/>
      <c r="K37" s="1516"/>
      <c r="L37" s="1516"/>
    </row>
    <row r="38" spans="1:12" ht="15.75" customHeight="1">
      <c r="A38" s="18" t="s">
        <v>995</v>
      </c>
      <c r="B38" s="69" t="s">
        <v>741</v>
      </c>
      <c r="C38" s="767">
        <f t="shared" ref="C38:L38" si="14">C31-C23</f>
        <v>0.46149999999999997</v>
      </c>
      <c r="D38" s="767">
        <f t="shared" si="14"/>
        <v>1.2</v>
      </c>
      <c r="E38" s="767">
        <f t="shared" si="14"/>
        <v>1.2224999999999997</v>
      </c>
      <c r="F38" s="767">
        <f t="shared" si="14"/>
        <v>1.3847699999999989</v>
      </c>
      <c r="G38" s="767">
        <f t="shared" si="14"/>
        <v>1.2972465799999993</v>
      </c>
      <c r="H38" s="767">
        <f t="shared" si="14"/>
        <v>1.1912400838799995</v>
      </c>
      <c r="I38" s="767">
        <f t="shared" si="14"/>
        <v>1.0406186629515606</v>
      </c>
      <c r="J38" s="767">
        <f t="shared" si="14"/>
        <v>0.93272853529780875</v>
      </c>
      <c r="K38" s="767">
        <f t="shared" si="14"/>
        <v>0.74639010124609073</v>
      </c>
      <c r="L38" s="767">
        <f t="shared" si="14"/>
        <v>0.60861414383915147</v>
      </c>
    </row>
    <row r="39" spans="1:12" ht="15.75" customHeight="1">
      <c r="A39" s="396" t="s">
        <v>996</v>
      </c>
      <c r="B39" s="757" t="s">
        <v>746</v>
      </c>
      <c r="C39" s="775"/>
      <c r="D39" s="773">
        <f t="shared" ref="D39:L39" si="15">D34/C34-1</f>
        <v>1.152389151958674</v>
      </c>
      <c r="E39" s="773">
        <f t="shared" si="15"/>
        <v>0.48899999999999988</v>
      </c>
      <c r="F39" s="773">
        <f t="shared" si="15"/>
        <v>0.37199999999999989</v>
      </c>
      <c r="G39" s="773">
        <f t="shared" si="15"/>
        <v>0.254</v>
      </c>
      <c r="H39" s="773">
        <f t="shared" si="15"/>
        <v>0.18599999999999994</v>
      </c>
      <c r="I39" s="773">
        <f t="shared" si="15"/>
        <v>0.13700000000000001</v>
      </c>
      <c r="J39" s="773">
        <f t="shared" si="15"/>
        <v>0.1080000000000001</v>
      </c>
      <c r="K39" s="773">
        <f t="shared" si="15"/>
        <v>7.8000000000000069E-2</v>
      </c>
      <c r="L39" s="773">
        <f t="shared" si="15"/>
        <v>5.8999999999999941E-2</v>
      </c>
    </row>
    <row r="40" spans="1:12" ht="15.75" customHeight="1">
      <c r="A40" s="18" t="s">
        <v>997</v>
      </c>
      <c r="B40" s="69" t="s">
        <v>746</v>
      </c>
      <c r="C40" s="774">
        <f t="shared" ref="C40:L40" si="16">IFERROR(C23/C9,0)</f>
        <v>0.1978571428571429</v>
      </c>
      <c r="D40" s="774">
        <f t="shared" si="16"/>
        <v>0.12</v>
      </c>
      <c r="E40" s="774">
        <f t="shared" si="16"/>
        <v>0.17424000000000001</v>
      </c>
      <c r="F40" s="774">
        <f t="shared" si="16"/>
        <v>0.17306659503022162</v>
      </c>
      <c r="G40" s="774">
        <f t="shared" si="16"/>
        <v>0.16732480953621012</v>
      </c>
      <c r="H40" s="774">
        <f t="shared" si="16"/>
        <v>0.16101180722683051</v>
      </c>
      <c r="I40" s="774">
        <f t="shared" si="16"/>
        <v>0.15588804605659318</v>
      </c>
      <c r="J40" s="774">
        <f t="shared" si="16"/>
        <v>0.15178136493584621</v>
      </c>
      <c r="K40" s="774">
        <f t="shared" si="16"/>
        <v>0.14888620179055179</v>
      </c>
      <c r="L40" s="774">
        <f t="shared" si="16"/>
        <v>0.14613634278773024</v>
      </c>
    </row>
    <row r="41" spans="1:12" ht="15.75" customHeight="1">
      <c r="A41" s="18" t="s">
        <v>998</v>
      </c>
      <c r="B41" s="69" t="s">
        <v>746</v>
      </c>
      <c r="C41" s="776"/>
      <c r="D41" s="774">
        <f>D34/Assumptions!$F$9-1</f>
        <v>0</v>
      </c>
      <c r="E41" s="776"/>
      <c r="F41" s="776"/>
      <c r="G41" s="776"/>
      <c r="H41" s="776"/>
      <c r="I41" s="776"/>
      <c r="J41" s="776"/>
      <c r="K41" s="776"/>
      <c r="L41" s="776"/>
    </row>
    <row r="42" spans="1:12" ht="15.75" customHeight="1">
      <c r="A42" s="1194"/>
      <c r="B42" s="1194"/>
      <c r="C42" s="1194"/>
      <c r="D42" s="1194"/>
      <c r="E42" s="1194"/>
      <c r="F42" s="1194"/>
      <c r="G42" s="1194"/>
      <c r="H42" s="1194"/>
      <c r="I42" s="1194"/>
      <c r="J42" s="1194"/>
      <c r="K42" s="1194"/>
      <c r="L42" s="1194"/>
    </row>
    <row r="44" spans="1:12" ht="21.95" customHeight="1">
      <c r="A44" s="1512" t="s">
        <v>999</v>
      </c>
      <c r="B44" s="1513"/>
      <c r="C44" s="1513"/>
      <c r="D44" s="1513"/>
      <c r="E44" s="1513"/>
      <c r="F44" s="1513"/>
      <c r="G44" s="1513"/>
      <c r="H44" s="1513"/>
      <c r="I44" s="1513"/>
      <c r="J44" s="1513"/>
      <c r="K44" s="1513"/>
      <c r="L44" s="1513"/>
    </row>
    <row r="45" spans="1:12" ht="15.75" customHeight="1">
      <c r="A45" s="1199" t="s">
        <v>1000</v>
      </c>
      <c r="B45" s="405" t="s">
        <v>1001</v>
      </c>
      <c r="C45" s="405" t="s">
        <v>1002</v>
      </c>
      <c r="D45" s="405" t="s">
        <v>1002</v>
      </c>
      <c r="E45" s="715" t="s">
        <v>1003</v>
      </c>
      <c r="F45" s="715" t="s">
        <v>1003</v>
      </c>
      <c r="G45" s="1219" t="s">
        <v>1004</v>
      </c>
      <c r="H45" s="1219" t="s">
        <v>1004</v>
      </c>
      <c r="I45" s="1219" t="s">
        <v>1004</v>
      </c>
      <c r="J45" s="1219" t="s">
        <v>1004</v>
      </c>
      <c r="K45" s="1219" t="s">
        <v>1004</v>
      </c>
      <c r="L45" s="1219" t="s">
        <v>1004</v>
      </c>
    </row>
    <row r="46" spans="1:12" ht="15.75" customHeight="1">
      <c r="A46" s="721" t="s">
        <v>1005</v>
      </c>
      <c r="B46" s="1220" t="s">
        <v>733</v>
      </c>
      <c r="C46" s="71"/>
      <c r="D46" s="70">
        <v>195</v>
      </c>
      <c r="E46" s="1221">
        <f t="shared" ref="E46:L46" si="17">E53+E54</f>
        <v>288.71499999999992</v>
      </c>
      <c r="F46" s="1221">
        <f t="shared" si="17"/>
        <v>394.03074148571409</v>
      </c>
      <c r="G46" s="1221">
        <f t="shared" si="17"/>
        <v>463.04359358857124</v>
      </c>
      <c r="H46" s="1221">
        <f t="shared" si="17"/>
        <v>524.55936579478839</v>
      </c>
      <c r="I46" s="1221">
        <f t="shared" si="17"/>
        <v>575.33015743662213</v>
      </c>
      <c r="J46" s="1221">
        <f t="shared" si="17"/>
        <v>628.91597959900423</v>
      </c>
      <c r="K46" s="1221">
        <f t="shared" si="17"/>
        <v>666.90624879432937</v>
      </c>
      <c r="L46" s="1221">
        <f t="shared" si="17"/>
        <v>707.43055620245195</v>
      </c>
    </row>
    <row r="47" spans="1:12" ht="15.75" customHeight="1">
      <c r="A47" s="717" t="s">
        <v>1006</v>
      </c>
      <c r="B47" s="1222" t="s">
        <v>1007</v>
      </c>
      <c r="C47" s="71"/>
      <c r="D47" s="70">
        <v>130</v>
      </c>
      <c r="E47" s="1223">
        <f>Assumptions!$F$120 + (Assumptions!$F$121-Assumptions!$F$120)*(E$5-2026)/7</f>
        <v>150</v>
      </c>
      <c r="F47" s="1223">
        <f>Assumptions!$F$120 + (Assumptions!$F$121-Assumptions!$F$120)*(F$5-2026)/7</f>
        <v>153.71428571428572</v>
      </c>
      <c r="G47" s="1223">
        <f>Assumptions!$F$120 + (Assumptions!$F$121-Assumptions!$F$120)*(G$5-2026)/7</f>
        <v>157.42857142857142</v>
      </c>
      <c r="H47" s="1223">
        <f>Assumptions!$F$120 + (Assumptions!$F$121-Assumptions!$F$120)*(H$5-2026)/7</f>
        <v>161.14285714285714</v>
      </c>
      <c r="I47" s="1223">
        <f>Assumptions!$F$120 + (Assumptions!$F$121-Assumptions!$F$120)*(I$5-2026)/7</f>
        <v>164.85714285714286</v>
      </c>
      <c r="J47" s="1223">
        <f>Assumptions!$F$120 + (Assumptions!$F$121-Assumptions!$F$120)*(J$5-2026)/7</f>
        <v>168.57142857142858</v>
      </c>
      <c r="K47" s="1223">
        <f>Assumptions!$F$120 + (Assumptions!$F$121-Assumptions!$F$120)*(K$5-2026)/7</f>
        <v>172.28571428571428</v>
      </c>
      <c r="L47" s="1223">
        <f>Assumptions!$F$120 + (Assumptions!$F$121-Assumptions!$F$120)*(L$5-2026)/7</f>
        <v>176</v>
      </c>
    </row>
    <row r="48" spans="1:12" ht="15.75" customHeight="1">
      <c r="A48" s="36" t="s">
        <v>1008</v>
      </c>
      <c r="B48" s="1222" t="s">
        <v>741</v>
      </c>
      <c r="C48" s="392"/>
      <c r="D48" s="392">
        <f t="shared" ref="D48" si="18">D46/D47</f>
        <v>1.5</v>
      </c>
      <c r="E48" s="1224">
        <f t="shared" ref="E48:L48" si="19">E46/E47</f>
        <v>1.9247666666666661</v>
      </c>
      <c r="F48" s="1224">
        <f t="shared" si="19"/>
        <v>2.5633970171003702</v>
      </c>
      <c r="G48" s="1224">
        <f t="shared" si="19"/>
        <v>2.9412932442105255</v>
      </c>
      <c r="H48" s="1224">
        <f t="shared" si="19"/>
        <v>3.2552442912797153</v>
      </c>
      <c r="I48" s="1224">
        <f t="shared" si="19"/>
        <v>3.4898709723191983</v>
      </c>
      <c r="J48" s="1224">
        <f t="shared" si="19"/>
        <v>3.7308575060957874</v>
      </c>
      <c r="K48" s="1224">
        <f t="shared" si="19"/>
        <v>3.870931792338562</v>
      </c>
      <c r="L48" s="1224">
        <f t="shared" si="19"/>
        <v>4.0194917966048402</v>
      </c>
    </row>
    <row r="49" spans="1:13" ht="15.75" customHeight="1">
      <c r="A49" s="36" t="s">
        <v>1009</v>
      </c>
      <c r="B49" s="406" t="s">
        <v>746</v>
      </c>
      <c r="C49" s="777"/>
      <c r="D49" s="32" t="s">
        <v>70</v>
      </c>
      <c r="E49" s="32">
        <f>D34/Assumptions!$F$122</f>
        <v>0.1</v>
      </c>
      <c r="F49" s="32">
        <f>E34/Assumptions!$F$122</f>
        <v>0.14889999999999998</v>
      </c>
      <c r="G49" s="32">
        <f>F34/Assumptions!$F$122</f>
        <v>0.20429079999999997</v>
      </c>
      <c r="H49" s="32">
        <f>G34/Assumptions!$F$122</f>
        <v>0.25618066319999994</v>
      </c>
      <c r="I49" s="32">
        <f>H34/Assumptions!$F$122</f>
        <v>0.3038302665551999</v>
      </c>
      <c r="J49" s="32">
        <f>I34/Assumptions!$F$122</f>
        <v>0.34545501307326232</v>
      </c>
      <c r="K49" s="32">
        <f>J34/Assumptions!$F$122</f>
        <v>0.3827641544851747</v>
      </c>
      <c r="L49" s="32">
        <f>K34/Assumptions!$F$122</f>
        <v>0.41261975853501831</v>
      </c>
      <c r="M49" s="1210"/>
    </row>
    <row r="50" spans="1:13" ht="15.75" customHeight="1">
      <c r="A50" s="754" t="s">
        <v>1010</v>
      </c>
      <c r="B50" s="407" t="s">
        <v>741</v>
      </c>
      <c r="C50" s="394"/>
      <c r="D50" s="394">
        <f t="shared" ref="D50" si="20">D48</f>
        <v>1.5</v>
      </c>
      <c r="E50" s="1225">
        <f t="shared" ref="E50:L50" si="21">E31</f>
        <v>1.6580999999999997</v>
      </c>
      <c r="F50" s="1225">
        <f t="shared" si="21"/>
        <v>2.0290103999999989</v>
      </c>
      <c r="G50" s="394">
        <f t="shared" si="21"/>
        <v>2.151819559999999</v>
      </c>
      <c r="H50" s="394">
        <f t="shared" si="21"/>
        <v>2.222442872839999</v>
      </c>
      <c r="I50" s="394">
        <f t="shared" si="21"/>
        <v>2.2247063276051602</v>
      </c>
      <c r="J50" s="394">
        <f t="shared" si="21"/>
        <v>2.2435693705025677</v>
      </c>
      <c r="K50" s="394">
        <f t="shared" si="21"/>
        <v>2.1710976298178322</v>
      </c>
      <c r="L50" s="394">
        <f t="shared" si="21"/>
        <v>2.1160827056957494</v>
      </c>
      <c r="M50" s="1210"/>
    </row>
    <row r="51" spans="1:13">
      <c r="A51" s="1226" t="s">
        <v>1011</v>
      </c>
      <c r="B51" s="1222" t="s">
        <v>746</v>
      </c>
      <c r="C51" s="158"/>
      <c r="D51" s="158"/>
      <c r="E51" s="1227">
        <f>E46/'Revenue Build'!D20</f>
        <v>0.55458125240107548</v>
      </c>
      <c r="F51" s="1227">
        <f>F46/'Revenue Build'!E20</f>
        <v>0.44875304530860771</v>
      </c>
      <c r="G51" s="1228">
        <f>G46/'Revenue Build'!F20</f>
        <v>0.36080909156876884</v>
      </c>
      <c r="H51" s="1228">
        <f>H46/'Revenue Build'!G20</f>
        <v>0.30438249655230243</v>
      </c>
      <c r="I51" s="1228">
        <f>I46/'Revenue Build'!H20</f>
        <v>0.26650855921097144</v>
      </c>
      <c r="J51" s="1228">
        <f>J46/'Revenue Build'!I20</f>
        <v>0.24395536493800224</v>
      </c>
      <c r="K51" s="1228">
        <f>K46/'Revenue Build'!J20</f>
        <v>0.22393333951110611</v>
      </c>
      <c r="L51" s="1228">
        <f>L46/'Revenue Build'!K20</f>
        <v>0.21114746063442349</v>
      </c>
      <c r="M51" s="1210"/>
    </row>
    <row r="52" spans="1:13">
      <c r="A52" s="1229" t="s">
        <v>1012</v>
      </c>
      <c r="B52" s="609" t="s">
        <v>1013</v>
      </c>
      <c r="C52" s="158"/>
      <c r="D52" s="158"/>
      <c r="E52" s="158"/>
      <c r="F52" s="158"/>
      <c r="G52" s="1230">
        <f>(G46/'Revenue Build'!F20)-F51</f>
        <v>-8.7943953739838876E-2</v>
      </c>
      <c r="H52" s="158"/>
      <c r="I52" s="158"/>
      <c r="J52" s="158"/>
      <c r="K52" s="158"/>
      <c r="L52" s="158"/>
      <c r="M52" s="1210"/>
    </row>
    <row r="53" spans="1:13">
      <c r="A53" s="741" t="s">
        <v>1014</v>
      </c>
      <c r="B53" s="1222" t="s">
        <v>733</v>
      </c>
      <c r="C53" s="158"/>
      <c r="D53" s="158"/>
      <c r="E53" s="1231">
        <f t="shared" ref="E53:L53" si="22">E50*E47</f>
        <v>248.71499999999995</v>
      </c>
      <c r="F53" s="1232">
        <f t="shared" si="22"/>
        <v>311.88788434285698</v>
      </c>
      <c r="G53" s="1232">
        <f t="shared" si="22"/>
        <v>338.75787930285696</v>
      </c>
      <c r="H53" s="1232">
        <f t="shared" si="22"/>
        <v>358.13079436621695</v>
      </c>
      <c r="I53" s="1232">
        <f t="shared" si="22"/>
        <v>366.75872886519358</v>
      </c>
      <c r="J53" s="1232">
        <f t="shared" si="22"/>
        <v>378.20169388471857</v>
      </c>
      <c r="K53" s="1232">
        <f t="shared" si="22"/>
        <v>374.04910593718648</v>
      </c>
      <c r="L53" s="1232">
        <f t="shared" si="22"/>
        <v>372.4305562024519</v>
      </c>
      <c r="M53" s="1210"/>
    </row>
    <row r="54" spans="1:13">
      <c r="A54" s="741" t="s">
        <v>1015</v>
      </c>
      <c r="B54" s="1222" t="s">
        <v>733</v>
      </c>
      <c r="C54" s="158"/>
      <c r="D54" s="158"/>
      <c r="E54" s="752">
        <f>Assumptions!$F$123+(Assumptions!$F$124-Assumptions!$F$123)*(E$5-2026)/7</f>
        <v>40</v>
      </c>
      <c r="F54" s="1223">
        <f>Assumptions!$F$123+(Assumptions!$F$124-Assumptions!$F$123)*(F$5-2026)/7</f>
        <v>82.142857142857139</v>
      </c>
      <c r="G54" s="1223">
        <f>Assumptions!$F$123+(Assumptions!$F$124-Assumptions!$F$123)*(G$5-2026)/7</f>
        <v>124.28571428571429</v>
      </c>
      <c r="H54" s="1223">
        <f>Assumptions!$F$123+(Assumptions!$F$124-Assumptions!$F$123)*(H$5-2026)/7</f>
        <v>166.42857142857144</v>
      </c>
      <c r="I54" s="1223">
        <f>Assumptions!$F$123+(Assumptions!$F$124-Assumptions!$F$123)*(I$5-2026)/7</f>
        <v>208.57142857142858</v>
      </c>
      <c r="J54" s="1223">
        <f>Assumptions!$F$123+(Assumptions!$F$124-Assumptions!$F$123)*(J$5-2026)/7</f>
        <v>250.71428571428572</v>
      </c>
      <c r="K54" s="1223">
        <f>Assumptions!$F$123+(Assumptions!$F$124-Assumptions!$F$123)*(K$5-2026)/7</f>
        <v>292.85714285714289</v>
      </c>
      <c r="L54" s="1223">
        <f>Assumptions!$F$123+(Assumptions!$F$124-Assumptions!$F$123)*(L$5-2026)/7</f>
        <v>335</v>
      </c>
      <c r="M54" s="1210"/>
    </row>
    <row r="55" spans="1:13">
      <c r="A55" s="459" t="s">
        <v>1016</v>
      </c>
      <c r="B55" s="1222" t="s">
        <v>1007</v>
      </c>
      <c r="C55" s="158"/>
      <c r="D55" s="158"/>
      <c r="E55" s="1233">
        <f t="shared" ref="E55:L55" si="23">E46/E50</f>
        <v>174.12399734636028</v>
      </c>
      <c r="F55" s="1233">
        <f t="shared" si="23"/>
        <v>194.19848290857175</v>
      </c>
      <c r="G55" s="1233">
        <f t="shared" si="23"/>
        <v>215.18699903841912</v>
      </c>
      <c r="H55" s="1233">
        <f t="shared" si="23"/>
        <v>236.02827870417579</v>
      </c>
      <c r="I55" s="1233">
        <f t="shared" si="23"/>
        <v>258.60948490039601</v>
      </c>
      <c r="J55" s="1233">
        <f t="shared" si="23"/>
        <v>280.31938208272328</v>
      </c>
      <c r="K55" s="1233">
        <f t="shared" si="23"/>
        <v>307.17469340625036</v>
      </c>
      <c r="L55" s="1233">
        <f t="shared" si="23"/>
        <v>334.31139260214076</v>
      </c>
      <c r="M55" s="1210"/>
    </row>
    <row r="56" spans="1:13">
      <c r="A56" s="459" t="s">
        <v>1017</v>
      </c>
      <c r="B56" s="1222" t="s">
        <v>1007</v>
      </c>
      <c r="C56" s="158"/>
      <c r="D56" s="158"/>
      <c r="E56" s="1233">
        <f>Assumptions!$F$11*Assumptions!$F$35/Members!E40</f>
        <v>943.52617079889808</v>
      </c>
      <c r="F56" s="1233">
        <f>Assumptions!$F$11*Assumptions!$F$35/Members!F40</f>
        <v>949.92335159359777</v>
      </c>
      <c r="G56" s="1233">
        <f>Assumptions!$F$11*Assumptions!$F$36/Members!G40</f>
        <v>1097.1475210929325</v>
      </c>
      <c r="H56" s="1233">
        <f>Assumptions!$F$11*Assumptions!$F$36/Members!H40</f>
        <v>1140.1648311504002</v>
      </c>
      <c r="I56" s="1233">
        <f>Assumptions!$F$11*Assumptions!$F$36/Members!I40</f>
        <v>1177.6400092496742</v>
      </c>
      <c r="J56" s="1233">
        <f>Assumptions!$F$11*Assumptions!$F$37/Members!J40</f>
        <v>1371.9734309150356</v>
      </c>
      <c r="K56" s="1233">
        <f>Assumptions!$F$11*Assumptions!$F$37/Members!K40</f>
        <v>1398.652108090884</v>
      </c>
      <c r="L56" s="1233">
        <f>Assumptions!$F$11*Assumptions!$F$37/Members!L40</f>
        <v>1424.9706543051934</v>
      </c>
      <c r="M56" s="1210"/>
    </row>
    <row r="57" spans="1:13">
      <c r="A57" s="459" t="s">
        <v>1018</v>
      </c>
      <c r="B57" s="1222" t="s">
        <v>334</v>
      </c>
      <c r="C57" s="158"/>
      <c r="D57" s="158"/>
      <c r="E57" s="1234">
        <f t="shared" ref="E57:L57" si="24">E56/E55</f>
        <v>5.4187026784256203</v>
      </c>
      <c r="F57" s="1234">
        <f t="shared" si="24"/>
        <v>4.8915075821721006</v>
      </c>
      <c r="G57" s="1234">
        <f t="shared" si="24"/>
        <v>5.0985771723925088</v>
      </c>
      <c r="H57" s="1234">
        <f t="shared" si="24"/>
        <v>4.830628081558892</v>
      </c>
      <c r="I57" s="1234">
        <f t="shared" si="24"/>
        <v>4.5537386600620806</v>
      </c>
      <c r="J57" s="1234">
        <f t="shared" si="24"/>
        <v>4.8943224001191652</v>
      </c>
      <c r="K57" s="1234">
        <f t="shared" si="24"/>
        <v>4.5532790887858487</v>
      </c>
      <c r="L57" s="1234">
        <f t="shared" si="24"/>
        <v>4.2624053078592832</v>
      </c>
      <c r="M57" s="1210"/>
    </row>
    <row r="58" spans="1:13">
      <c r="A58" s="459" t="s">
        <v>1019</v>
      </c>
      <c r="B58" s="1222" t="s">
        <v>334</v>
      </c>
      <c r="C58" s="158"/>
      <c r="D58" s="158"/>
      <c r="E58" s="1234">
        <f t="shared" ref="E58:L58" si="25">E56/E47</f>
        <v>6.2901744719926542</v>
      </c>
      <c r="F58" s="1234">
        <f t="shared" si="25"/>
        <v>6.179798755720431</v>
      </c>
      <c r="G58" s="1234">
        <f t="shared" si="25"/>
        <v>6.9691766312618224</v>
      </c>
      <c r="H58" s="1234">
        <f t="shared" si="25"/>
        <v>7.0754909734510658</v>
      </c>
      <c r="I58" s="1234">
        <f t="shared" si="25"/>
        <v>7.1433969365231533</v>
      </c>
      <c r="J58" s="1234">
        <f t="shared" si="25"/>
        <v>8.1388254376315672</v>
      </c>
      <c r="K58" s="1234">
        <f t="shared" si="25"/>
        <v>8.1182128993666574</v>
      </c>
      <c r="L58" s="1234">
        <f t="shared" si="25"/>
        <v>8.0964241721885983</v>
      </c>
      <c r="M58" s="1210"/>
    </row>
    <row r="59" spans="1:13">
      <c r="A59" s="1387" t="s">
        <v>1020</v>
      </c>
      <c r="B59" s="1190"/>
      <c r="C59" s="1235"/>
      <c r="D59" s="1235"/>
      <c r="E59" s="1235"/>
      <c r="F59" s="1235"/>
      <c r="G59" s="1235"/>
      <c r="H59" s="1235"/>
      <c r="I59" s="1235"/>
      <c r="J59" s="1235"/>
      <c r="K59" s="1235"/>
      <c r="L59" s="1235"/>
      <c r="M59" s="743" t="s">
        <v>198</v>
      </c>
    </row>
    <row r="60" spans="1:13">
      <c r="A60" s="717" t="s">
        <v>1021</v>
      </c>
      <c r="B60" s="1222" t="s">
        <v>1022</v>
      </c>
      <c r="C60" s="158"/>
      <c r="D60" s="158"/>
      <c r="E60" s="728" t="str">
        <f t="shared" ref="E60:L60" si="26">IF(E$5&lt;=2027,IF(AND(E51&gt;=0.35,E51&lt;=0.55),"✓",IF(AND(E51&gt;=0.3,E51&lt;=0.6),"⚠","✗")),IF(E$5&lt;=2030,IF(AND(E51&gt;=0.2,E51&lt;=0.3),"✓",IF(AND(E51&gt;=0.17,E51&lt;=0.33),"⚠","✗")),IF(AND(E51&gt;=0.12,E51&lt;=0.18),"✓",IF(AND(E51&gt;=0.1,E51&lt;=0.2),"⚠","✗"))))</f>
        <v>⚠</v>
      </c>
      <c r="F60" s="731" t="str">
        <f t="shared" si="26"/>
        <v>✓</v>
      </c>
      <c r="G60" s="731" t="str">
        <f t="shared" si="26"/>
        <v>✗</v>
      </c>
      <c r="H60" s="731" t="str">
        <f t="shared" si="26"/>
        <v>⚠</v>
      </c>
      <c r="I60" s="731" t="str">
        <f t="shared" si="26"/>
        <v>✓</v>
      </c>
      <c r="J60" s="731" t="str">
        <f t="shared" si="26"/>
        <v>✗</v>
      </c>
      <c r="K60" s="731" t="str">
        <f t="shared" si="26"/>
        <v>✗</v>
      </c>
      <c r="L60" s="731" t="str">
        <f t="shared" si="26"/>
        <v>✗</v>
      </c>
      <c r="M60" s="1236" t="s">
        <v>1023</v>
      </c>
    </row>
    <row r="61" spans="1:13">
      <c r="A61" s="717" t="s">
        <v>1024</v>
      </c>
      <c r="B61" s="1222" t="s">
        <v>1022</v>
      </c>
      <c r="C61" s="158"/>
      <c r="D61" s="158"/>
      <c r="E61" s="728" t="str">
        <f>IF(E47&lt;=0.5*ARPU!E$10,"✓",IF(E47&lt;=0.6*ARPU!E$10,"⚠","✗"))</f>
        <v>⚠</v>
      </c>
      <c r="F61" s="731" t="str">
        <f>IF(F47&lt;=0.5*ARPU!F$10,"✓",IF(F47&lt;=0.6*ARPU!F$10,"⚠","✗"))</f>
        <v>⚠</v>
      </c>
      <c r="G61" s="731" t="str">
        <f>IF(G47&lt;=0.5*ARPU!G$10,"✓",IF(G47&lt;=0.6*ARPU!G$10,"⚠","✗"))</f>
        <v>⚠</v>
      </c>
      <c r="H61" s="731" t="str">
        <f>IF(H47&lt;=0.5*ARPU!H$10,"✓",IF(H47&lt;=0.6*ARPU!H$10,"⚠","✗"))</f>
        <v>⚠</v>
      </c>
      <c r="I61" s="731" t="str">
        <f>IF(I47&lt;=0.5*ARPU!I$10,"✓",IF(I47&lt;=0.6*ARPU!I$10,"⚠","✗"))</f>
        <v>⚠</v>
      </c>
      <c r="J61" s="731" t="str">
        <f>IF(J47&lt;=0.5*ARPU!J$10,"✓",IF(J47&lt;=0.6*ARPU!J$10,"⚠","✗"))</f>
        <v>⚠</v>
      </c>
      <c r="K61" s="731" t="str">
        <f>IF(K47&lt;=0.5*ARPU!K$10,"✓",IF(K47&lt;=0.6*ARPU!K$10,"⚠","✗"))</f>
        <v>⚠</v>
      </c>
      <c r="L61" s="731" t="str">
        <f>IF(L47&lt;=0.5*ARPU!L$10,"✓",IF(L47&lt;=0.6*ARPU!L$10,"⚠","✗"))</f>
        <v>⚠</v>
      </c>
      <c r="M61" s="1210"/>
    </row>
    <row r="62" spans="1:13">
      <c r="A62" s="717" t="s">
        <v>1025</v>
      </c>
      <c r="B62" s="1222" t="s">
        <v>1022</v>
      </c>
      <c r="C62" s="158"/>
      <c r="D62" s="158"/>
      <c r="E62" s="728" t="str">
        <f t="shared" ref="E62:L62" si="27">IF(E57&gt;=3,"✓",IF(E57&gt;=2,"⚠","✗"))</f>
        <v>✓</v>
      </c>
      <c r="F62" s="731" t="str">
        <f t="shared" si="27"/>
        <v>✓</v>
      </c>
      <c r="G62" s="731" t="str">
        <f t="shared" si="27"/>
        <v>✓</v>
      </c>
      <c r="H62" s="731" t="str">
        <f t="shared" si="27"/>
        <v>✓</v>
      </c>
      <c r="I62" s="731" t="str">
        <f t="shared" si="27"/>
        <v>✓</v>
      </c>
      <c r="J62" s="731" t="str">
        <f t="shared" si="27"/>
        <v>✓</v>
      </c>
      <c r="K62" s="731" t="str">
        <f t="shared" si="27"/>
        <v>✓</v>
      </c>
      <c r="L62" s="731" t="str">
        <f t="shared" si="27"/>
        <v>✓</v>
      </c>
      <c r="M62" s="1210"/>
    </row>
    <row r="63" spans="1:13">
      <c r="A63" s="717" t="s">
        <v>1026</v>
      </c>
      <c r="B63" s="1222" t="s">
        <v>1022</v>
      </c>
      <c r="C63" s="158"/>
      <c r="D63" s="158"/>
      <c r="E63" s="728" t="str">
        <f t="shared" ref="E63:L63" si="28">IF(E58&gt;=5,"✓",IF(E58&gt;=3,"⚠","✗"))</f>
        <v>✓</v>
      </c>
      <c r="F63" s="731" t="str">
        <f t="shared" si="28"/>
        <v>✓</v>
      </c>
      <c r="G63" s="731" t="str">
        <f t="shared" si="28"/>
        <v>✓</v>
      </c>
      <c r="H63" s="731" t="str">
        <f t="shared" si="28"/>
        <v>✓</v>
      </c>
      <c r="I63" s="731" t="str">
        <f t="shared" si="28"/>
        <v>✓</v>
      </c>
      <c r="J63" s="731" t="str">
        <f t="shared" si="28"/>
        <v>✓</v>
      </c>
      <c r="K63" s="731" t="str">
        <f t="shared" si="28"/>
        <v>✓</v>
      </c>
      <c r="L63" s="731" t="str">
        <f t="shared" si="28"/>
        <v>✓</v>
      </c>
      <c r="M63" s="1210"/>
    </row>
    <row r="64" spans="1:13">
      <c r="A64" s="717" t="s">
        <v>1027</v>
      </c>
      <c r="B64" s="1222" t="s">
        <v>1022</v>
      </c>
      <c r="C64" s="158"/>
      <c r="D64" s="158"/>
      <c r="E64" s="728" t="str">
        <f t="shared" ref="E64:L64" si="29">IF(E49&lt;=0.45,"✓",IF(E49&lt;=0.55,"⚠","✗"))</f>
        <v>✓</v>
      </c>
      <c r="F64" s="731" t="str">
        <f t="shared" si="29"/>
        <v>✓</v>
      </c>
      <c r="G64" s="731" t="str">
        <f t="shared" si="29"/>
        <v>✓</v>
      </c>
      <c r="H64" s="731" t="str">
        <f t="shared" si="29"/>
        <v>✓</v>
      </c>
      <c r="I64" s="731" t="str">
        <f t="shared" si="29"/>
        <v>✓</v>
      </c>
      <c r="J64" s="731" t="str">
        <f t="shared" si="29"/>
        <v>✓</v>
      </c>
      <c r="K64" s="731" t="str">
        <f t="shared" si="29"/>
        <v>✓</v>
      </c>
      <c r="L64" s="731" t="str">
        <f t="shared" si="29"/>
        <v>✓</v>
      </c>
      <c r="M64" s="1210"/>
    </row>
    <row r="65" spans="1:12">
      <c r="A65" s="717" t="s">
        <v>1028</v>
      </c>
      <c r="B65" s="1222" t="s">
        <v>1022</v>
      </c>
      <c r="C65" s="158"/>
      <c r="D65" s="158"/>
      <c r="E65" s="778" t="str">
        <f>IF(E46+F46&lt;=700,"✓",IF(E46+F46&lt;=800,"⚠","✗"))</f>
        <v>✓</v>
      </c>
      <c r="F65" s="779"/>
      <c r="G65" s="779"/>
      <c r="H65" s="779"/>
      <c r="I65" s="779"/>
      <c r="J65" s="779"/>
      <c r="K65" s="779"/>
      <c r="L65" s="779"/>
    </row>
    <row r="66" spans="1:12" ht="15.75">
      <c r="A66" s="721" t="s">
        <v>1029</v>
      </c>
      <c r="B66" s="1220" t="s">
        <v>1022</v>
      </c>
      <c r="C66" s="158"/>
      <c r="D66" s="158"/>
      <c r="E66" s="1237" t="str">
        <f t="shared" ref="E66:L66" si="30">IF(COUNTIF(E60:E64,"✗")&gt;0,"✗",IF(COUNTIF(E60:E64,"⚠")&gt;0,"⚠","✓"))</f>
        <v>⚠</v>
      </c>
      <c r="F66" s="1237" t="str">
        <f t="shared" si="30"/>
        <v>⚠</v>
      </c>
      <c r="G66" s="1237" t="str">
        <f t="shared" si="30"/>
        <v>✗</v>
      </c>
      <c r="H66" s="1237" t="str">
        <f t="shared" si="30"/>
        <v>⚠</v>
      </c>
      <c r="I66" s="1237" t="str">
        <f t="shared" si="30"/>
        <v>⚠</v>
      </c>
      <c r="J66" s="1237" t="str">
        <f t="shared" si="30"/>
        <v>✗</v>
      </c>
      <c r="K66" s="1237" t="str">
        <f t="shared" si="30"/>
        <v>✗</v>
      </c>
      <c r="L66" s="1237" t="str">
        <f t="shared" si="30"/>
        <v>✗</v>
      </c>
    </row>
    <row r="67" spans="1:12">
      <c r="A67" s="459" t="s">
        <v>1030</v>
      </c>
      <c r="B67" s="1222" t="s">
        <v>1031</v>
      </c>
      <c r="C67" s="158"/>
      <c r="D67" s="158"/>
      <c r="E67" s="742" t="str">
        <f>IF(ABS(Assumptions!$F$177)&lt;=0.15,"✓ triang.",IF(ABS(Assumptions!$F$177)&lt;=0.25,"⚠ wide","✗ diverged"))</f>
        <v>✓ triang.</v>
      </c>
      <c r="F67" s="780"/>
      <c r="G67" s="780"/>
      <c r="H67" s="780"/>
      <c r="I67" s="780"/>
      <c r="J67" s="780"/>
      <c r="K67" s="780"/>
      <c r="L67" s="780"/>
    </row>
    <row r="75" spans="1:12" ht="15.75">
      <c r="A75" s="1351" t="s">
        <v>1032</v>
      </c>
      <c r="B75" s="1280"/>
      <c r="C75" s="1280"/>
      <c r="D75" s="1280"/>
      <c r="E75" s="1280"/>
      <c r="F75" s="1280"/>
      <c r="G75" s="1280"/>
      <c r="H75" s="1280"/>
      <c r="I75" s="1280"/>
      <c r="J75" s="1280"/>
      <c r="K75" s="1280"/>
      <c r="L75" s="1280"/>
    </row>
    <row r="76" spans="1:12">
      <c r="A76" s="1282" t="s">
        <v>1033</v>
      </c>
      <c r="B76" s="1210"/>
      <c r="C76" s="1210"/>
      <c r="D76" s="1210"/>
      <c r="E76" s="1210"/>
      <c r="F76" s="1210"/>
      <c r="G76" s="1210"/>
      <c r="H76" s="1210"/>
      <c r="I76" s="1210"/>
      <c r="J76" s="1210"/>
      <c r="K76" s="1210"/>
      <c r="L76" s="1210"/>
    </row>
    <row r="78" spans="1:12">
      <c r="A78" s="1283" t="s">
        <v>1034</v>
      </c>
      <c r="B78" s="1280"/>
      <c r="C78" s="1393">
        <v>2025</v>
      </c>
      <c r="D78" s="1393">
        <v>2026</v>
      </c>
      <c r="E78" s="1393">
        <v>2027</v>
      </c>
      <c r="F78" s="1393">
        <v>2028</v>
      </c>
      <c r="G78" s="1393">
        <v>2029</v>
      </c>
      <c r="H78" s="1393">
        <v>2030</v>
      </c>
      <c r="I78" s="1393">
        <v>2031</v>
      </c>
      <c r="J78" s="1393">
        <v>2032</v>
      </c>
      <c r="K78" s="1393">
        <v>2033</v>
      </c>
      <c r="L78" s="1285" t="s">
        <v>1035</v>
      </c>
    </row>
    <row r="79" spans="1:12">
      <c r="A79" s="1394" t="s">
        <v>105</v>
      </c>
      <c r="B79" s="1308" t="s">
        <v>1036</v>
      </c>
      <c r="C79" s="1395">
        <v>2.5</v>
      </c>
      <c r="D79" s="1396">
        <f>C79*1.32</f>
        <v>3.3000000000000003</v>
      </c>
      <c r="E79" s="1396">
        <f>D79*1.22</f>
        <v>4.0259999999999998</v>
      </c>
      <c r="F79" s="1396">
        <f>E79*1.15</f>
        <v>4.6298999999999992</v>
      </c>
      <c r="G79" s="1396">
        <f>F79*1.1</f>
        <v>5.0928899999999997</v>
      </c>
      <c r="H79" s="1396">
        <f>G79*1.07</f>
        <v>5.4493923000000004</v>
      </c>
      <c r="I79" s="1396">
        <f>H79*1.05</f>
        <v>5.7218619150000007</v>
      </c>
      <c r="J79" s="1396">
        <f>I79*1.03</f>
        <v>5.893517772450001</v>
      </c>
      <c r="K79" s="1398">
        <f>J79*1.02</f>
        <v>6.0113881278990009</v>
      </c>
      <c r="L79" s="1397" t="str">
        <f>K79&amp;"M"</f>
        <v>6.011388127899M</v>
      </c>
    </row>
    <row r="80" spans="1:12">
      <c r="A80" s="1353" t="s">
        <v>106</v>
      </c>
      <c r="B80" s="1375" t="s">
        <v>1037</v>
      </c>
      <c r="C80" s="1399">
        <f>D34</f>
        <v>2.5</v>
      </c>
      <c r="D80" s="1399">
        <f>E34</f>
        <v>3.7224999999999997</v>
      </c>
      <c r="E80" s="1399">
        <f>F34</f>
        <v>5.1072699999999989</v>
      </c>
      <c r="F80" s="1399">
        <f>G34</f>
        <v>6.4045165799999983</v>
      </c>
      <c r="G80" s="1399">
        <f>H34</f>
        <v>7.5957566638799978</v>
      </c>
      <c r="H80" s="1399">
        <f>I34</f>
        <v>8.6363753268315584</v>
      </c>
      <c r="I80" s="1399">
        <f>J34</f>
        <v>9.5691038621293671</v>
      </c>
      <c r="J80" s="1399">
        <f>K34</f>
        <v>10.315493963375458</v>
      </c>
      <c r="K80" s="1400">
        <f>L34</f>
        <v>10.924108107214609</v>
      </c>
      <c r="L80" s="1401" t="str">
        <f>ROUND(K80,1)&amp;"M"</f>
        <v>10.9M</v>
      </c>
    </row>
    <row r="81" spans="1:12">
      <c r="A81" s="1402" t="s">
        <v>107</v>
      </c>
      <c r="B81" s="1308" t="s">
        <v>1038</v>
      </c>
      <c r="C81" s="1395">
        <v>2.5</v>
      </c>
      <c r="D81" s="1396">
        <f>C81*1.6</f>
        <v>4</v>
      </c>
      <c r="E81" s="1396">
        <f>D81*1.5</f>
        <v>6</v>
      </c>
      <c r="F81" s="1396">
        <f>E81*1.4</f>
        <v>8.3999999999999986</v>
      </c>
      <c r="G81" s="1396">
        <f>F81*1.28</f>
        <v>10.751999999999999</v>
      </c>
      <c r="H81" s="1396">
        <f>G81*1.18</f>
        <v>12.687359999999998</v>
      </c>
      <c r="I81" s="1396">
        <f>H81*1.13</f>
        <v>14.336716799999996</v>
      </c>
      <c r="J81" s="1396">
        <f>I81*1.09</f>
        <v>15.627021311999997</v>
      </c>
      <c r="K81" s="1404">
        <f>J81*1.06</f>
        <v>16.564642590719998</v>
      </c>
      <c r="L81" s="1403" t="str">
        <f>ROUND(K81,1)&amp;"M"</f>
        <v>16.6M</v>
      </c>
    </row>
    <row r="84" spans="1:12">
      <c r="A84" s="1210"/>
      <c r="B84" s="1210">
        <v>2025</v>
      </c>
      <c r="C84" s="1210">
        <v>2026</v>
      </c>
      <c r="D84" s="1210">
        <v>2027</v>
      </c>
      <c r="E84" s="1210">
        <v>2028</v>
      </c>
      <c r="F84" s="1210">
        <v>2029</v>
      </c>
      <c r="G84" s="1210">
        <v>2030</v>
      </c>
      <c r="H84" s="1210">
        <v>2031</v>
      </c>
      <c r="I84" s="1210">
        <v>2032</v>
      </c>
      <c r="J84" s="1210">
        <v>2033</v>
      </c>
      <c r="K84" s="1210"/>
      <c r="L84" s="1210"/>
    </row>
    <row r="85" spans="1:12">
      <c r="A85" s="1210" t="s">
        <v>105</v>
      </c>
      <c r="B85" s="1210">
        <v>2.5</v>
      </c>
      <c r="C85" s="1210">
        <v>3.3</v>
      </c>
      <c r="D85" s="1210">
        <v>4.03</v>
      </c>
      <c r="E85" s="1210">
        <v>4.63</v>
      </c>
      <c r="F85" s="1210">
        <v>5.09</v>
      </c>
      <c r="G85" s="1210">
        <v>5.45</v>
      </c>
      <c r="H85" s="1210">
        <v>5.72</v>
      </c>
      <c r="I85" s="1210">
        <v>5.89</v>
      </c>
      <c r="J85" s="1210">
        <v>6.01</v>
      </c>
      <c r="K85" s="1210"/>
      <c r="L85" s="1210"/>
    </row>
    <row r="86" spans="1:12">
      <c r="A86" s="1210" t="s">
        <v>106</v>
      </c>
      <c r="B86" s="1174">
        <f>D34</f>
        <v>2.5</v>
      </c>
      <c r="C86" s="1174">
        <f>E34</f>
        <v>3.7224999999999997</v>
      </c>
      <c r="D86" s="1174">
        <f>F34</f>
        <v>5.1072699999999989</v>
      </c>
      <c r="E86" s="1174">
        <f>G34</f>
        <v>6.4045165799999983</v>
      </c>
      <c r="F86" s="1174">
        <f>H34</f>
        <v>7.5957566638799978</v>
      </c>
      <c r="G86" s="1174">
        <f>I34</f>
        <v>8.6363753268315584</v>
      </c>
      <c r="H86" s="1174">
        <f>J34</f>
        <v>9.5691038621293671</v>
      </c>
      <c r="I86" s="1174">
        <f>K34</f>
        <v>10.315493963375458</v>
      </c>
      <c r="J86" s="1174">
        <f>L34</f>
        <v>10.924108107214609</v>
      </c>
      <c r="K86" s="1210"/>
      <c r="L86" s="1210"/>
    </row>
    <row r="87" spans="1:12">
      <c r="A87" s="1210" t="s">
        <v>107</v>
      </c>
      <c r="B87" s="1210">
        <v>2.5</v>
      </c>
      <c r="C87" s="1210">
        <v>4</v>
      </c>
      <c r="D87" s="1210">
        <v>6</v>
      </c>
      <c r="E87" s="1210">
        <v>8.4</v>
      </c>
      <c r="F87" s="1210">
        <v>10.75</v>
      </c>
      <c r="G87" s="1210">
        <v>12.69</v>
      </c>
      <c r="H87" s="1210">
        <v>14.34</v>
      </c>
      <c r="I87" s="1210">
        <v>15.63</v>
      </c>
      <c r="J87" s="1210">
        <v>16.559999999999999</v>
      </c>
      <c r="K87" s="1210"/>
      <c r="L87" s="1210"/>
    </row>
    <row r="114" spans="8:8">
      <c r="H114" s="1210" t="s">
        <v>1039</v>
      </c>
    </row>
  </sheetData>
  <mergeCells count="10">
    <mergeCell ref="A44:L44"/>
    <mergeCell ref="A1:L1"/>
    <mergeCell ref="A33:L33"/>
    <mergeCell ref="A14:L14"/>
    <mergeCell ref="A37:L37"/>
    <mergeCell ref="A19:L19"/>
    <mergeCell ref="A25:L25"/>
    <mergeCell ref="A2:L2"/>
    <mergeCell ref="A30:L30"/>
    <mergeCell ref="A8:L8"/>
  </mergeCells>
  <conditionalFormatting sqref="E65">
    <cfRule type="containsText" dxfId="11" priority="1" operator="containsText" text="✓">
      <formula>NOT(ISERROR(SEARCH("✓",E65)))</formula>
    </cfRule>
    <cfRule type="containsText" dxfId="10" priority="2" operator="containsText" text="⚠">
      <formula>NOT(ISERROR(SEARCH("⚠",E65)))</formula>
    </cfRule>
    <cfRule type="containsText" dxfId="9" priority="3" operator="containsText" text="✗">
      <formula>NOT(ISERROR(SEARCH("✗",E65)))</formula>
    </cfRule>
  </conditionalFormatting>
  <conditionalFormatting sqref="E67">
    <cfRule type="containsText" dxfId="8" priority="4" operator="containsText" text="✓">
      <formula>NOT(ISERROR(SEARCH("✓",E67)))</formula>
    </cfRule>
    <cfRule type="containsText" dxfId="7" priority="5" operator="containsText" text="⚠">
      <formula>NOT(ISERROR(SEARCH("⚠",E67)))</formula>
    </cfRule>
    <cfRule type="containsText" dxfId="6" priority="6" operator="containsText" text="✗">
      <formula>NOT(ISERROR(SEARCH("✗",E67)))</formula>
    </cfRule>
  </conditionalFormatting>
  <pageMargins left="0.75" right="0.75" top="1" bottom="1" header="0.5" footer="0.5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N75"/>
  <sheetViews>
    <sheetView showGridLines="0" topLeftCell="A25" zoomScale="170" zoomScaleNormal="100" workbookViewId="0">
      <selection activeCell="E82" sqref="E82"/>
    </sheetView>
  </sheetViews>
  <sheetFormatPr defaultColWidth="8.85546875" defaultRowHeight="15"/>
  <cols>
    <col min="1" max="1" width="31.42578125" customWidth="1"/>
    <col min="2" max="4" width="14.28515625" customWidth="1"/>
    <col min="5" max="5" width="41.7109375" customWidth="1"/>
    <col min="6" max="6" width="7" customWidth="1"/>
    <col min="7" max="7" width="61" customWidth="1"/>
    <col min="8" max="12" width="12.42578125" customWidth="1"/>
    <col min="13" max="14" width="33.28515625" customWidth="1"/>
  </cols>
  <sheetData>
    <row r="1" spans="1:14" ht="27.95" customHeight="1">
      <c r="A1" s="1514" t="s">
        <v>1040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408"/>
      <c r="N1" s="408"/>
    </row>
    <row r="2" spans="1:14" ht="30" customHeight="1">
      <c r="A2" s="1520" t="s">
        <v>1041</v>
      </c>
      <c r="B2" s="1520"/>
      <c r="C2" s="1520"/>
      <c r="D2" s="1520"/>
      <c r="E2" s="1520"/>
      <c r="F2" s="1520"/>
      <c r="G2" s="1520"/>
      <c r="H2" s="1520"/>
      <c r="I2" s="1520"/>
      <c r="J2" s="1520"/>
      <c r="K2" s="1520"/>
      <c r="L2" s="1520"/>
      <c r="M2" s="1390"/>
      <c r="N2" s="1390"/>
    </row>
    <row r="3" spans="1:14" ht="15.75" customHeight="1">
      <c r="A3" s="1210"/>
      <c r="B3" s="1210"/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</row>
    <row r="4" spans="1:14" ht="15.75" customHeight="1">
      <c r="A4" s="1210"/>
      <c r="B4" s="1210"/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 ht="21.95" customHeight="1">
      <c r="A5" s="387" t="s">
        <v>907</v>
      </c>
      <c r="B5" s="388" t="s">
        <v>728</v>
      </c>
      <c r="C5" s="386">
        <v>2024</v>
      </c>
      <c r="D5" s="386">
        <v>2025</v>
      </c>
      <c r="E5" s="386">
        <v>2026</v>
      </c>
      <c r="F5" s="386">
        <v>2027</v>
      </c>
      <c r="G5" s="386">
        <v>2028</v>
      </c>
      <c r="H5" s="386">
        <v>2029</v>
      </c>
      <c r="I5" s="386">
        <v>2030</v>
      </c>
      <c r="J5" s="386">
        <v>2031</v>
      </c>
      <c r="K5" s="386">
        <v>2032</v>
      </c>
      <c r="L5" s="386">
        <v>2033</v>
      </c>
      <c r="M5" s="1210"/>
      <c r="N5" s="1210"/>
    </row>
    <row r="6" spans="1:14" ht="15.75" customHeight="1">
      <c r="A6" s="1210"/>
      <c r="B6" s="1210"/>
      <c r="C6" s="68"/>
      <c r="D6" s="68"/>
      <c r="E6" s="69"/>
      <c r="F6" s="69"/>
      <c r="G6" s="69"/>
      <c r="H6" s="69"/>
      <c r="I6" s="69"/>
      <c r="J6" s="69"/>
      <c r="K6" s="69"/>
      <c r="L6" s="69"/>
      <c r="M6" s="1210"/>
      <c r="N6" s="1210"/>
    </row>
    <row r="7" spans="1:14" ht="21.95" customHeight="1" thickBot="1">
      <c r="A7" s="1486" t="s">
        <v>1042</v>
      </c>
      <c r="B7" s="1522"/>
      <c r="C7" s="1522"/>
      <c r="D7" s="1522"/>
      <c r="E7" s="1522"/>
      <c r="F7" s="1522"/>
      <c r="G7" s="1522"/>
      <c r="H7" s="1522"/>
      <c r="I7" s="1522"/>
      <c r="J7" s="1522"/>
      <c r="K7" s="1522"/>
      <c r="L7" s="1522"/>
      <c r="M7" s="1210"/>
      <c r="N7" s="1210"/>
    </row>
    <row r="8" spans="1:14" ht="15.75" customHeight="1">
      <c r="A8" s="409" t="s">
        <v>1043</v>
      </c>
      <c r="B8" s="410" t="s">
        <v>1044</v>
      </c>
      <c r="C8" s="411"/>
      <c r="D8" s="1238">
        <f>D20</f>
        <v>274</v>
      </c>
      <c r="E8" s="412"/>
      <c r="F8" s="412"/>
      <c r="G8" s="412"/>
      <c r="H8" s="412"/>
      <c r="I8" s="412"/>
      <c r="J8" s="412"/>
      <c r="K8" s="412"/>
      <c r="L8" s="413"/>
      <c r="M8" s="1210"/>
      <c r="N8" s="1210"/>
    </row>
    <row r="9" spans="1:14" ht="15.75" customHeight="1">
      <c r="A9" s="414" t="s">
        <v>1045</v>
      </c>
      <c r="B9" s="1194" t="s">
        <v>746</v>
      </c>
      <c r="C9" s="415"/>
      <c r="D9" s="416">
        <f>Assumptions!$F$149</f>
        <v>0.03</v>
      </c>
      <c r="E9" s="417"/>
      <c r="F9" s="417"/>
      <c r="G9" s="417"/>
      <c r="H9" s="417"/>
      <c r="I9" s="417"/>
      <c r="J9" s="417"/>
      <c r="K9" s="417"/>
      <c r="L9" s="418"/>
      <c r="M9" s="1210"/>
      <c r="N9" s="1210"/>
    </row>
    <row r="10" spans="1:14" ht="15.75" customHeight="1" thickBot="1">
      <c r="A10" s="282" t="s">
        <v>1046</v>
      </c>
      <c r="B10" s="419" t="s">
        <v>1044</v>
      </c>
      <c r="C10" s="420">
        <v>0</v>
      </c>
      <c r="D10" s="1239">
        <f>D8</f>
        <v>274</v>
      </c>
      <c r="E10" s="1239">
        <f>D10*(1+$D$9)</f>
        <v>282.22000000000003</v>
      </c>
      <c r="F10" s="421">
        <f t="shared" ref="F10:L10" si="0">E10*(1+$D$9)</f>
        <v>290.68660000000006</v>
      </c>
      <c r="G10" s="421">
        <f t="shared" si="0"/>
        <v>299.40719800000005</v>
      </c>
      <c r="H10" s="421">
        <f t="shared" si="0"/>
        <v>308.38941394000005</v>
      </c>
      <c r="I10" s="421">
        <f t="shared" si="0"/>
        <v>317.64109635820006</v>
      </c>
      <c r="J10" s="421">
        <f t="shared" si="0"/>
        <v>327.17032924894608</v>
      </c>
      <c r="K10" s="421">
        <f t="shared" si="0"/>
        <v>336.98543912641446</v>
      </c>
      <c r="L10" s="422">
        <f t="shared" si="0"/>
        <v>347.09500230020689</v>
      </c>
      <c r="M10" s="1210"/>
      <c r="N10" s="1210"/>
    </row>
    <row r="11" spans="1:14" ht="15.75" customHeight="1">
      <c r="A11" s="1194"/>
      <c r="B11" s="1194"/>
      <c r="C11" s="1194"/>
      <c r="D11" s="423"/>
      <c r="E11" s="423"/>
      <c r="F11" s="423"/>
      <c r="G11" s="423"/>
      <c r="H11" s="423"/>
      <c r="I11" s="423"/>
      <c r="J11" s="423"/>
      <c r="K11" s="423"/>
      <c r="L11" s="423"/>
      <c r="M11" s="1210"/>
      <c r="N11" s="1210"/>
    </row>
    <row r="12" spans="1:14" ht="15.75" customHeight="1">
      <c r="A12" s="1194"/>
      <c r="B12" s="1194"/>
      <c r="C12" s="1194"/>
      <c r="D12" s="423"/>
      <c r="E12" s="423"/>
      <c r="F12" s="423"/>
      <c r="G12" s="423"/>
      <c r="H12" s="423"/>
      <c r="I12" s="423"/>
      <c r="J12" s="423"/>
      <c r="K12" s="423"/>
      <c r="L12" s="423"/>
      <c r="M12" s="1210"/>
      <c r="N12" s="1210"/>
    </row>
    <row r="13" spans="1:14" ht="21.95" customHeight="1">
      <c r="A13" s="1486" t="s">
        <v>1047</v>
      </c>
      <c r="B13" s="1523"/>
      <c r="C13" s="1523"/>
      <c r="D13" s="1523"/>
      <c r="E13" s="1523"/>
      <c r="F13" s="1523"/>
      <c r="G13" s="1523"/>
      <c r="H13" s="1523"/>
      <c r="I13" s="1523"/>
      <c r="J13" s="1523"/>
      <c r="K13" s="1523"/>
      <c r="L13" s="1523"/>
      <c r="M13" s="1210"/>
      <c r="N13" s="1210"/>
    </row>
    <row r="14" spans="1:14" ht="15.75" customHeight="1">
      <c r="A14" s="424" t="s">
        <v>1048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1210"/>
      <c r="N14" s="1210"/>
    </row>
    <row r="15" spans="1:14" ht="15.75" customHeight="1">
      <c r="A15" s="426"/>
      <c r="B15" s="1194"/>
      <c r="C15" s="1194"/>
      <c r="D15" s="1194"/>
      <c r="E15" s="1194"/>
      <c r="F15" s="1194"/>
      <c r="G15" s="1194"/>
      <c r="H15" s="1194"/>
      <c r="I15" s="1194"/>
      <c r="J15" s="1194"/>
      <c r="K15" s="1194"/>
      <c r="L15" s="1194"/>
      <c r="M15" s="1210"/>
      <c r="N15" s="1210"/>
    </row>
    <row r="16" spans="1:14" ht="15.75" customHeight="1">
      <c r="A16" s="191" t="s">
        <v>1049</v>
      </c>
      <c r="B16" s="1194"/>
      <c r="C16" s="1194"/>
      <c r="D16" s="416"/>
      <c r="E16" s="416"/>
      <c r="F16" s="417"/>
      <c r="G16" s="417"/>
      <c r="H16" s="417"/>
      <c r="I16" s="417"/>
      <c r="J16" s="417"/>
      <c r="K16" s="417"/>
      <c r="L16" s="417"/>
      <c r="M16" s="1210"/>
      <c r="N16" s="1210"/>
    </row>
    <row r="17" spans="1:12" ht="15.75" customHeight="1">
      <c r="A17" s="427" t="s">
        <v>1050</v>
      </c>
      <c r="B17" s="1194" t="s">
        <v>1044</v>
      </c>
      <c r="C17" s="1194"/>
      <c r="D17" s="428">
        <f>258</f>
        <v>258</v>
      </c>
      <c r="E17" s="429" t="s">
        <v>1051</v>
      </c>
      <c r="F17" s="423"/>
      <c r="G17" s="423"/>
      <c r="H17" s="423"/>
      <c r="I17" s="423"/>
      <c r="J17" s="423"/>
      <c r="K17" s="423"/>
      <c r="L17" s="423"/>
    </row>
    <row r="18" spans="1:12" ht="15.75" customHeight="1">
      <c r="A18" s="427" t="s">
        <v>1052</v>
      </c>
      <c r="B18" s="1194" t="s">
        <v>1044</v>
      </c>
      <c r="C18" s="1194"/>
      <c r="D18" s="428">
        <v>15</v>
      </c>
      <c r="E18" s="430"/>
      <c r="F18" s="431"/>
      <c r="G18" s="431"/>
      <c r="H18" s="431"/>
      <c r="I18" s="431"/>
      <c r="J18" s="431"/>
      <c r="K18" s="431"/>
      <c r="L18" s="431"/>
    </row>
    <row r="19" spans="1:12" ht="15.75" customHeight="1">
      <c r="A19" s="427" t="s">
        <v>1053</v>
      </c>
      <c r="B19" s="1194" t="s">
        <v>1044</v>
      </c>
      <c r="C19" s="1194"/>
      <c r="D19" s="428">
        <v>1</v>
      </c>
      <c r="E19" s="432"/>
      <c r="F19" s="432"/>
      <c r="G19" s="432"/>
      <c r="H19" s="432"/>
      <c r="I19" s="432"/>
      <c r="J19" s="432"/>
      <c r="K19" s="432"/>
      <c r="L19" s="432"/>
    </row>
    <row r="20" spans="1:12" ht="15.75" customHeight="1">
      <c r="A20" s="435" t="s">
        <v>1054</v>
      </c>
      <c r="B20" s="436" t="s">
        <v>1044</v>
      </c>
      <c r="C20" s="436"/>
      <c r="D20" s="437">
        <f>SUM(D17:D19)</f>
        <v>274</v>
      </c>
      <c r="E20" s="434"/>
      <c r="F20" s="434"/>
      <c r="G20" s="434"/>
      <c r="H20" s="434"/>
      <c r="I20" s="434"/>
      <c r="J20" s="434"/>
      <c r="K20" s="434"/>
      <c r="L20" s="434"/>
    </row>
    <row r="21" spans="1:12" ht="15.75" customHeight="1">
      <c r="A21" s="438"/>
      <c r="B21" s="1194"/>
      <c r="C21" s="1194"/>
      <c r="D21" s="428"/>
      <c r="E21" s="1194"/>
      <c r="F21" s="1194"/>
      <c r="G21" s="1194"/>
      <c r="H21" s="1194"/>
      <c r="I21" s="1194"/>
      <c r="J21" s="1194"/>
      <c r="K21" s="1194"/>
      <c r="L21" s="1194"/>
    </row>
    <row r="22" spans="1:12" ht="15.75" customHeight="1">
      <c r="A22" s="191" t="s">
        <v>1055</v>
      </c>
      <c r="B22" s="1194"/>
      <c r="C22" s="1194"/>
      <c r="D22" s="1194"/>
      <c r="E22" s="233"/>
      <c r="F22" s="233"/>
      <c r="G22" s="233"/>
      <c r="H22" s="233"/>
      <c r="I22" s="233"/>
      <c r="J22" s="233"/>
      <c r="K22" s="233"/>
      <c r="L22" s="233"/>
    </row>
    <row r="23" spans="1:12" ht="15.75" customHeight="1">
      <c r="A23" s="438" t="s">
        <v>1056</v>
      </c>
      <c r="B23" s="1194" t="s">
        <v>1044</v>
      </c>
      <c r="C23" s="1194"/>
      <c r="D23" s="428">
        <v>260</v>
      </c>
      <c r="E23" s="29" t="s">
        <v>1057</v>
      </c>
      <c r="F23" s="1194"/>
      <c r="G23" s="1194"/>
      <c r="H23" s="1194"/>
      <c r="I23" s="1194"/>
      <c r="J23" s="1194"/>
      <c r="K23" s="1194"/>
      <c r="L23" s="1194"/>
    </row>
    <row r="24" spans="1:12" ht="15.75" customHeight="1">
      <c r="A24" s="192"/>
      <c r="B24" s="1194"/>
      <c r="C24" s="1194"/>
      <c r="D24" s="440"/>
      <c r="E24" s="1210"/>
      <c r="F24" s="1210"/>
      <c r="G24" s="1210"/>
      <c r="H24" s="1210"/>
      <c r="I24" s="1210"/>
      <c r="J24" s="1210"/>
      <c r="K24" s="1210"/>
      <c r="L24" s="1194"/>
    </row>
    <row r="25" spans="1:12" ht="15.75" customHeight="1">
      <c r="A25" s="191" t="s">
        <v>1058</v>
      </c>
      <c r="B25" s="1194"/>
      <c r="C25" s="1194"/>
      <c r="D25" s="428"/>
      <c r="E25" s="416"/>
      <c r="F25" s="415"/>
      <c r="G25" s="415"/>
      <c r="H25" s="415"/>
      <c r="I25" s="415"/>
      <c r="J25" s="415"/>
      <c r="K25" s="415"/>
      <c r="L25" s="415"/>
    </row>
    <row r="26" spans="1:12" ht="15.75" customHeight="1">
      <c r="A26" s="433" t="s">
        <v>1059</v>
      </c>
      <c r="B26" s="1194" t="s">
        <v>746</v>
      </c>
      <c r="C26" s="1194"/>
      <c r="D26" s="441">
        <v>0.8</v>
      </c>
      <c r="E26" s="442" t="s">
        <v>1060</v>
      </c>
      <c r="F26" s="238"/>
      <c r="G26" s="238"/>
      <c r="H26" s="238"/>
      <c r="I26" s="238"/>
      <c r="J26" s="238"/>
      <c r="K26" s="238"/>
      <c r="L26" s="238"/>
    </row>
    <row r="27" spans="1:12" ht="15.75" customHeight="1">
      <c r="A27" s="427" t="s">
        <v>1061</v>
      </c>
      <c r="B27" s="1194" t="s">
        <v>746</v>
      </c>
      <c r="C27" s="1194"/>
      <c r="D27" s="443">
        <v>0.2</v>
      </c>
      <c r="E27" s="1194"/>
      <c r="F27" s="1194"/>
      <c r="G27" s="1194"/>
      <c r="H27" s="1194"/>
      <c r="I27" s="1194"/>
      <c r="J27" s="1194"/>
      <c r="K27" s="1194"/>
      <c r="L27" s="1194"/>
    </row>
    <row r="28" spans="1:12" ht="15.75" customHeight="1">
      <c r="A28" s="438" t="s">
        <v>1062</v>
      </c>
      <c r="B28" s="1196"/>
      <c r="C28" s="1196"/>
      <c r="D28" s="444">
        <f>D26+D27</f>
        <v>1</v>
      </c>
      <c r="E28" s="445" t="s">
        <v>1063</v>
      </c>
      <c r="F28" s="1196"/>
      <c r="G28" s="1196"/>
      <c r="H28" s="1196"/>
      <c r="I28" s="1196"/>
      <c r="J28" s="1196"/>
      <c r="K28" s="1196"/>
      <c r="L28" s="1196"/>
    </row>
    <row r="29" spans="1:12" ht="15.75" customHeight="1">
      <c r="A29" s="438"/>
      <c r="B29" s="1196"/>
      <c r="C29" s="1196"/>
      <c r="D29" s="444"/>
      <c r="E29" s="445"/>
      <c r="F29" s="1196"/>
      <c r="G29" s="1196"/>
      <c r="H29" s="1196"/>
      <c r="I29" s="1196"/>
      <c r="J29" s="1196"/>
      <c r="K29" s="1196"/>
      <c r="L29" s="1196"/>
    </row>
    <row r="30" spans="1:12" ht="15.75" customHeight="1">
      <c r="A30" s="33" t="s">
        <v>1064</v>
      </c>
      <c r="B30" s="33" t="s">
        <v>1065</v>
      </c>
      <c r="C30" s="33" t="s">
        <v>1066</v>
      </c>
      <c r="D30" s="1210"/>
      <c r="E30" s="1210"/>
      <c r="F30" s="1210"/>
      <c r="G30" s="1210"/>
      <c r="H30" s="1210"/>
      <c r="I30" s="1210"/>
      <c r="J30" s="1196"/>
      <c r="K30" s="1196"/>
      <c r="L30" s="1196"/>
    </row>
    <row r="31" spans="1:12" ht="15.75" customHeight="1">
      <c r="A31" s="1210" t="s">
        <v>1067</v>
      </c>
      <c r="B31" s="356">
        <v>0.03</v>
      </c>
      <c r="C31" s="1210" t="s">
        <v>1068</v>
      </c>
      <c r="D31" s="1210"/>
      <c r="E31" s="1210"/>
      <c r="F31" s="1210"/>
      <c r="G31" s="1210"/>
      <c r="H31" s="1210"/>
      <c r="I31" s="1210"/>
      <c r="J31" s="1196"/>
      <c r="K31" s="1196"/>
      <c r="L31" s="1196"/>
    </row>
    <row r="32" spans="1:12" ht="15.75" customHeight="1">
      <c r="A32" s="1210" t="s">
        <v>1069</v>
      </c>
      <c r="B32" s="356">
        <v>0.01</v>
      </c>
      <c r="C32" s="1210" t="s">
        <v>1070</v>
      </c>
      <c r="D32" s="1210"/>
      <c r="E32" s="1210"/>
      <c r="F32" s="1210"/>
      <c r="G32" s="1210"/>
      <c r="H32" s="1210"/>
      <c r="I32" s="1210"/>
      <c r="J32" s="1196"/>
      <c r="K32" s="1196"/>
      <c r="L32" s="1196"/>
    </row>
    <row r="33" spans="1:12" ht="15.75" customHeight="1">
      <c r="A33" s="1210" t="s">
        <v>1071</v>
      </c>
      <c r="B33" s="356">
        <v>0.01</v>
      </c>
      <c r="C33" s="1210" t="s">
        <v>1072</v>
      </c>
      <c r="D33" s="1210"/>
      <c r="E33" s="1210"/>
      <c r="F33" s="1210"/>
      <c r="G33" s="1210"/>
      <c r="H33" s="1210"/>
      <c r="I33" s="1210"/>
      <c r="J33" s="1196"/>
      <c r="K33" s="1196"/>
      <c r="L33" s="1196"/>
    </row>
    <row r="34" spans="1:12" ht="15.75" customHeight="1">
      <c r="A34" s="1210" t="s">
        <v>1073</v>
      </c>
      <c r="B34" s="356">
        <v>3.0000000000000001E-3</v>
      </c>
      <c r="C34" s="1210" t="s">
        <v>1074</v>
      </c>
      <c r="D34" s="1210"/>
      <c r="E34" s="1210"/>
      <c r="F34" s="1210"/>
      <c r="G34" s="1210"/>
      <c r="H34" s="1210"/>
      <c r="I34" s="1210"/>
      <c r="J34" s="1196"/>
      <c r="K34" s="1196"/>
      <c r="L34" s="1196"/>
    </row>
    <row r="35" spans="1:12" ht="15.75" customHeight="1">
      <c r="A35" s="33" t="s">
        <v>1075</v>
      </c>
      <c r="B35" s="1119">
        <v>7.0000000000000001E-3</v>
      </c>
      <c r="C35" s="33" t="s">
        <v>1076</v>
      </c>
      <c r="D35" s="1210"/>
      <c r="E35" s="1210"/>
      <c r="F35" s="1210"/>
      <c r="G35" s="1210"/>
      <c r="H35" s="1210"/>
      <c r="I35" s="1210"/>
      <c r="J35" s="1196"/>
      <c r="K35" s="1196"/>
      <c r="L35" s="1196"/>
    </row>
    <row r="36" spans="1:12" ht="15.75" customHeight="1">
      <c r="A36" s="33" t="s">
        <v>769</v>
      </c>
      <c r="B36" s="1119">
        <v>0.06</v>
      </c>
      <c r="C36" s="1210"/>
      <c r="D36" s="1210"/>
      <c r="E36" s="1210"/>
      <c r="F36" s="1210"/>
      <c r="G36" s="1210"/>
      <c r="H36" s="1210"/>
      <c r="I36" s="1210"/>
      <c r="J36" s="1196"/>
      <c r="K36" s="1196"/>
      <c r="L36" s="1196"/>
    </row>
    <row r="37" spans="1:12" ht="15.75" customHeight="1">
      <c r="A37" s="192"/>
      <c r="B37" s="1194"/>
      <c r="C37" s="1194"/>
      <c r="D37" s="233"/>
      <c r="E37" s="233"/>
      <c r="F37" s="233"/>
      <c r="G37" s="233"/>
      <c r="H37" s="233"/>
      <c r="I37" s="233"/>
      <c r="J37" s="233"/>
      <c r="K37" s="233"/>
      <c r="L37" s="233"/>
    </row>
    <row r="38" spans="1:12" ht="15.75" customHeight="1">
      <c r="A38" s="1191" t="s">
        <v>1077</v>
      </c>
      <c r="B38" s="787"/>
      <c r="C38" s="787"/>
      <c r="D38" s="787"/>
      <c r="E38" s="787"/>
      <c r="F38" s="787"/>
      <c r="G38" s="787"/>
      <c r="H38" s="787"/>
      <c r="I38" s="787"/>
      <c r="J38" s="787"/>
      <c r="K38" s="787"/>
      <c r="L38" s="787"/>
    </row>
    <row r="39" spans="1:12" ht="21.95" customHeight="1">
      <c r="A39" s="446" t="s">
        <v>1078</v>
      </c>
      <c r="B39" s="436" t="s">
        <v>733</v>
      </c>
      <c r="C39" s="436"/>
      <c r="D39" s="447">
        <f>Assumptions!D10*D20</f>
        <v>520.6</v>
      </c>
      <c r="E39" s="436"/>
      <c r="F39" s="436"/>
      <c r="G39" s="436"/>
      <c r="H39" s="436"/>
      <c r="I39" s="436"/>
      <c r="J39" s="436"/>
      <c r="K39" s="436"/>
      <c r="L39" s="448"/>
    </row>
    <row r="40" spans="1:12" ht="15.75" customHeight="1">
      <c r="A40" s="1210"/>
      <c r="B40" s="1210"/>
      <c r="C40" s="1210"/>
      <c r="D40" s="1210"/>
      <c r="E40" s="1210"/>
      <c r="F40" s="1210"/>
      <c r="G40" s="1210"/>
      <c r="H40" s="1210"/>
      <c r="I40" s="1210"/>
      <c r="J40" s="1210"/>
      <c r="K40" s="1210"/>
      <c r="L40" s="1210"/>
    </row>
    <row r="41" spans="1:12" ht="15.75" customHeight="1">
      <c r="A41" s="1210"/>
      <c r="B41" s="1210"/>
      <c r="C41" s="1210"/>
      <c r="D41" s="1210"/>
      <c r="E41" s="1210"/>
      <c r="F41" s="1210"/>
      <c r="G41" s="1210"/>
      <c r="H41" s="1210"/>
      <c r="I41" s="1210"/>
      <c r="J41" s="1210"/>
      <c r="K41" s="1210"/>
      <c r="L41" s="1210"/>
    </row>
    <row r="42" spans="1:12" ht="15.75" customHeight="1">
      <c r="A42" s="1210"/>
      <c r="B42" s="1210"/>
      <c r="C42" s="1210"/>
      <c r="D42" s="1210"/>
      <c r="E42" s="1210"/>
      <c r="F42" s="1210"/>
      <c r="G42" s="1210"/>
      <c r="H42" s="1210"/>
      <c r="I42" s="1210"/>
      <c r="J42" s="1210"/>
      <c r="K42" s="1210"/>
      <c r="L42" s="1210"/>
    </row>
    <row r="43" spans="1:12" ht="15.75" customHeight="1">
      <c r="A43" s="1210"/>
      <c r="B43" s="1210"/>
      <c r="C43" s="1210"/>
      <c r="D43" s="1210"/>
      <c r="E43" s="1210"/>
      <c r="F43" s="1210"/>
      <c r="G43" s="1210"/>
      <c r="H43" s="1210"/>
      <c r="I43" s="1210"/>
      <c r="J43" s="1210"/>
      <c r="K43" s="1210"/>
      <c r="L43" s="1210"/>
    </row>
    <row r="44" spans="1:12" ht="15.75" customHeight="1">
      <c r="A44" s="1210"/>
      <c r="B44" s="1210"/>
      <c r="C44" s="1210"/>
      <c r="D44" s="1210"/>
      <c r="E44" s="1210"/>
      <c r="F44" s="1210"/>
      <c r="G44" s="1210"/>
      <c r="H44" s="1210"/>
      <c r="I44" s="1210"/>
      <c r="J44" s="1210"/>
      <c r="K44" s="1210"/>
      <c r="L44" s="1210"/>
    </row>
    <row r="45" spans="1:12" ht="21.75" customHeight="1">
      <c r="A45" s="1351" t="s">
        <v>1079</v>
      </c>
      <c r="B45" s="1280"/>
      <c r="C45" s="1280"/>
      <c r="D45" s="1280"/>
      <c r="E45" s="1280"/>
      <c r="F45" s="1280"/>
      <c r="G45" s="1280"/>
      <c r="H45" s="1280"/>
      <c r="I45" s="1280"/>
      <c r="J45" s="1280"/>
      <c r="K45" s="1280"/>
      <c r="L45" s="1280"/>
    </row>
    <row r="46" spans="1:12" ht="18" customHeight="1">
      <c r="A46" s="1282" t="s">
        <v>1080</v>
      </c>
      <c r="B46" s="1210"/>
      <c r="C46" s="1210"/>
      <c r="D46" s="1210"/>
      <c r="E46" s="1210"/>
      <c r="F46" s="1210"/>
      <c r="G46" s="1210"/>
      <c r="H46" s="1210"/>
      <c r="I46" s="1210"/>
      <c r="J46" s="1210"/>
      <c r="K46" s="1210"/>
      <c r="L46" s="1210"/>
    </row>
    <row r="47" spans="1:12" ht="18" customHeight="1">
      <c r="A47" s="1210"/>
      <c r="B47" s="1210"/>
      <c r="C47" s="1210"/>
      <c r="D47" s="1210"/>
      <c r="E47" s="1210"/>
      <c r="F47" s="1210"/>
      <c r="G47" s="1210"/>
      <c r="H47" s="1210"/>
      <c r="I47" s="1210"/>
      <c r="J47" s="1210"/>
      <c r="K47" s="1210"/>
      <c r="L47" s="1210"/>
    </row>
    <row r="48" spans="1:12" ht="18" customHeight="1">
      <c r="A48" s="1283" t="s">
        <v>1034</v>
      </c>
      <c r="B48" s="1285" t="s">
        <v>1081</v>
      </c>
      <c r="C48" s="1285" t="s">
        <v>1082</v>
      </c>
      <c r="D48" s="1285" t="s">
        <v>1083</v>
      </c>
      <c r="E48" s="1285" t="s">
        <v>1084</v>
      </c>
      <c r="F48" s="1285" t="s">
        <v>1085</v>
      </c>
      <c r="G48" s="1283"/>
      <c r="H48" s="1210"/>
      <c r="I48" s="1210"/>
      <c r="J48" s="1210"/>
      <c r="K48" s="1210"/>
      <c r="L48" s="1210"/>
    </row>
    <row r="49" spans="1:7" ht="18" customHeight="1">
      <c r="A49" s="1368" t="s">
        <v>105</v>
      </c>
      <c r="B49" s="1369">
        <f>Assumptions!C149</f>
        <v>2.5000000000000001E-2</v>
      </c>
      <c r="C49" s="1370">
        <f>ARPU!D8</f>
        <v>274</v>
      </c>
      <c r="D49" s="1371">
        <f>C49*(1+B49)^8</f>
        <v>333.84239391771746</v>
      </c>
      <c r="E49" s="1372">
        <f>D49/12</f>
        <v>27.820199493143122</v>
      </c>
      <c r="F49" s="1373">
        <f>B49-3%</f>
        <v>-4.9999999999999975E-3</v>
      </c>
      <c r="G49" s="1374"/>
    </row>
    <row r="50" spans="1:7" ht="18" customHeight="1">
      <c r="A50" s="1353" t="s">
        <v>106</v>
      </c>
      <c r="B50" s="1354">
        <f>Assumptions!D149</f>
        <v>0.03</v>
      </c>
      <c r="C50" s="1355">
        <f>ARPU!D8</f>
        <v>274</v>
      </c>
      <c r="D50" s="1356">
        <f>C50*(1+B50)^8</f>
        <v>347.09500230020677</v>
      </c>
      <c r="E50" s="1357">
        <f>D50/12</f>
        <v>28.92458352501723</v>
      </c>
      <c r="F50" s="1358">
        <f>B50-3%</f>
        <v>0</v>
      </c>
      <c r="G50" s="1375"/>
    </row>
    <row r="51" spans="1:7" ht="18" customHeight="1">
      <c r="A51" s="1376" t="s">
        <v>107</v>
      </c>
      <c r="B51" s="1369">
        <f>Assumptions!E149</f>
        <v>0.06</v>
      </c>
      <c r="C51" s="1370">
        <f>ARPU!D8</f>
        <v>274</v>
      </c>
      <c r="D51" s="1371">
        <f>C51*(1+B51)^8</f>
        <v>436.71437242145078</v>
      </c>
      <c r="E51" s="1372">
        <f>D51/12</f>
        <v>36.392864368454234</v>
      </c>
      <c r="F51" s="1377">
        <f>B51-3%</f>
        <v>0.03</v>
      </c>
      <c r="G51" s="1374"/>
    </row>
    <row r="52" spans="1:7" ht="18" customHeight="1">
      <c r="A52" s="1210"/>
      <c r="B52" s="1210"/>
      <c r="C52" s="1210"/>
      <c r="D52" s="1210"/>
      <c r="E52" s="1210"/>
      <c r="F52" s="1210"/>
      <c r="G52" s="1210"/>
    </row>
    <row r="53" spans="1:7" ht="18" customHeight="1">
      <c r="A53" s="1210"/>
      <c r="B53" s="1210"/>
      <c r="C53" s="1210"/>
      <c r="D53" s="1210"/>
      <c r="E53" s="1210"/>
      <c r="F53" s="1210"/>
      <c r="G53" s="1210"/>
    </row>
    <row r="54" spans="1:7" ht="21.75" customHeight="1">
      <c r="A54" s="1278" t="s">
        <v>1086</v>
      </c>
      <c r="B54" s="1280"/>
      <c r="C54" s="1280"/>
      <c r="D54" s="1280"/>
      <c r="E54" s="1280"/>
      <c r="F54" s="1280"/>
      <c r="G54" s="1280"/>
    </row>
    <row r="55" spans="1:7" ht="18" customHeight="1">
      <c r="A55" s="1282" t="s">
        <v>1087</v>
      </c>
      <c r="B55" s="1210"/>
      <c r="C55" s="1210"/>
      <c r="D55" s="1210"/>
      <c r="E55" s="1210"/>
      <c r="F55" s="1210"/>
      <c r="G55" s="1210"/>
    </row>
    <row r="56" spans="1:7" ht="18" customHeight="1">
      <c r="A56" s="1210"/>
      <c r="B56" s="1210"/>
      <c r="C56" s="1210"/>
      <c r="D56" s="1210"/>
      <c r="E56" s="1210"/>
      <c r="F56" s="1210"/>
      <c r="G56" s="1210"/>
    </row>
    <row r="57" spans="1:7" ht="18" customHeight="1">
      <c r="A57" s="1284" t="s">
        <v>1064</v>
      </c>
      <c r="B57" s="1286" t="s">
        <v>1065</v>
      </c>
      <c r="C57" s="1384" t="s">
        <v>1088</v>
      </c>
      <c r="D57" s="1384"/>
      <c r="E57" s="1384"/>
      <c r="F57" s="1210"/>
      <c r="G57" s="1210"/>
    </row>
    <row r="58" spans="1:7" ht="18" customHeight="1">
      <c r="A58" s="1287" t="s">
        <v>1067</v>
      </c>
      <c r="B58" s="1305">
        <f>B31</f>
        <v>0.03</v>
      </c>
      <c r="C58" s="1308" t="s">
        <v>1089</v>
      </c>
      <c r="D58" s="1308"/>
      <c r="E58" s="1308"/>
      <c r="F58" s="1210"/>
      <c r="G58" s="1210"/>
    </row>
    <row r="59" spans="1:7" ht="18" customHeight="1">
      <c r="A59" s="1378" t="s">
        <v>1090</v>
      </c>
      <c r="B59" s="1379">
        <f>B32</f>
        <v>0.01</v>
      </c>
      <c r="C59" s="1374" t="s">
        <v>1091</v>
      </c>
      <c r="D59" s="1374"/>
      <c r="E59" s="1374"/>
      <c r="F59" s="1210"/>
      <c r="G59" s="1210"/>
    </row>
    <row r="60" spans="1:7" ht="18" customHeight="1">
      <c r="A60" s="1287" t="s">
        <v>1071</v>
      </c>
      <c r="B60" s="1305">
        <f>B33</f>
        <v>0.01</v>
      </c>
      <c r="C60" s="1308" t="s">
        <v>1092</v>
      </c>
      <c r="D60" s="1308"/>
      <c r="E60" s="1308"/>
      <c r="F60" s="1210"/>
      <c r="G60" s="1210"/>
    </row>
    <row r="61" spans="1:7" ht="18" customHeight="1">
      <c r="A61" s="1378" t="s">
        <v>1073</v>
      </c>
      <c r="B61" s="1379">
        <f>B34</f>
        <v>3.0000000000000001E-3</v>
      </c>
      <c r="C61" s="1374" t="s">
        <v>1093</v>
      </c>
      <c r="D61" s="1374"/>
      <c r="E61" s="1374"/>
      <c r="F61" s="1210"/>
      <c r="G61" s="1210"/>
    </row>
    <row r="62" spans="1:7" ht="18" customHeight="1">
      <c r="A62" s="1287" t="s">
        <v>1075</v>
      </c>
      <c r="B62" s="1305">
        <f>B35</f>
        <v>7.0000000000000001E-3</v>
      </c>
      <c r="C62" s="1380" t="s">
        <v>1094</v>
      </c>
      <c r="D62" s="1380"/>
      <c r="E62" s="1380"/>
      <c r="F62" s="1210"/>
      <c r="G62" s="1210"/>
    </row>
    <row r="63" spans="1:7" ht="18" customHeight="1">
      <c r="A63" s="1359" t="s">
        <v>1095</v>
      </c>
      <c r="B63" s="1360">
        <f>SUM(B58:B62)</f>
        <v>6.0000000000000005E-2</v>
      </c>
      <c r="C63" s="1361" t="s">
        <v>1096</v>
      </c>
      <c r="D63" s="1361"/>
      <c r="E63" s="1361"/>
      <c r="F63" s="1210"/>
      <c r="G63" s="1210"/>
    </row>
    <row r="64" spans="1:7" ht="18" customHeight="1">
      <c r="A64" s="1210"/>
      <c r="B64" s="1210"/>
      <c r="C64" s="1210"/>
      <c r="D64" s="1210"/>
      <c r="E64" s="1210"/>
      <c r="F64" s="1210"/>
      <c r="G64" s="1210"/>
    </row>
    <row r="65" spans="1:6" ht="21.75" customHeight="1">
      <c r="A65" s="1278" t="s">
        <v>1097</v>
      </c>
      <c r="B65" s="1280"/>
      <c r="C65" s="1280"/>
      <c r="D65" s="1280"/>
      <c r="E65" s="1280"/>
      <c r="F65" s="1210"/>
    </row>
    <row r="66" spans="1:6" ht="18" customHeight="1">
      <c r="A66" s="1282" t="s">
        <v>1098</v>
      </c>
      <c r="B66" s="1210"/>
      <c r="C66" s="1210"/>
      <c r="D66" s="1210"/>
      <c r="E66" s="1210"/>
      <c r="F66" s="1210"/>
    </row>
    <row r="67" spans="1:6" ht="18" customHeight="1">
      <c r="A67" s="1210"/>
      <c r="B67" s="1210"/>
      <c r="C67" s="1210"/>
      <c r="D67" s="1210"/>
      <c r="E67" s="1210"/>
      <c r="F67" s="1210"/>
    </row>
    <row r="68" spans="1:6" ht="18" customHeight="1">
      <c r="A68" s="1284" t="s">
        <v>1099</v>
      </c>
      <c r="B68" s="1286" t="s">
        <v>1100</v>
      </c>
      <c r="C68" s="1286" t="s">
        <v>1101</v>
      </c>
      <c r="D68" s="1286" t="s">
        <v>1102</v>
      </c>
      <c r="E68" s="1284" t="s">
        <v>1103</v>
      </c>
      <c r="F68" s="1210"/>
    </row>
    <row r="69" spans="1:6" ht="18" customHeight="1">
      <c r="A69" s="1287" t="s">
        <v>1104</v>
      </c>
      <c r="B69" s="1362">
        <v>30</v>
      </c>
      <c r="C69" s="1352">
        <f>B69*12</f>
        <v>360</v>
      </c>
      <c r="D69" s="1363">
        <f>C69/$D$51-1</f>
        <v>-0.17566257779906003</v>
      </c>
      <c r="E69" s="1308" t="s">
        <v>1105</v>
      </c>
      <c r="F69" s="1210"/>
    </row>
    <row r="70" spans="1:6" ht="18" customHeight="1">
      <c r="A70" s="1378" t="s">
        <v>1106</v>
      </c>
      <c r="B70" s="1381">
        <v>33</v>
      </c>
      <c r="C70" s="1370">
        <f>B70*12</f>
        <v>396</v>
      </c>
      <c r="D70" s="1382">
        <f>C70/$D$51-1</f>
        <v>-9.3228835578965996E-2</v>
      </c>
      <c r="E70" s="1374" t="s">
        <v>1107</v>
      </c>
      <c r="F70" s="1210"/>
    </row>
    <row r="71" spans="1:6" ht="18" customHeight="1">
      <c r="A71" s="1287" t="s">
        <v>1108</v>
      </c>
      <c r="B71" s="1362">
        <v>49</v>
      </c>
      <c r="C71" s="1352">
        <f>B71*12</f>
        <v>588</v>
      </c>
      <c r="D71" s="1364">
        <f>C71/$D$51-1</f>
        <v>0.34641778959486857</v>
      </c>
      <c r="E71" s="1308" t="s">
        <v>1109</v>
      </c>
      <c r="F71" s="1210"/>
    </row>
    <row r="72" spans="1:6" ht="18" customHeight="1">
      <c r="A72" s="1378" t="s">
        <v>1110</v>
      </c>
      <c r="B72" s="1381">
        <v>44</v>
      </c>
      <c r="C72" s="1370">
        <f>B72*12</f>
        <v>528</v>
      </c>
      <c r="D72" s="1383">
        <f>C72/$D$51-1</f>
        <v>0.20902821922804526</v>
      </c>
      <c r="E72" s="1374" t="s">
        <v>1111</v>
      </c>
      <c r="F72" s="1210"/>
    </row>
    <row r="73" spans="1:6" ht="18" customHeight="1">
      <c r="A73" s="1287" t="s">
        <v>1112</v>
      </c>
      <c r="B73" s="1362">
        <v>5.99</v>
      </c>
      <c r="C73" s="1352">
        <f>B73*12</f>
        <v>71.88</v>
      </c>
      <c r="D73" s="1363">
        <f>C73/$D$51-1</f>
        <v>-0.83540729470054564</v>
      </c>
      <c r="E73" s="1380" t="s">
        <v>1113</v>
      </c>
      <c r="F73" s="1210"/>
    </row>
    <row r="74" spans="1:6" ht="18" customHeight="1">
      <c r="A74" s="1359" t="s">
        <v>1114</v>
      </c>
      <c r="B74" s="1365">
        <f>$D$51/12</f>
        <v>36.392864368454234</v>
      </c>
      <c r="C74" s="1366">
        <f>$D$51</f>
        <v>436.71437242145078</v>
      </c>
      <c r="D74" s="1367" t="s">
        <v>1115</v>
      </c>
      <c r="E74" s="1392" t="s">
        <v>1116</v>
      </c>
      <c r="F74" s="1210"/>
    </row>
    <row r="75" spans="1:6">
      <c r="A75" s="1210"/>
      <c r="B75" s="1210"/>
      <c r="C75" s="1210"/>
      <c r="D75" s="1210"/>
      <c r="E75" s="1210"/>
      <c r="F75" s="1210"/>
    </row>
  </sheetData>
  <mergeCells count="4">
    <mergeCell ref="A7:L7"/>
    <mergeCell ref="A13:L13"/>
    <mergeCell ref="A1:L1"/>
    <mergeCell ref="A2:L2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N51"/>
  <sheetViews>
    <sheetView showGridLines="0" topLeftCell="A4" zoomScale="134" workbookViewId="0">
      <selection activeCell="C11" sqref="C11"/>
    </sheetView>
  </sheetViews>
  <sheetFormatPr defaultColWidth="8.85546875" defaultRowHeight="15"/>
  <cols>
    <col min="1" max="1" width="53.28515625" customWidth="1"/>
    <col min="2" max="2" width="8.28515625" customWidth="1"/>
    <col min="3" max="12" width="12.42578125" customWidth="1"/>
    <col min="13" max="14" width="33.28515625" customWidth="1"/>
  </cols>
  <sheetData>
    <row r="1" spans="1:14" ht="27.95" customHeight="1">
      <c r="A1" s="1524" t="s">
        <v>1117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206"/>
      <c r="N1" s="1206"/>
    </row>
    <row r="2" spans="1:14" ht="15.75" customHeight="1">
      <c r="A2" s="1525" t="s">
        <v>1118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5"/>
      <c r="N2" s="5"/>
    </row>
    <row r="3" spans="1:14" ht="15.75" customHeight="1">
      <c r="A3" s="1210"/>
      <c r="B3" s="1210"/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</row>
    <row r="4" spans="1:14" ht="15.75" customHeight="1">
      <c r="A4" s="1210"/>
      <c r="B4" s="1210"/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 ht="21.95" customHeight="1">
      <c r="A5" s="307"/>
      <c r="B5" s="388" t="s">
        <v>966</v>
      </c>
      <c r="C5" s="386" t="s">
        <v>1119</v>
      </c>
      <c r="D5" s="386" t="s">
        <v>1120</v>
      </c>
      <c r="E5" s="386" t="s">
        <v>1121</v>
      </c>
      <c r="F5" s="386" t="s">
        <v>1122</v>
      </c>
      <c r="G5" s="386" t="s">
        <v>1123</v>
      </c>
      <c r="H5" s="386" t="s">
        <v>1124</v>
      </c>
      <c r="I5" s="386" t="s">
        <v>1125</v>
      </c>
      <c r="J5" s="386" t="s">
        <v>1126</v>
      </c>
      <c r="K5" s="386" t="s">
        <v>1127</v>
      </c>
      <c r="L5" s="386" t="s">
        <v>1128</v>
      </c>
      <c r="M5" s="1210"/>
      <c r="N5" s="1210"/>
    </row>
    <row r="6" spans="1:14" ht="15.75" customHeight="1">
      <c r="A6" s="5"/>
      <c r="B6" s="1210"/>
      <c r="C6" s="389" t="s">
        <v>967</v>
      </c>
      <c r="D6" s="389" t="s">
        <v>967</v>
      </c>
      <c r="E6" s="389" t="s">
        <v>968</v>
      </c>
      <c r="F6" s="389" t="s">
        <v>968</v>
      </c>
      <c r="G6" s="389" t="s">
        <v>969</v>
      </c>
      <c r="H6" s="389" t="s">
        <v>969</v>
      </c>
      <c r="I6" s="389" t="s">
        <v>969</v>
      </c>
      <c r="J6" s="389" t="s">
        <v>970</v>
      </c>
      <c r="K6" s="389" t="s">
        <v>970</v>
      </c>
      <c r="L6" s="389" t="s">
        <v>970</v>
      </c>
      <c r="M6" s="1210"/>
      <c r="N6" s="1210"/>
    </row>
    <row r="7" spans="1:14" ht="15.75" customHeight="1">
      <c r="A7" s="1210"/>
      <c r="B7" s="1210"/>
      <c r="C7" s="1210"/>
      <c r="D7" s="1210"/>
      <c r="E7" s="1210"/>
      <c r="F7" s="1210"/>
      <c r="G7" s="1210"/>
      <c r="H7" s="1210"/>
      <c r="I7" s="1210"/>
      <c r="J7" s="1210"/>
      <c r="K7" s="1210"/>
      <c r="L7" s="1210"/>
      <c r="M7" s="1210"/>
      <c r="N7" s="1210"/>
    </row>
    <row r="8" spans="1:14" ht="21.95" customHeight="1">
      <c r="A8" s="1492" t="s">
        <v>1129</v>
      </c>
      <c r="B8" s="1493"/>
      <c r="C8" s="1493"/>
      <c r="D8" s="1493"/>
      <c r="E8" s="1493"/>
      <c r="F8" s="1493"/>
      <c r="G8" s="1493"/>
      <c r="H8" s="1493"/>
      <c r="I8" s="1493"/>
      <c r="J8" s="1493"/>
      <c r="K8" s="1493"/>
      <c r="L8" s="1493"/>
      <c r="M8" s="1210"/>
      <c r="N8" s="1210"/>
    </row>
    <row r="9" spans="1:14" ht="15.75" customHeight="1">
      <c r="A9" s="18" t="s">
        <v>1130</v>
      </c>
      <c r="B9" s="403" t="s">
        <v>741</v>
      </c>
      <c r="C9" s="390">
        <f>Members!C9</f>
        <v>0.7</v>
      </c>
      <c r="D9" s="390">
        <f>Members!D9</f>
        <v>1.3</v>
      </c>
      <c r="E9" s="390">
        <f>Members!E9</f>
        <v>2.5</v>
      </c>
      <c r="F9" s="390">
        <f>Members!F9</f>
        <v>3.7224999999999997</v>
      </c>
      <c r="G9" s="390">
        <f>Members!G9</f>
        <v>5.1072699999999989</v>
      </c>
      <c r="H9" s="390">
        <f>Members!H9</f>
        <v>6.4045165799999983</v>
      </c>
      <c r="I9" s="390">
        <f>Members!I9</f>
        <v>7.5957566638799978</v>
      </c>
      <c r="J9" s="390">
        <f>Members!J9</f>
        <v>8.6363753268315584</v>
      </c>
      <c r="K9" s="390">
        <f>Members!K9</f>
        <v>9.5691038621293671</v>
      </c>
      <c r="L9" s="390">
        <f>Members!L9</f>
        <v>10.315493963375458</v>
      </c>
      <c r="M9" s="1210"/>
      <c r="N9" s="1210"/>
    </row>
    <row r="10" spans="1:14" ht="15.75" customHeight="1">
      <c r="A10" s="396" t="s">
        <v>1131</v>
      </c>
      <c r="B10" s="404" t="s">
        <v>741</v>
      </c>
      <c r="C10" s="398">
        <f>Members!C31</f>
        <v>0.6</v>
      </c>
      <c r="D10" s="398">
        <f>Members!D31</f>
        <v>1.3559999999999999</v>
      </c>
      <c r="E10" s="398">
        <f>Members!E31</f>
        <v>1.6580999999999997</v>
      </c>
      <c r="F10" s="398">
        <f>Members!F31</f>
        <v>2.0290103999999989</v>
      </c>
      <c r="G10" s="398">
        <f>Members!G31</f>
        <v>2.151819559999999</v>
      </c>
      <c r="H10" s="398">
        <f>Members!H31</f>
        <v>2.222442872839999</v>
      </c>
      <c r="I10" s="398">
        <f>Members!I31</f>
        <v>2.2247063276051602</v>
      </c>
      <c r="J10" s="398">
        <f>Members!J31</f>
        <v>2.2435693705025677</v>
      </c>
      <c r="K10" s="398">
        <f>Members!K31</f>
        <v>2.1710976298178322</v>
      </c>
      <c r="L10" s="398">
        <f>Members!L31</f>
        <v>2.1160827056957494</v>
      </c>
      <c r="M10" s="1210"/>
      <c r="N10" s="1210"/>
    </row>
    <row r="11" spans="1:14" ht="15.75" customHeight="1">
      <c r="A11" s="18" t="s">
        <v>1132</v>
      </c>
      <c r="B11" s="403" t="s">
        <v>741</v>
      </c>
      <c r="C11" s="390">
        <f>Members!C23</f>
        <v>0.13850000000000001</v>
      </c>
      <c r="D11" s="390">
        <f>Members!D23</f>
        <v>0.156</v>
      </c>
      <c r="E11" s="390">
        <f>Members!E23</f>
        <v>0.43559999999999999</v>
      </c>
      <c r="F11" s="390">
        <f>Members!F23</f>
        <v>0.64424039999999994</v>
      </c>
      <c r="G11" s="390">
        <f>Members!G23</f>
        <v>0.8545729799999997</v>
      </c>
      <c r="H11" s="390">
        <f>Members!H23</f>
        <v>1.0312027889599995</v>
      </c>
      <c r="I11" s="390">
        <f>Members!I23</f>
        <v>1.1840876646535996</v>
      </c>
      <c r="J11" s="390">
        <f>Members!J23</f>
        <v>1.3108408352047589</v>
      </c>
      <c r="K11" s="390">
        <f>Members!K23</f>
        <v>1.4247075285717414</v>
      </c>
      <c r="L11" s="390">
        <f>Members!L23</f>
        <v>1.5074685618565979</v>
      </c>
      <c r="M11" s="1210"/>
      <c r="N11" s="1210"/>
    </row>
    <row r="12" spans="1:14" ht="15.75" customHeight="1">
      <c r="A12" s="396" t="s">
        <v>992</v>
      </c>
      <c r="B12" s="404" t="s">
        <v>741</v>
      </c>
      <c r="C12" s="398">
        <f>Members!C34</f>
        <v>1.1615</v>
      </c>
      <c r="D12" s="398">
        <f>Members!D34</f>
        <v>2.5</v>
      </c>
      <c r="E12" s="398">
        <f>Members!E34</f>
        <v>3.7224999999999997</v>
      </c>
      <c r="F12" s="398">
        <f>Members!F34</f>
        <v>5.1072699999999989</v>
      </c>
      <c r="G12" s="398">
        <f>Members!G34</f>
        <v>6.4045165799999983</v>
      </c>
      <c r="H12" s="398">
        <f>Members!H34</f>
        <v>7.5957566638799978</v>
      </c>
      <c r="I12" s="398">
        <f>Members!I34</f>
        <v>8.6363753268315584</v>
      </c>
      <c r="J12" s="398">
        <f>Members!J34</f>
        <v>9.5691038621293671</v>
      </c>
      <c r="K12" s="398">
        <f>Members!K34</f>
        <v>10.315493963375458</v>
      </c>
      <c r="L12" s="398">
        <f>Members!L34</f>
        <v>10.924108107214609</v>
      </c>
      <c r="M12" s="1210"/>
      <c r="N12" s="1210"/>
    </row>
    <row r="13" spans="1:14" ht="15.75" customHeight="1">
      <c r="A13" s="18" t="s">
        <v>1133</v>
      </c>
      <c r="B13" s="403" t="s">
        <v>741</v>
      </c>
      <c r="C13" s="390">
        <f>Members!C35</f>
        <v>0.93074999999999997</v>
      </c>
      <c r="D13" s="390">
        <f>Members!D35</f>
        <v>1.9</v>
      </c>
      <c r="E13" s="390">
        <f>Members!E35</f>
        <v>3.1112500000000001</v>
      </c>
      <c r="F13" s="390">
        <f>Members!F35</f>
        <v>4.4148849999999991</v>
      </c>
      <c r="G13" s="390">
        <f>Members!G35</f>
        <v>5.7558932899999986</v>
      </c>
      <c r="H13" s="390">
        <f>Members!H35</f>
        <v>7.0001366219399976</v>
      </c>
      <c r="I13" s="390">
        <f>Members!I35</f>
        <v>8.116065995355779</v>
      </c>
      <c r="J13" s="390">
        <f>Members!J35</f>
        <v>9.1027395944804628</v>
      </c>
      <c r="K13" s="390">
        <f>Members!K35</f>
        <v>9.9422989127524133</v>
      </c>
      <c r="L13" s="390">
        <f>Members!L35</f>
        <v>10.619801035295033</v>
      </c>
      <c r="M13" s="1210"/>
      <c r="N13" s="1210"/>
    </row>
    <row r="14" spans="1:14" ht="15.75" customHeight="1">
      <c r="A14" s="396" t="s">
        <v>1134</v>
      </c>
      <c r="B14" s="404" t="s">
        <v>746</v>
      </c>
      <c r="C14" s="399">
        <f>IFERROR(Members!C23/Members!C9, 0)</f>
        <v>0.1978571428571429</v>
      </c>
      <c r="D14" s="399">
        <f>IFERROR(Members!D23/Members!D9, 0)</f>
        <v>0.12</v>
      </c>
      <c r="E14" s="399">
        <f>IFERROR(Members!E23/Members!E9, 0)</f>
        <v>0.17424000000000001</v>
      </c>
      <c r="F14" s="399">
        <f>IFERROR(Members!F23/Members!F9, 0)</f>
        <v>0.17306659503022162</v>
      </c>
      <c r="G14" s="399">
        <f>IFERROR(Members!G23/Members!G9, 0)</f>
        <v>0.16732480953621012</v>
      </c>
      <c r="H14" s="399">
        <f>IFERROR(Members!H23/Members!H9, 0)</f>
        <v>0.16101180722683051</v>
      </c>
      <c r="I14" s="399">
        <f>IFERROR(Members!I23/Members!I9, 0)</f>
        <v>0.15588804605659318</v>
      </c>
      <c r="J14" s="399">
        <f>IFERROR(Members!J23/Members!J9, 0)</f>
        <v>0.15178136493584621</v>
      </c>
      <c r="K14" s="399">
        <f>IFERROR(Members!K23/Members!K9, 0)</f>
        <v>0.14888620179055179</v>
      </c>
      <c r="L14" s="399">
        <f>IFERROR(Members!L23/Members!L9, 0)</f>
        <v>0.14613634278773024</v>
      </c>
      <c r="M14" s="1210"/>
      <c r="N14" s="1210"/>
    </row>
    <row r="15" spans="1:14" ht="15.75" customHeight="1">
      <c r="A15" s="3"/>
      <c r="B15" s="309"/>
      <c r="C15" s="3"/>
      <c r="D15" s="3"/>
      <c r="E15" s="3"/>
      <c r="F15" s="3"/>
      <c r="G15" s="3"/>
      <c r="H15" s="3"/>
      <c r="I15" s="3"/>
      <c r="J15" s="3"/>
      <c r="K15" s="3"/>
      <c r="L15" s="3"/>
      <c r="M15" s="1210"/>
      <c r="N15" s="1210"/>
    </row>
    <row r="16" spans="1:14" ht="21.95" customHeight="1">
      <c r="A16" s="1492" t="s">
        <v>1135</v>
      </c>
      <c r="B16" s="1493"/>
      <c r="C16" s="1493"/>
      <c r="D16" s="1493"/>
      <c r="E16" s="1493"/>
      <c r="F16" s="1493"/>
      <c r="G16" s="1493"/>
      <c r="H16" s="1493"/>
      <c r="I16" s="1493"/>
      <c r="J16" s="1493"/>
      <c r="K16" s="1493"/>
      <c r="L16" s="1493"/>
      <c r="M16" s="1210"/>
      <c r="N16" s="1210"/>
    </row>
    <row r="17" spans="1:12" ht="15.75" customHeight="1">
      <c r="A17" s="18" t="s">
        <v>1136</v>
      </c>
      <c r="B17" s="403" t="s">
        <v>1044</v>
      </c>
      <c r="C17" s="72">
        <f>ARPU!C10</f>
        <v>0</v>
      </c>
      <c r="D17" s="72">
        <f>ARPU!D10</f>
        <v>274</v>
      </c>
      <c r="E17" s="72">
        <f>ARPU!E10</f>
        <v>282.22000000000003</v>
      </c>
      <c r="F17" s="72">
        <f>ARPU!F10</f>
        <v>290.68660000000006</v>
      </c>
      <c r="G17" s="72">
        <f>ARPU!G10</f>
        <v>299.40719800000005</v>
      </c>
      <c r="H17" s="72">
        <f>ARPU!H10</f>
        <v>308.38941394000005</v>
      </c>
      <c r="I17" s="72">
        <f>ARPU!I10</f>
        <v>317.64109635820006</v>
      </c>
      <c r="J17" s="72">
        <f>ARPU!J10</f>
        <v>327.17032924894608</v>
      </c>
      <c r="K17" s="72">
        <f>ARPU!K10</f>
        <v>336.98543912641446</v>
      </c>
      <c r="L17" s="72">
        <f>ARPU!L10</f>
        <v>347.09500230020689</v>
      </c>
    </row>
    <row r="18" spans="1:12" ht="15.75" customHeight="1">
      <c r="A18" s="3"/>
      <c r="B18" s="309"/>
      <c r="C18" s="11"/>
      <c r="D18" s="12"/>
      <c r="E18" s="11"/>
      <c r="F18" s="11"/>
      <c r="G18" s="11"/>
      <c r="H18" s="11"/>
      <c r="I18" s="11"/>
      <c r="J18" s="11"/>
      <c r="K18" s="11"/>
      <c r="L18" s="11"/>
    </row>
    <row r="19" spans="1:12" ht="21.95" customHeight="1">
      <c r="A19" s="1492" t="s">
        <v>1137</v>
      </c>
      <c r="B19" s="1493"/>
      <c r="C19" s="1493"/>
      <c r="D19" s="1493"/>
      <c r="E19" s="1493"/>
      <c r="F19" s="1493"/>
      <c r="G19" s="1493"/>
      <c r="H19" s="1493"/>
      <c r="I19" s="1493"/>
      <c r="J19" s="1493"/>
      <c r="K19" s="1493"/>
      <c r="L19" s="1493"/>
    </row>
    <row r="20" spans="1:12" ht="15.75" customHeight="1" thickBot="1">
      <c r="A20" s="449" t="s">
        <v>1138</v>
      </c>
      <c r="B20" s="455" t="s">
        <v>733</v>
      </c>
      <c r="C20" s="450">
        <f t="shared" ref="C20:L20" si="0">C13*C17</f>
        <v>0</v>
      </c>
      <c r="D20" s="450">
        <f t="shared" si="0"/>
        <v>520.6</v>
      </c>
      <c r="E20" s="450">
        <f t="shared" si="0"/>
        <v>878.05697500000008</v>
      </c>
      <c r="F20" s="450">
        <f t="shared" si="0"/>
        <v>1283.347910041</v>
      </c>
      <c r="G20" s="450">
        <f t="shared" si="0"/>
        <v>1723.3558819459013</v>
      </c>
      <c r="H20" s="450">
        <f t="shared" si="0"/>
        <v>2158.7680303400075</v>
      </c>
      <c r="I20" s="450">
        <f t="shared" si="0"/>
        <v>2577.9961008803157</v>
      </c>
      <c r="J20" s="450">
        <f t="shared" si="0"/>
        <v>2978.146310193591</v>
      </c>
      <c r="K20" s="450">
        <f t="shared" si="0"/>
        <v>3350.4099650399448</v>
      </c>
      <c r="L20" s="450">
        <f t="shared" si="0"/>
        <v>3686.0798647734691</v>
      </c>
    </row>
    <row r="21" spans="1:12" ht="24" customHeight="1" thickTop="1">
      <c r="A21" s="402" t="s">
        <v>1139</v>
      </c>
      <c r="B21" s="456" t="s">
        <v>733</v>
      </c>
      <c r="C21" s="451">
        <f>C20*Assumptions!$F$27</f>
        <v>0</v>
      </c>
      <c r="D21" s="451">
        <f>D20*Assumptions!$F$27</f>
        <v>-41.648000000000003</v>
      </c>
      <c r="E21" s="451">
        <f>E20*Assumptions!$F$27</f>
        <v>-70.244558000000012</v>
      </c>
      <c r="F21" s="451">
        <f>F20*Assumptions!$F$27</f>
        <v>-102.66783280328001</v>
      </c>
      <c r="G21" s="451">
        <f>G20*Assumptions!$F$27</f>
        <v>-137.8684705556721</v>
      </c>
      <c r="H21" s="451">
        <f>H20*Assumptions!$F$27</f>
        <v>-172.70144242720059</v>
      </c>
      <c r="I21" s="451">
        <f>I20*Assumptions!$F$27</f>
        <v>-206.23968807042525</v>
      </c>
      <c r="J21" s="451">
        <f>J20*Assumptions!$F$27</f>
        <v>-238.2517048154873</v>
      </c>
      <c r="K21" s="451">
        <f>K20*Assumptions!$F$27</f>
        <v>-268.03279720319557</v>
      </c>
      <c r="L21" s="451">
        <f>L20*Assumptions!$F$27</f>
        <v>-294.88638918187752</v>
      </c>
    </row>
    <row r="22" spans="1:12" ht="15.75" customHeight="1">
      <c r="A22" s="396" t="s">
        <v>1140</v>
      </c>
      <c r="B22" s="404" t="s">
        <v>746</v>
      </c>
      <c r="C22" s="400"/>
      <c r="D22" s="400">
        <f>IFERROR(D20/C20-1,0)</f>
        <v>0</v>
      </c>
      <c r="E22" s="400">
        <f t="shared" ref="E22:L22" si="1">E20/D20-1</f>
        <v>0.68662500000000004</v>
      </c>
      <c r="F22" s="400">
        <f t="shared" si="1"/>
        <v>0.46157703495379665</v>
      </c>
      <c r="G22" s="400">
        <f t="shared" si="1"/>
        <v>0.34285946037099491</v>
      </c>
      <c r="H22" s="400">
        <f t="shared" si="1"/>
        <v>0.25265364685004421</v>
      </c>
      <c r="I22" s="400">
        <f t="shared" si="1"/>
        <v>0.19419783165599291</v>
      </c>
      <c r="J22" s="400">
        <f t="shared" si="1"/>
        <v>0.1552175386055219</v>
      </c>
      <c r="K22" s="400">
        <f t="shared" si="1"/>
        <v>0.12499844402277049</v>
      </c>
      <c r="L22" s="400">
        <f t="shared" si="1"/>
        <v>0.10018770933589982</v>
      </c>
    </row>
    <row r="23" spans="1:12" ht="15.75" customHeight="1">
      <c r="A23" s="18"/>
      <c r="B23" s="403"/>
      <c r="C23" s="13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21.95" customHeight="1">
      <c r="A24" s="1492" t="s">
        <v>1141</v>
      </c>
      <c r="B24" s="1493"/>
      <c r="C24" s="1493"/>
      <c r="D24" s="1493"/>
      <c r="E24" s="1493"/>
      <c r="F24" s="1493"/>
      <c r="G24" s="1493"/>
      <c r="H24" s="1493"/>
      <c r="I24" s="1493"/>
      <c r="J24" s="1493"/>
      <c r="K24" s="1493"/>
      <c r="L24" s="1493"/>
    </row>
    <row r="25" spans="1:12" ht="15.75" customHeight="1">
      <c r="A25" s="18" t="s">
        <v>1142</v>
      </c>
      <c r="B25" s="403" t="s">
        <v>733</v>
      </c>
      <c r="C25" s="53">
        <f t="shared" ref="C25:L25" si="2">C12*C17</f>
        <v>0</v>
      </c>
      <c r="D25" s="53">
        <f t="shared" si="2"/>
        <v>685</v>
      </c>
      <c r="E25" s="53">
        <f t="shared" si="2"/>
        <v>1050.56395</v>
      </c>
      <c r="F25" s="53">
        <f t="shared" si="2"/>
        <v>1484.614951582</v>
      </c>
      <c r="G25" s="53">
        <f t="shared" si="2"/>
        <v>1917.5583637623427</v>
      </c>
      <c r="H25" s="53">
        <f t="shared" si="2"/>
        <v>2342.4509460048025</v>
      </c>
      <c r="I25" s="53">
        <f t="shared" si="2"/>
        <v>2743.2677273756844</v>
      </c>
      <c r="J25" s="53">
        <f t="shared" si="2"/>
        <v>3130.7268611902264</v>
      </c>
      <c r="K25" s="53">
        <f t="shared" si="2"/>
        <v>3476.171263053956</v>
      </c>
      <c r="L25" s="53">
        <f t="shared" si="2"/>
        <v>3791.7033286013634</v>
      </c>
    </row>
    <row r="26" spans="1:12" ht="15.75" customHeight="1">
      <c r="A26" s="396" t="s">
        <v>1143</v>
      </c>
      <c r="B26" s="404" t="s">
        <v>334</v>
      </c>
      <c r="C26" s="454">
        <f t="shared" ref="C26:L26" si="3">IFERROR(C25/C20, 0)</f>
        <v>0</v>
      </c>
      <c r="D26" s="454">
        <f t="shared" si="3"/>
        <v>1.3157894736842104</v>
      </c>
      <c r="E26" s="454">
        <f t="shared" si="3"/>
        <v>1.196464443551627</v>
      </c>
      <c r="F26" s="454">
        <f t="shared" si="3"/>
        <v>1.1568296795952782</v>
      </c>
      <c r="G26" s="454">
        <f t="shared" si="3"/>
        <v>1.1126885536823425</v>
      </c>
      <c r="H26" s="454">
        <f t="shared" si="3"/>
        <v>1.0850869167429096</v>
      </c>
      <c r="I26" s="454">
        <f t="shared" si="3"/>
        <v>1.0641085634066447</v>
      </c>
      <c r="J26" s="454">
        <f t="shared" si="3"/>
        <v>1.05123339658444</v>
      </c>
      <c r="K26" s="454">
        <f t="shared" si="3"/>
        <v>1.0375360923965351</v>
      </c>
      <c r="L26" s="454">
        <f t="shared" si="3"/>
        <v>1.0286546867411364</v>
      </c>
    </row>
    <row r="27" spans="1:12" ht="15.75" customHeight="1">
      <c r="A27" s="18" t="s">
        <v>1144</v>
      </c>
      <c r="B27" s="403" t="s">
        <v>746</v>
      </c>
      <c r="C27" s="452"/>
      <c r="D27" s="453">
        <f>D20/Assumptions!$F$12-1</f>
        <v>0</v>
      </c>
      <c r="E27" s="452"/>
      <c r="F27" s="452"/>
      <c r="G27" s="452"/>
      <c r="H27" s="452"/>
      <c r="I27" s="452"/>
      <c r="J27" s="452"/>
      <c r="K27" s="452"/>
      <c r="L27" s="452"/>
    </row>
    <row r="28" spans="1:12" ht="15.75" customHeight="1">
      <c r="A28" s="18"/>
      <c r="B28" s="69"/>
      <c r="C28" s="3"/>
      <c r="D28" s="19"/>
      <c r="E28" s="3"/>
      <c r="F28" s="3"/>
      <c r="G28" s="3"/>
      <c r="H28" s="3"/>
      <c r="I28" s="3"/>
      <c r="J28" s="3"/>
      <c r="K28" s="3"/>
      <c r="L28" s="3"/>
    </row>
    <row r="29" spans="1:12" ht="15.75" customHeight="1">
      <c r="A29" s="1210"/>
      <c r="B29" s="1210"/>
      <c r="C29" s="1210"/>
      <c r="D29" s="1210"/>
      <c r="E29" s="1210"/>
      <c r="F29" s="1210"/>
      <c r="G29" s="1210"/>
      <c r="H29" s="1210"/>
      <c r="I29" s="1210"/>
      <c r="J29" s="1210"/>
      <c r="K29" s="1210"/>
      <c r="L29" s="1210"/>
    </row>
    <row r="30" spans="1:12" ht="15.75" customHeight="1">
      <c r="A30" s="1210"/>
      <c r="B30" s="1210"/>
      <c r="C30" s="1210"/>
      <c r="D30" s="1210"/>
      <c r="E30" s="1210"/>
      <c r="F30" s="1210"/>
      <c r="G30" s="1210"/>
      <c r="H30" s="1210"/>
      <c r="I30" s="1210"/>
      <c r="J30" s="1210"/>
      <c r="K30" s="1210"/>
      <c r="L30" s="1210"/>
    </row>
    <row r="31" spans="1:12" ht="15.75" customHeight="1">
      <c r="A31" s="1210"/>
      <c r="B31" s="1210"/>
      <c r="C31" s="1210"/>
      <c r="D31" s="1210"/>
      <c r="E31" s="1210"/>
      <c r="F31" s="1210"/>
      <c r="G31" s="1210"/>
      <c r="H31" s="1210"/>
      <c r="I31" s="1210"/>
      <c r="J31" s="1210"/>
      <c r="K31" s="1210"/>
      <c r="L31" s="1210"/>
    </row>
    <row r="32" spans="1:12" ht="15.75" customHeight="1">
      <c r="A32" s="1210"/>
      <c r="B32" s="1210"/>
      <c r="C32" s="1210"/>
      <c r="D32" s="1210"/>
      <c r="E32" s="1210"/>
      <c r="F32" s="1210"/>
      <c r="G32" s="1210"/>
      <c r="H32" s="1210"/>
      <c r="I32" s="1210"/>
      <c r="J32" s="1210"/>
      <c r="K32" s="1210"/>
      <c r="L32" s="121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</sheetData>
  <mergeCells count="6">
    <mergeCell ref="A16:L16"/>
    <mergeCell ref="A8:L8"/>
    <mergeCell ref="A19:L19"/>
    <mergeCell ref="A24:L24"/>
    <mergeCell ref="A1:L1"/>
    <mergeCell ref="A2:L2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N51"/>
  <sheetViews>
    <sheetView showGridLines="0" topLeftCell="A21" zoomScale="125" workbookViewId="0">
      <selection activeCell="D42" sqref="D42:K42"/>
    </sheetView>
  </sheetViews>
  <sheetFormatPr defaultColWidth="8.85546875" defaultRowHeight="15"/>
  <cols>
    <col min="1" max="1" width="53.28515625" customWidth="1"/>
    <col min="2" max="2" width="8.28515625" customWidth="1"/>
    <col min="3" max="12" width="12.42578125" customWidth="1"/>
    <col min="13" max="14" width="33.28515625" customWidth="1"/>
  </cols>
  <sheetData>
    <row r="1" spans="1:14" ht="27.95" customHeight="1">
      <c r="A1" s="1524" t="s">
        <v>1145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206"/>
      <c r="N1" s="1206"/>
    </row>
    <row r="2" spans="1:14" ht="15.75" customHeight="1">
      <c r="A2" s="1525" t="s">
        <v>1146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5"/>
      <c r="N2" s="5"/>
    </row>
    <row r="3" spans="1:14" ht="15.75" customHeight="1">
      <c r="A3" s="1467" t="s">
        <v>1147</v>
      </c>
      <c r="B3" s="1528"/>
      <c r="C3" s="1528"/>
      <c r="D3" s="1528"/>
      <c r="E3" s="1528"/>
      <c r="F3" s="1528"/>
      <c r="G3" s="1528"/>
      <c r="H3" s="1528"/>
      <c r="I3" s="1528"/>
      <c r="J3" s="1528"/>
      <c r="K3" s="1528"/>
      <c r="L3" s="1528"/>
      <c r="M3" s="1210"/>
      <c r="N3" s="1210"/>
    </row>
    <row r="4" spans="1:14" ht="15.75" customHeight="1">
      <c r="A4" s="1210"/>
      <c r="B4" s="1210"/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 ht="21.95" customHeight="1">
      <c r="A5" s="307"/>
      <c r="B5" s="307" t="s">
        <v>966</v>
      </c>
      <c r="C5" s="307" t="s">
        <v>1119</v>
      </c>
      <c r="D5" s="307" t="s">
        <v>1120</v>
      </c>
      <c r="E5" s="307" t="s">
        <v>1121</v>
      </c>
      <c r="F5" s="307" t="s">
        <v>1122</v>
      </c>
      <c r="G5" s="307" t="s">
        <v>1123</v>
      </c>
      <c r="H5" s="307" t="s">
        <v>1124</v>
      </c>
      <c r="I5" s="307" t="s">
        <v>1125</v>
      </c>
      <c r="J5" s="307" t="s">
        <v>1126</v>
      </c>
      <c r="K5" s="307" t="s">
        <v>1127</v>
      </c>
      <c r="L5" s="307" t="s">
        <v>1128</v>
      </c>
      <c r="M5" s="1210"/>
      <c r="N5" s="1210"/>
    </row>
    <row r="6" spans="1:14" ht="15.75" customHeight="1">
      <c r="A6" s="1210"/>
      <c r="B6" s="1210"/>
      <c r="C6" s="1210"/>
      <c r="D6" s="1210"/>
      <c r="E6" s="1210"/>
      <c r="F6" s="1210"/>
      <c r="G6" s="1210"/>
      <c r="H6" s="1210"/>
      <c r="I6" s="1210"/>
      <c r="J6" s="1210"/>
      <c r="K6" s="1210"/>
      <c r="L6" s="1210"/>
      <c r="M6" s="1210"/>
      <c r="N6" s="1210"/>
    </row>
    <row r="7" spans="1:14" ht="21.95" customHeight="1">
      <c r="A7" s="1469" t="s">
        <v>1148</v>
      </c>
      <c r="B7" s="1529"/>
      <c r="C7" s="1529"/>
      <c r="D7" s="1529"/>
      <c r="E7" s="1529"/>
      <c r="F7" s="1529"/>
      <c r="G7" s="1529"/>
      <c r="H7" s="1529"/>
      <c r="I7" s="1529"/>
      <c r="J7" s="1529"/>
      <c r="K7" s="1529"/>
      <c r="L7" s="1529"/>
      <c r="M7" s="1210"/>
      <c r="N7" s="1210"/>
    </row>
    <row r="8" spans="1:14" ht="15.75" customHeight="1">
      <c r="A8" s="457" t="s">
        <v>1149</v>
      </c>
      <c r="B8" s="478" t="s">
        <v>733</v>
      </c>
      <c r="C8" s="458">
        <f>'Revenue Build'!C20</f>
        <v>0</v>
      </c>
      <c r="D8" s="458">
        <f>'Revenue Build'!D20</f>
        <v>520.6</v>
      </c>
      <c r="E8" s="458">
        <f>'Revenue Build'!E20</f>
        <v>878.05697500000008</v>
      </c>
      <c r="F8" s="458">
        <f>'Revenue Build'!F20</f>
        <v>1283.347910041</v>
      </c>
      <c r="G8" s="458">
        <f>'Revenue Build'!G20</f>
        <v>1723.3558819459013</v>
      </c>
      <c r="H8" s="458">
        <f>'Revenue Build'!H20</f>
        <v>2158.7680303400075</v>
      </c>
      <c r="I8" s="458">
        <f>'Revenue Build'!I20</f>
        <v>2577.9961008803157</v>
      </c>
      <c r="J8" s="458">
        <f>'Revenue Build'!J20</f>
        <v>2978.146310193591</v>
      </c>
      <c r="K8" s="458">
        <f>'Revenue Build'!K20</f>
        <v>3350.4099650399448</v>
      </c>
      <c r="L8" s="458">
        <f>'Revenue Build'!L20</f>
        <v>3686.0798647734691</v>
      </c>
      <c r="M8" s="1199" t="s">
        <v>1150</v>
      </c>
      <c r="N8" s="1210"/>
    </row>
    <row r="9" spans="1:14" ht="15.75" customHeight="1">
      <c r="A9" s="459" t="s">
        <v>1151</v>
      </c>
      <c r="B9" s="459" t="s">
        <v>746</v>
      </c>
      <c r="C9" s="460"/>
      <c r="D9" s="460">
        <f>IFERROR(D8/C8-1,0)</f>
        <v>0</v>
      </c>
      <c r="E9" s="460">
        <f t="shared" ref="E9:L9" si="0">E8/D8-1</f>
        <v>0.68662500000000004</v>
      </c>
      <c r="F9" s="460">
        <f t="shared" si="0"/>
        <v>0.46157703495379665</v>
      </c>
      <c r="G9" s="460">
        <f t="shared" si="0"/>
        <v>0.34285946037099491</v>
      </c>
      <c r="H9" s="460">
        <f t="shared" si="0"/>
        <v>0.25265364685004421</v>
      </c>
      <c r="I9" s="460">
        <f t="shared" si="0"/>
        <v>0.19419783165599291</v>
      </c>
      <c r="J9" s="460">
        <f t="shared" si="0"/>
        <v>0.1552175386055219</v>
      </c>
      <c r="K9" s="460">
        <f t="shared" si="0"/>
        <v>0.12499844402277049</v>
      </c>
      <c r="L9" s="460">
        <f t="shared" si="0"/>
        <v>0.10018770933589982</v>
      </c>
      <c r="M9" s="1195"/>
      <c r="N9" s="1210"/>
    </row>
    <row r="10" spans="1:14" ht="15.75" customHeight="1">
      <c r="A10" s="1194"/>
      <c r="B10" s="1194"/>
      <c r="C10" s="1194"/>
      <c r="D10" s="1194"/>
      <c r="E10" s="1194"/>
      <c r="F10" s="1194"/>
      <c r="G10" s="1194"/>
      <c r="H10" s="1194"/>
      <c r="I10" s="1194"/>
      <c r="J10" s="1194"/>
      <c r="K10" s="1194"/>
      <c r="L10" s="1194"/>
      <c r="M10" s="1195"/>
      <c r="N10" s="1210"/>
    </row>
    <row r="11" spans="1:14" ht="21.95" customHeight="1">
      <c r="A11" s="1469" t="s">
        <v>1152</v>
      </c>
      <c r="B11" s="1526"/>
      <c r="C11" s="1526"/>
      <c r="D11" s="1526"/>
      <c r="E11" s="1526"/>
      <c r="F11" s="1526"/>
      <c r="G11" s="1526"/>
      <c r="H11" s="1526"/>
      <c r="I11" s="1526"/>
      <c r="J11" s="1526"/>
      <c r="K11" s="1526"/>
      <c r="L11" s="1526"/>
      <c r="M11" s="1195"/>
      <c r="N11" s="1210"/>
    </row>
    <row r="12" spans="1:14" ht="15.75" customHeight="1">
      <c r="A12" s="1" t="s">
        <v>1153</v>
      </c>
      <c r="B12" s="309" t="s">
        <v>733</v>
      </c>
      <c r="C12" s="38"/>
      <c r="D12" s="40">
        <f>D8*0.4</f>
        <v>208.24</v>
      </c>
      <c r="E12" s="38">
        <f>E8*(Assumptions!$F$150 + (Assumptions!$F$151-Assumptions!$F$150)*(E$5-2026)/7)</f>
        <v>219.51424375000002</v>
      </c>
      <c r="F12" s="38">
        <f>F8*(Assumptions!$F$150 + (Assumptions!$F$151-Assumptions!$F$150)*(F$5-2026)/7)</f>
        <v>311.67020672424286</v>
      </c>
      <c r="G12" s="38">
        <f>G8*(Assumptions!$F$150 + (Assumptions!$F$151-Assumptions!$F$150)*(G$5-2026)/7)</f>
        <v>406.21960074439102</v>
      </c>
      <c r="H12" s="38">
        <f>H8*(Assumptions!$F$150 + (Assumptions!$F$151-Assumptions!$F$150)*(H$5-2026)/7)</f>
        <v>493.43269264914454</v>
      </c>
      <c r="I12" s="38">
        <f>I8*(Assumptions!$F$150 + (Assumptions!$F$151-Assumptions!$F$150)*(I$5-2026)/7)</f>
        <v>570.8419937663557</v>
      </c>
      <c r="J12" s="38">
        <f>J8*(Assumptions!$F$150 + (Assumptions!$F$151-Assumptions!$F$150)*(J$5-2026)/7)</f>
        <v>638.17420932719813</v>
      </c>
      <c r="K12" s="38">
        <f>K8*(Assumptions!$F$150 + (Assumptions!$F$151-Assumptions!$F$150)*(K$5-2026)/7)</f>
        <v>694.01349275827431</v>
      </c>
      <c r="L12" s="38">
        <f>L8*(Assumptions!$F$150 + (Assumptions!$F$151-Assumptions!$F$150)*(L$5-2026)/7)</f>
        <v>737.21597295469383</v>
      </c>
      <c r="M12" s="1195"/>
      <c r="N12" s="1210"/>
    </row>
    <row r="13" spans="1:14" ht="15.75" customHeight="1">
      <c r="A13" s="1199" t="s">
        <v>1154</v>
      </c>
      <c r="B13" s="1199" t="s">
        <v>733</v>
      </c>
      <c r="C13" s="461"/>
      <c r="D13" s="461">
        <f>Members!D31 * Assumptions!$F$31</f>
        <v>162.71999999999997</v>
      </c>
      <c r="E13" s="461">
        <f>Members!E31 * Assumptions!$F$31</f>
        <v>198.97199999999995</v>
      </c>
      <c r="F13" s="461">
        <f>Members!F31 * Assumptions!$F$31</f>
        <v>243.48124799999988</v>
      </c>
      <c r="G13" s="461">
        <f>Members!G31 * Assumptions!$F$31</f>
        <v>258.21834719999987</v>
      </c>
      <c r="H13" s="461">
        <f>Members!H31 * Assumptions!$F$31</f>
        <v>266.69314474079988</v>
      </c>
      <c r="I13" s="461">
        <f>Members!I31 * Assumptions!$F$31</f>
        <v>266.96475931261921</v>
      </c>
      <c r="J13" s="461">
        <f>Members!J31 * Assumptions!$F$31</f>
        <v>269.2283244603081</v>
      </c>
      <c r="K13" s="461">
        <f>Members!K31 * Assumptions!$F$31</f>
        <v>260.53171557813988</v>
      </c>
      <c r="L13" s="461">
        <f>Members!L31 * Assumptions!$F$31</f>
        <v>253.92992468348993</v>
      </c>
      <c r="M13" s="1195"/>
      <c r="N13" s="1210"/>
    </row>
    <row r="14" spans="1:14" ht="15.75" customHeight="1" thickBot="1">
      <c r="A14" s="462" t="s">
        <v>1155</v>
      </c>
      <c r="B14" s="479" t="s">
        <v>733</v>
      </c>
      <c r="C14" s="463"/>
      <c r="D14" s="464">
        <f t="shared" ref="D14:L14" si="1">D12</f>
        <v>208.24</v>
      </c>
      <c r="E14" s="464">
        <f t="shared" si="1"/>
        <v>219.51424375000002</v>
      </c>
      <c r="F14" s="464">
        <f t="shared" si="1"/>
        <v>311.67020672424286</v>
      </c>
      <c r="G14" s="464">
        <f t="shared" si="1"/>
        <v>406.21960074439102</v>
      </c>
      <c r="H14" s="464">
        <f t="shared" si="1"/>
        <v>493.43269264914454</v>
      </c>
      <c r="I14" s="464">
        <f t="shared" si="1"/>
        <v>570.8419937663557</v>
      </c>
      <c r="J14" s="464">
        <f t="shared" si="1"/>
        <v>638.17420932719813</v>
      </c>
      <c r="K14" s="464">
        <f t="shared" si="1"/>
        <v>694.01349275827431</v>
      </c>
      <c r="L14" s="464">
        <f t="shared" si="1"/>
        <v>737.21597295469383</v>
      </c>
      <c r="M14" s="1195"/>
      <c r="N14" s="1210"/>
    </row>
    <row r="15" spans="1:14" ht="15.75" customHeight="1">
      <c r="A15" s="465" t="s">
        <v>1156</v>
      </c>
      <c r="B15" s="480" t="s">
        <v>733</v>
      </c>
      <c r="C15" s="466"/>
      <c r="D15" s="466">
        <f t="shared" ref="D15:L15" si="2">D8-D12</f>
        <v>312.36</v>
      </c>
      <c r="E15" s="466">
        <f t="shared" si="2"/>
        <v>658.54273125000009</v>
      </c>
      <c r="F15" s="466">
        <f t="shared" si="2"/>
        <v>971.67770331675706</v>
      </c>
      <c r="G15" s="466">
        <f t="shared" si="2"/>
        <v>1317.1362812015102</v>
      </c>
      <c r="H15" s="466">
        <f t="shared" si="2"/>
        <v>1665.3353376908631</v>
      </c>
      <c r="I15" s="466">
        <f t="shared" si="2"/>
        <v>2007.15410711396</v>
      </c>
      <c r="J15" s="466">
        <f t="shared" si="2"/>
        <v>2339.9721008663928</v>
      </c>
      <c r="K15" s="466">
        <f t="shared" si="2"/>
        <v>2656.3964722816704</v>
      </c>
      <c r="L15" s="466">
        <f t="shared" si="2"/>
        <v>2948.8638918187753</v>
      </c>
      <c r="M15" s="1195"/>
      <c r="N15" s="1210"/>
    </row>
    <row r="16" spans="1:14" ht="15.75" customHeight="1">
      <c r="A16" s="467" t="s">
        <v>1157</v>
      </c>
      <c r="B16" s="459" t="s">
        <v>746</v>
      </c>
      <c r="C16" s="460"/>
      <c r="D16" s="468">
        <f t="shared" ref="D16:L16" si="3">D15/D8</f>
        <v>0.6</v>
      </c>
      <c r="E16" s="468">
        <f t="shared" si="3"/>
        <v>0.75</v>
      </c>
      <c r="F16" s="468">
        <f t="shared" si="3"/>
        <v>0.75714285714285712</v>
      </c>
      <c r="G16" s="468">
        <f t="shared" si="3"/>
        <v>0.76428571428571423</v>
      </c>
      <c r="H16" s="468">
        <f t="shared" si="3"/>
        <v>0.77142857142857146</v>
      </c>
      <c r="I16" s="468">
        <f t="shared" si="3"/>
        <v>0.77857142857142858</v>
      </c>
      <c r="J16" s="468">
        <f t="shared" si="3"/>
        <v>0.7857142857142857</v>
      </c>
      <c r="K16" s="468">
        <f t="shared" si="3"/>
        <v>0.79285714285714282</v>
      </c>
      <c r="L16" s="468">
        <f t="shared" si="3"/>
        <v>0.8</v>
      </c>
      <c r="M16" s="1195"/>
      <c r="N16" s="1210"/>
    </row>
    <row r="17" spans="1:13" ht="15.75" customHeight="1">
      <c r="A17" s="3"/>
      <c r="B17" s="309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1199"/>
    </row>
    <row r="18" spans="1:13" ht="15.75" customHeight="1">
      <c r="A18" s="1194"/>
      <c r="B18" s="309"/>
      <c r="C18" s="41"/>
      <c r="D18" s="42"/>
      <c r="E18" s="1194"/>
      <c r="F18" s="1194"/>
      <c r="G18" s="1194"/>
      <c r="H18" s="1194"/>
      <c r="I18" s="1194"/>
      <c r="J18" s="1194"/>
      <c r="K18" s="1194"/>
      <c r="L18" s="1194"/>
      <c r="M18" s="1199"/>
    </row>
    <row r="19" spans="1:13" ht="15.75" customHeight="1">
      <c r="A19" s="1194"/>
      <c r="B19" s="1194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1195"/>
    </row>
    <row r="20" spans="1:13" ht="21.95" customHeight="1">
      <c r="A20" s="1469" t="s">
        <v>1158</v>
      </c>
      <c r="B20" s="1526"/>
      <c r="C20" s="1526"/>
      <c r="D20" s="1526"/>
      <c r="E20" s="1526"/>
      <c r="F20" s="1526"/>
      <c r="G20" s="1526"/>
      <c r="H20" s="1526"/>
      <c r="I20" s="1526"/>
      <c r="J20" s="1526"/>
      <c r="K20" s="1526"/>
      <c r="L20" s="1526"/>
      <c r="M20" s="1195"/>
    </row>
    <row r="21" spans="1:13" ht="15.75" customHeight="1">
      <c r="A21" s="3" t="s">
        <v>1159</v>
      </c>
      <c r="B21" s="309" t="s">
        <v>733</v>
      </c>
      <c r="C21" s="38"/>
      <c r="D21" s="38">
        <f>D8*Assumptions!$F$38</f>
        <v>114.53200000000001</v>
      </c>
      <c r="E21" s="38">
        <f>E8*(Assumptions!$F$38 + (Assumptions!$F$39-Assumptions!$F$38)*(E$5-2026)/7)</f>
        <v>193.17253450000001</v>
      </c>
      <c r="F21" s="38">
        <f>F8*(Assumptions!$F$38 + (Assumptions!$F$39-Assumptions!$F$38)*(F$5-2026)/7)</f>
        <v>271.33641526581141</v>
      </c>
      <c r="G21" s="38">
        <f>G8*(Assumptions!$F$38 + (Assumptions!$F$39-Assumptions!$F$38)*(G$5-2026)/7)</f>
        <v>349.59505033759712</v>
      </c>
      <c r="H21" s="38">
        <f>H8*(Assumptions!$F$38 + (Assumptions!$F$39-Assumptions!$F$38)*(H$5-2026)/7)</f>
        <v>419.41778875177289</v>
      </c>
      <c r="I21" s="38">
        <f>I8*(Assumptions!$F$38 + (Assumptions!$F$39-Assumptions!$F$38)*(I$5-2026)/7)</f>
        <v>478.7707044492015</v>
      </c>
      <c r="J21" s="38">
        <f>J8*(Assumptions!$F$38 + (Assumptions!$F$39-Assumptions!$F$38)*(J$5-2026)/7)</f>
        <v>527.55734637715045</v>
      </c>
      <c r="K21" s="38">
        <f>K8*(Assumptions!$F$38 + (Assumptions!$F$39-Assumptions!$F$38)*(K$5-2026)/7)</f>
        <v>564.78339410673357</v>
      </c>
      <c r="L21" s="38">
        <f>L8*(Assumptions!$F$38 + (Assumptions!$F$39-Assumptions!$F$38)*(L$5-2026)/7)</f>
        <v>589.77277836375504</v>
      </c>
      <c r="M21" s="1195"/>
    </row>
    <row r="22" spans="1:13" ht="15.75" customHeight="1">
      <c r="A22" s="459" t="s">
        <v>1160</v>
      </c>
      <c r="B22" s="459" t="s">
        <v>746</v>
      </c>
      <c r="C22" s="460"/>
      <c r="D22" s="460">
        <f t="shared" ref="D22:L22" si="4">D21/D8</f>
        <v>0.22</v>
      </c>
      <c r="E22" s="460">
        <f t="shared" si="4"/>
        <v>0.22</v>
      </c>
      <c r="F22" s="460">
        <f t="shared" si="4"/>
        <v>0.21142857142857141</v>
      </c>
      <c r="G22" s="460">
        <f t="shared" si="4"/>
        <v>0.20285714285714285</v>
      </c>
      <c r="H22" s="460">
        <f t="shared" si="4"/>
        <v>0.19428571428571428</v>
      </c>
      <c r="I22" s="460">
        <f t="shared" si="4"/>
        <v>0.18571428571428572</v>
      </c>
      <c r="J22" s="460">
        <f t="shared" si="4"/>
        <v>0.17714285714285716</v>
      </c>
      <c r="K22" s="460">
        <f t="shared" si="4"/>
        <v>0.16857142857142857</v>
      </c>
      <c r="L22" s="460">
        <f t="shared" si="4"/>
        <v>0.16</v>
      </c>
      <c r="M22" s="1199" t="s">
        <v>1161</v>
      </c>
    </row>
    <row r="23" spans="1:13" ht="15.75" customHeight="1">
      <c r="A23" s="3" t="s">
        <v>1162</v>
      </c>
      <c r="B23" s="309" t="s">
        <v>733</v>
      </c>
      <c r="C23" s="38"/>
      <c r="D23" s="38">
        <f>D8*Assumptions!$F$40</f>
        <v>156.18</v>
      </c>
      <c r="E23" s="38">
        <f>Members!E46</f>
        <v>288.71499999999992</v>
      </c>
      <c r="F23" s="38">
        <f>Members!F46</f>
        <v>394.03074148571409</v>
      </c>
      <c r="G23" s="38">
        <f>Members!G46</f>
        <v>463.04359358857124</v>
      </c>
      <c r="H23" s="38">
        <f>Members!H46</f>
        <v>524.55936579478839</v>
      </c>
      <c r="I23" s="38">
        <f>Members!I46</f>
        <v>575.33015743662213</v>
      </c>
      <c r="J23" s="38">
        <f>Members!J46</f>
        <v>628.91597959900423</v>
      </c>
      <c r="K23" s="38">
        <f>Members!K46</f>
        <v>666.90624879432937</v>
      </c>
      <c r="L23" s="38">
        <f>Members!L46</f>
        <v>707.43055620245195</v>
      </c>
      <c r="M23" s="1195"/>
    </row>
    <row r="24" spans="1:13" ht="15.75" customHeight="1">
      <c r="A24" s="459" t="s">
        <v>1163</v>
      </c>
      <c r="B24" s="459" t="s">
        <v>746</v>
      </c>
      <c r="C24" s="460"/>
      <c r="D24" s="460">
        <f t="shared" ref="D24:L24" si="5">D23/D8</f>
        <v>0.3</v>
      </c>
      <c r="E24" s="460">
        <f t="shared" si="5"/>
        <v>0.32881123687901903</v>
      </c>
      <c r="F24" s="460">
        <f t="shared" si="5"/>
        <v>0.30703345398608684</v>
      </c>
      <c r="G24" s="460">
        <f t="shared" si="5"/>
        <v>0.26868715767850143</v>
      </c>
      <c r="H24" s="460">
        <f t="shared" si="5"/>
        <v>0.2429901492066148</v>
      </c>
      <c r="I24" s="460">
        <f t="shared" si="5"/>
        <v>0.22316952195550743</v>
      </c>
      <c r="J24" s="460">
        <f t="shared" si="5"/>
        <v>0.21117699202566118</v>
      </c>
      <c r="K24" s="460">
        <f t="shared" si="5"/>
        <v>0.1990521326503929</v>
      </c>
      <c r="L24" s="460">
        <f t="shared" si="5"/>
        <v>0.19191948686817931</v>
      </c>
      <c r="M24" s="1199" t="s">
        <v>1164</v>
      </c>
    </row>
    <row r="25" spans="1:13" ht="15.75" customHeight="1">
      <c r="A25" s="3" t="s">
        <v>1165</v>
      </c>
      <c r="B25" s="309" t="s">
        <v>733</v>
      </c>
      <c r="C25" s="38"/>
      <c r="D25" s="38">
        <f>D8*Assumptions!$F$44</f>
        <v>78.09</v>
      </c>
      <c r="E25" s="38">
        <f>E8*(Assumptions!$F$44 + (Assumptions!$F$45-Assumptions!$F$44)*(E$5-2026)/7)</f>
        <v>131.70854625000001</v>
      </c>
      <c r="F25" s="38">
        <f>F8*(Assumptions!$F$44 + (Assumptions!$F$45-Assumptions!$F$44)*(F$5-2026)/7)</f>
        <v>185.16876987734429</v>
      </c>
      <c r="G25" s="38">
        <f>G8*(Assumptions!$F$44 + (Assumptions!$F$45-Assumptions!$F$44)*(G$5-2026)/7)</f>
        <v>238.80788649821775</v>
      </c>
      <c r="H25" s="38">
        <f>H8*(Assumptions!$F$44 + (Assumptions!$F$45-Assumptions!$F$44)*(H$5-2026)/7)</f>
        <v>286.80775260231525</v>
      </c>
      <c r="I25" s="38">
        <f>I8*(Assumptions!$F$44 + (Assumptions!$F$45-Assumptions!$F$44)*(I$5-2026)/7)</f>
        <v>327.77378996906873</v>
      </c>
      <c r="J25" s="38">
        <f>J8*(Assumptions!$F$44 + (Assumptions!$F$45-Assumptions!$F$44)*(J$5-2026)/7)</f>
        <v>361.63205195207888</v>
      </c>
      <c r="K25" s="38">
        <f>K8*(Assumptions!$F$44 + (Assumptions!$F$45-Assumptions!$F$44)*(K$5-2026)/7)</f>
        <v>387.69029595462217</v>
      </c>
      <c r="L25" s="38">
        <f>L8*(Assumptions!$F$44 + (Assumptions!$F$45-Assumptions!$F$44)*(L$5-2026)/7)</f>
        <v>405.46878512508158</v>
      </c>
      <c r="M25" s="1195"/>
    </row>
    <row r="26" spans="1:13" ht="15.75" customHeight="1">
      <c r="A26" s="459" t="s">
        <v>1166</v>
      </c>
      <c r="B26" s="459" t="s">
        <v>746</v>
      </c>
      <c r="C26" s="460"/>
      <c r="D26" s="460">
        <f t="shared" ref="D26:L26" si="6">D25/D8</f>
        <v>0.15</v>
      </c>
      <c r="E26" s="460">
        <f t="shared" si="6"/>
        <v>0.15</v>
      </c>
      <c r="F26" s="460">
        <f t="shared" si="6"/>
        <v>0.14428571428571429</v>
      </c>
      <c r="G26" s="460">
        <f t="shared" si="6"/>
        <v>0.13857142857142857</v>
      </c>
      <c r="H26" s="460">
        <f t="shared" si="6"/>
        <v>0.13285714285714284</v>
      </c>
      <c r="I26" s="460">
        <f t="shared" si="6"/>
        <v>0.12714285714285714</v>
      </c>
      <c r="J26" s="460">
        <f t="shared" si="6"/>
        <v>0.12142857142857141</v>
      </c>
      <c r="K26" s="460">
        <f t="shared" si="6"/>
        <v>0.11571428571428571</v>
      </c>
      <c r="L26" s="460">
        <f t="shared" si="6"/>
        <v>0.11</v>
      </c>
      <c r="M26" s="1199" t="s">
        <v>1167</v>
      </c>
    </row>
    <row r="27" spans="1:13" ht="15.75" customHeight="1">
      <c r="A27" s="3" t="s">
        <v>1168</v>
      </c>
      <c r="B27" s="309" t="s">
        <v>733</v>
      </c>
      <c r="C27" s="38"/>
      <c r="D27" s="38">
        <f>D8*Assumptions!$F$46</f>
        <v>72.884000000000015</v>
      </c>
      <c r="E27" s="38">
        <f>E8*(Assumptions!$F$46 + (Assumptions!$F$47-Assumptions!$F$46)*(E$5-2026)/7)</f>
        <v>122.92797650000003</v>
      </c>
      <c r="F27" s="38">
        <f>F8*Assumptions!$F$162</f>
        <v>218.16914470697</v>
      </c>
      <c r="G27" s="38">
        <f>G8*Assumptions!$F$163</f>
        <v>258.5033822918852</v>
      </c>
      <c r="H27" s="38">
        <f>H8*(Assumptions!$F$46 + (Assumptions!$F$47-Assumptions!$F$46)*(H$5-2026)/7)</f>
        <v>274.47193528608665</v>
      </c>
      <c r="I27" s="38">
        <f>I8*(Assumptions!$F$46 + (Assumptions!$F$47-Assumptions!$F$46)*(I$5-2026)/7)</f>
        <v>316.72523525101019</v>
      </c>
      <c r="J27" s="38">
        <f>J8*(Assumptions!$F$46 + (Assumptions!$F$47-Assumptions!$F$46)*(J$5-2026)/7)</f>
        <v>353.12306249438296</v>
      </c>
      <c r="K27" s="38">
        <f>K8*(Assumptions!$F$46 + (Assumptions!$F$47-Assumptions!$F$46)*(K$5-2026)/7)</f>
        <v>382.90399600456516</v>
      </c>
      <c r="L27" s="38">
        <f>L8*(Assumptions!$F$46 + (Assumptions!$F$47-Assumptions!$F$46)*(L$5-2026)/7)</f>
        <v>405.46878512508158</v>
      </c>
      <c r="M27" s="1195"/>
    </row>
    <row r="28" spans="1:13" ht="15.75" customHeight="1" thickBot="1">
      <c r="A28" s="459" t="s">
        <v>1169</v>
      </c>
      <c r="B28" s="459" t="s">
        <v>746</v>
      </c>
      <c r="C28" s="460"/>
      <c r="D28" s="460">
        <f t="shared" ref="D28:L28" si="7">D27/D8</f>
        <v>0.14000000000000001</v>
      </c>
      <c r="E28" s="460">
        <f t="shared" si="7"/>
        <v>0.14000000000000001</v>
      </c>
      <c r="F28" s="460">
        <f t="shared" si="7"/>
        <v>0.17</v>
      </c>
      <c r="G28" s="460">
        <f t="shared" si="7"/>
        <v>0.15</v>
      </c>
      <c r="H28" s="460">
        <f t="shared" si="7"/>
        <v>0.12714285714285714</v>
      </c>
      <c r="I28" s="460">
        <f t="shared" si="7"/>
        <v>0.12285714285714285</v>
      </c>
      <c r="J28" s="460">
        <f t="shared" si="7"/>
        <v>0.11857142857142858</v>
      </c>
      <c r="K28" s="460">
        <f t="shared" si="7"/>
        <v>0.1142857142857143</v>
      </c>
      <c r="L28" s="460">
        <f t="shared" si="7"/>
        <v>0.11</v>
      </c>
      <c r="M28" s="1199" t="s">
        <v>1170</v>
      </c>
    </row>
    <row r="29" spans="1:13" ht="15.75" customHeight="1">
      <c r="A29" s="465" t="s">
        <v>1171</v>
      </c>
      <c r="B29" s="480" t="s">
        <v>733</v>
      </c>
      <c r="C29" s="466"/>
      <c r="D29" s="466">
        <f t="shared" ref="D29:L29" si="8">D21+D23+D25+D27</f>
        <v>421.68600000000004</v>
      </c>
      <c r="E29" s="466">
        <f t="shared" si="8"/>
        <v>736.52405724999994</v>
      </c>
      <c r="F29" s="466">
        <f t="shared" si="8"/>
        <v>1068.7050713358399</v>
      </c>
      <c r="G29" s="466">
        <f t="shared" si="8"/>
        <v>1309.9499127162712</v>
      </c>
      <c r="H29" s="466">
        <f t="shared" si="8"/>
        <v>1505.2568424349631</v>
      </c>
      <c r="I29" s="466">
        <f t="shared" si="8"/>
        <v>1698.5998871059026</v>
      </c>
      <c r="J29" s="466">
        <f t="shared" si="8"/>
        <v>1871.2284404226166</v>
      </c>
      <c r="K29" s="466">
        <f t="shared" si="8"/>
        <v>2002.2839348602504</v>
      </c>
      <c r="L29" s="466">
        <f t="shared" si="8"/>
        <v>2108.14090481637</v>
      </c>
      <c r="M29" s="1195"/>
    </row>
    <row r="30" spans="1:13" ht="15.75" customHeight="1">
      <c r="A30" s="1194"/>
      <c r="B30" s="1194"/>
      <c r="C30" s="1194"/>
      <c r="D30" s="1194"/>
      <c r="E30" s="1194"/>
      <c r="F30" s="1194"/>
      <c r="G30" s="1194"/>
      <c r="H30" s="1194"/>
      <c r="I30" s="1194"/>
      <c r="J30" s="1194"/>
      <c r="K30" s="1194"/>
      <c r="L30" s="1194"/>
      <c r="M30" s="1195"/>
    </row>
    <row r="31" spans="1:13" ht="21.95" customHeight="1" thickBot="1">
      <c r="A31" s="1469" t="s">
        <v>1172</v>
      </c>
      <c r="B31" s="1526"/>
      <c r="C31" s="1526"/>
      <c r="D31" s="1526"/>
      <c r="E31" s="1526"/>
      <c r="F31" s="1526"/>
      <c r="G31" s="1526"/>
      <c r="H31" s="1526"/>
      <c r="I31" s="1526"/>
      <c r="J31" s="1526"/>
      <c r="K31" s="1526"/>
      <c r="L31" s="1526"/>
      <c r="M31" s="1195"/>
    </row>
    <row r="32" spans="1:13" ht="15.75" customHeight="1">
      <c r="A32" s="469" t="s">
        <v>1173</v>
      </c>
      <c r="B32" s="481" t="s">
        <v>733</v>
      </c>
      <c r="C32" s="470"/>
      <c r="D32" s="470">
        <f t="shared" ref="D32:L32" si="9">D15-D29+D27</f>
        <v>-36.442000000000007</v>
      </c>
      <c r="E32" s="470">
        <f t="shared" si="9"/>
        <v>44.946650500000175</v>
      </c>
      <c r="F32" s="470">
        <f t="shared" si="9"/>
        <v>121.14177668788719</v>
      </c>
      <c r="G32" s="470">
        <f t="shared" si="9"/>
        <v>265.68975077712417</v>
      </c>
      <c r="H32" s="470">
        <f t="shared" si="9"/>
        <v>434.5504305419866</v>
      </c>
      <c r="I32" s="470">
        <f t="shared" si="9"/>
        <v>625.27945525906762</v>
      </c>
      <c r="J32" s="470">
        <f t="shared" si="9"/>
        <v>821.86672293815923</v>
      </c>
      <c r="K32" s="470">
        <f t="shared" si="9"/>
        <v>1037.0165334259852</v>
      </c>
      <c r="L32" s="470">
        <f t="shared" si="9"/>
        <v>1246.1917721274867</v>
      </c>
      <c r="M32" s="1195"/>
    </row>
    <row r="33" spans="1:13" ht="15.75" customHeight="1">
      <c r="A33" s="459" t="s">
        <v>1174</v>
      </c>
      <c r="B33" s="459" t="s">
        <v>746</v>
      </c>
      <c r="C33" s="460"/>
      <c r="D33" s="460">
        <f t="shared" ref="D33:L33" si="10">D32/D8</f>
        <v>-7.0000000000000007E-2</v>
      </c>
      <c r="E33" s="460">
        <f t="shared" si="10"/>
        <v>5.1188763120981043E-2</v>
      </c>
      <c r="F33" s="460">
        <f t="shared" si="10"/>
        <v>9.4395117442484466E-2</v>
      </c>
      <c r="G33" s="460">
        <f t="shared" si="10"/>
        <v>0.15416998517864144</v>
      </c>
      <c r="H33" s="460">
        <f t="shared" si="10"/>
        <v>0.20129556507909957</v>
      </c>
      <c r="I33" s="460">
        <f t="shared" si="10"/>
        <v>0.24254476375877826</v>
      </c>
      <c r="J33" s="460">
        <f t="shared" si="10"/>
        <v>0.2759658651171959</v>
      </c>
      <c r="K33" s="460">
        <f t="shared" si="10"/>
        <v>0.30951929592103561</v>
      </c>
      <c r="L33" s="460">
        <f t="shared" si="10"/>
        <v>0.33808051313182069</v>
      </c>
      <c r="M33" s="1195"/>
    </row>
    <row r="34" spans="1:13" ht="15.75" customHeight="1">
      <c r="A34" s="193" t="s">
        <v>1175</v>
      </c>
      <c r="B34" s="479" t="s">
        <v>733</v>
      </c>
      <c r="C34" s="463"/>
      <c r="D34" s="463">
        <f t="shared" ref="D34:L34" si="11">D15-D29</f>
        <v>-109.32600000000002</v>
      </c>
      <c r="E34" s="463">
        <f t="shared" si="11"/>
        <v>-77.981325999999854</v>
      </c>
      <c r="F34" s="463">
        <f t="shared" si="11"/>
        <v>-97.027368019082814</v>
      </c>
      <c r="G34" s="463">
        <f t="shared" si="11"/>
        <v>7.1863684852389724</v>
      </c>
      <c r="H34" s="463">
        <f t="shared" si="11"/>
        <v>160.07849525589995</v>
      </c>
      <c r="I34" s="463">
        <f t="shared" si="11"/>
        <v>308.55422000805743</v>
      </c>
      <c r="J34" s="463">
        <f t="shared" si="11"/>
        <v>468.74366044377621</v>
      </c>
      <c r="K34" s="463">
        <f t="shared" si="11"/>
        <v>654.11253742142003</v>
      </c>
      <c r="L34" s="463">
        <f t="shared" si="11"/>
        <v>840.72298700240526</v>
      </c>
      <c r="M34" s="1195"/>
    </row>
    <row r="35" spans="1:13" ht="15.75" customHeight="1">
      <c r="A35" s="459" t="s">
        <v>1176</v>
      </c>
      <c r="B35" s="459" t="s">
        <v>746</v>
      </c>
      <c r="C35" s="460"/>
      <c r="D35" s="460">
        <f t="shared" ref="D35:L35" si="12">D34/D8</f>
        <v>-0.21000000000000002</v>
      </c>
      <c r="E35" s="460">
        <f t="shared" si="12"/>
        <v>-8.8811236879018984E-2</v>
      </c>
      <c r="F35" s="460">
        <f t="shared" si="12"/>
        <v>-7.5604882557515532E-2</v>
      </c>
      <c r="G35" s="460">
        <f t="shared" si="12"/>
        <v>4.1699851786414499E-3</v>
      </c>
      <c r="H35" s="460">
        <f t="shared" si="12"/>
        <v>7.4152707936242443E-2</v>
      </c>
      <c r="I35" s="460">
        <f t="shared" si="12"/>
        <v>0.1196876209016354</v>
      </c>
      <c r="J35" s="460">
        <f t="shared" si="12"/>
        <v>0.15739443654576732</v>
      </c>
      <c r="K35" s="460">
        <f t="shared" si="12"/>
        <v>0.19523358163532128</v>
      </c>
      <c r="L35" s="460">
        <f t="shared" si="12"/>
        <v>0.22808051313182073</v>
      </c>
      <c r="M35" s="1195"/>
    </row>
    <row r="36" spans="1:13" ht="15.75" customHeight="1">
      <c r="A36" s="1" t="s">
        <v>1177</v>
      </c>
      <c r="B36" s="318" t="s">
        <v>1001</v>
      </c>
      <c r="C36" s="471"/>
      <c r="D36" s="471">
        <f t="shared" ref="D36:L36" si="13">(D9+D33)*100</f>
        <v>-7.0000000000000009</v>
      </c>
      <c r="E36" s="471">
        <f t="shared" si="13"/>
        <v>73.781376312098118</v>
      </c>
      <c r="F36" s="471">
        <f t="shared" si="13"/>
        <v>55.597215239628106</v>
      </c>
      <c r="G36" s="471">
        <f t="shared" si="13"/>
        <v>49.702944554963636</v>
      </c>
      <c r="H36" s="471">
        <f t="shared" si="13"/>
        <v>45.394921192914381</v>
      </c>
      <c r="I36" s="471">
        <f t="shared" si="13"/>
        <v>43.67425954147712</v>
      </c>
      <c r="J36" s="471">
        <f t="shared" si="13"/>
        <v>43.118340372271781</v>
      </c>
      <c r="K36" s="471">
        <f t="shared" si="13"/>
        <v>43.451773994380609</v>
      </c>
      <c r="L36" s="471">
        <f t="shared" si="13"/>
        <v>43.826822246772053</v>
      </c>
      <c r="M36" s="483" t="s">
        <v>1178</v>
      </c>
    </row>
    <row r="37" spans="1:13" ht="15.75" customHeight="1">
      <c r="A37" s="1194"/>
      <c r="B37" s="1194"/>
      <c r="C37" s="1194"/>
      <c r="D37" s="1194"/>
      <c r="E37" s="1194"/>
      <c r="F37" s="1194"/>
      <c r="G37" s="1194"/>
      <c r="H37" s="1194"/>
      <c r="I37" s="1194"/>
      <c r="J37" s="1194"/>
      <c r="K37" s="1194"/>
      <c r="L37" s="1194"/>
      <c r="M37" s="1195"/>
    </row>
    <row r="38" spans="1:13" ht="21.95" customHeight="1">
      <c r="A38" s="1469" t="s">
        <v>1179</v>
      </c>
      <c r="B38" s="1526"/>
      <c r="C38" s="1526"/>
      <c r="D38" s="1526"/>
      <c r="E38" s="1526"/>
      <c r="F38" s="1526"/>
      <c r="G38" s="1526"/>
      <c r="H38" s="1526"/>
      <c r="I38" s="1526"/>
      <c r="J38" s="1526"/>
      <c r="K38" s="1526"/>
      <c r="L38" s="1526"/>
      <c r="M38" s="1195"/>
    </row>
    <row r="39" spans="1:13" ht="15.75" customHeight="1">
      <c r="A39" s="3" t="s">
        <v>1180</v>
      </c>
      <c r="B39" s="309" t="s">
        <v>733</v>
      </c>
      <c r="C39" s="40"/>
      <c r="D39" s="37">
        <f>'WC &amp; Cash'!$D$12*Assumptions!$F$66</f>
        <v>2.6250000000000004</v>
      </c>
      <c r="E39" s="37">
        <f>('WC &amp; Cash'!D34 + 'WC &amp; Cash'!E14*0.5)*Assumptions!$F$66</f>
        <v>12.285020136986301</v>
      </c>
      <c r="F39" s="37">
        <f>'WC &amp; Cash'!E34*Assumptions!$F$66</f>
        <v>25.501617169383568</v>
      </c>
      <c r="G39" s="37">
        <f>'WC &amp; Cash'!F34*Assumptions!$F$66</f>
        <v>29.359660315723058</v>
      </c>
      <c r="H39" s="37">
        <f>'WC &amp; Cash'!G34*Assumptions!$F$66</f>
        <v>36.722887867521266</v>
      </c>
      <c r="I39" s="37">
        <f>'WC &amp; Cash'!H34*Assumptions!$F$66</f>
        <v>48.987389531221943</v>
      </c>
      <c r="J39" s="37">
        <f>'WC &amp; Cash'!I34*Assumptions!$F$66</f>
        <v>63.836293303639856</v>
      </c>
      <c r="K39" s="37">
        <f>'WC &amp; Cash'!J34*Assumptions!$F$66</f>
        <v>82.158076880847418</v>
      </c>
      <c r="L39" s="37">
        <f>'WC &amp; Cash'!K34*Assumptions!$F$66</f>
        <v>104.5134214283361</v>
      </c>
      <c r="M39" s="1195"/>
    </row>
    <row r="40" spans="1:13" ht="15.75" customHeight="1">
      <c r="A40" s="193" t="s">
        <v>1181</v>
      </c>
      <c r="B40" s="479" t="s">
        <v>733</v>
      </c>
      <c r="C40" s="463"/>
      <c r="D40" s="463">
        <f t="shared" ref="D40:L40" si="14">D34+D39</f>
        <v>-106.70100000000002</v>
      </c>
      <c r="E40" s="463">
        <f t="shared" si="14"/>
        <v>-65.696305863013549</v>
      </c>
      <c r="F40" s="463">
        <f t="shared" si="14"/>
        <v>-71.52575084969925</v>
      </c>
      <c r="G40" s="463">
        <f t="shared" si="14"/>
        <v>36.546028800962034</v>
      </c>
      <c r="H40" s="463">
        <f t="shared" si="14"/>
        <v>196.8013831234212</v>
      </c>
      <c r="I40" s="463">
        <f t="shared" si="14"/>
        <v>357.54160953927936</v>
      </c>
      <c r="J40" s="463">
        <f t="shared" si="14"/>
        <v>532.57995374741608</v>
      </c>
      <c r="K40" s="463">
        <f t="shared" si="14"/>
        <v>736.2706143022674</v>
      </c>
      <c r="L40" s="463">
        <f t="shared" si="14"/>
        <v>945.23640843074133</v>
      </c>
      <c r="M40" s="1195"/>
    </row>
    <row r="41" spans="1:13" ht="15.75" customHeight="1" thickBot="1">
      <c r="A41" s="3" t="s">
        <v>1182</v>
      </c>
      <c r="B41" s="309" t="s">
        <v>733</v>
      </c>
      <c r="C41" s="38"/>
      <c r="D41" s="38">
        <f>MAX(0, D40-D48)*Assumptions!$F$51</f>
        <v>0</v>
      </c>
      <c r="E41" s="38">
        <f>MAX(0, E40-E48)*Assumptions!$F$51</f>
        <v>0</v>
      </c>
      <c r="F41" s="38">
        <f>MAX(0, F40-F48)*Assumptions!$F$51</f>
        <v>0</v>
      </c>
      <c r="G41" s="38">
        <f>MAX(0, G40-G48)*Assumptions!$F$51</f>
        <v>1.6811173248442532</v>
      </c>
      <c r="H41" s="38">
        <f>MAX(0, H40-H48)*Assumptions!$F$51</f>
        <v>9.0528636236773714</v>
      </c>
      <c r="I41" s="38">
        <f>MAX(0, I40-I48)*Assumptions!$F$51</f>
        <v>69.068190944196829</v>
      </c>
      <c r="J41" s="38">
        <f>MAX(0, J40-J48)*Assumptions!$F$51</f>
        <v>122.4933893619057</v>
      </c>
      <c r="K41" s="38">
        <f>MAX(0, K40-K48)*Assumptions!$F$51</f>
        <v>169.3422412895215</v>
      </c>
      <c r="L41" s="38">
        <f>MAX(0, L40-L48)*Assumptions!$F$51</f>
        <v>217.40437393907052</v>
      </c>
      <c r="M41" s="1195"/>
    </row>
    <row r="42" spans="1:13" ht="15.75" customHeight="1" thickBot="1">
      <c r="A42" s="472" t="s">
        <v>1183</v>
      </c>
      <c r="B42" s="482" t="s">
        <v>733</v>
      </c>
      <c r="C42" s="473"/>
      <c r="D42" s="473">
        <f t="shared" ref="D42:L42" si="15">D40-D41</f>
        <v>-106.70100000000002</v>
      </c>
      <c r="E42" s="473">
        <f t="shared" si="15"/>
        <v>-65.696305863013549</v>
      </c>
      <c r="F42" s="473">
        <f t="shared" si="15"/>
        <v>-71.52575084969925</v>
      </c>
      <c r="G42" s="473">
        <f t="shared" si="15"/>
        <v>34.864911476117783</v>
      </c>
      <c r="H42" s="473">
        <f t="shared" si="15"/>
        <v>187.74851949974382</v>
      </c>
      <c r="I42" s="473">
        <f t="shared" si="15"/>
        <v>288.47341859508253</v>
      </c>
      <c r="J42" s="473">
        <f t="shared" si="15"/>
        <v>410.08656438551037</v>
      </c>
      <c r="K42" s="473">
        <f t="shared" si="15"/>
        <v>566.92837301274585</v>
      </c>
      <c r="L42" s="473">
        <f t="shared" si="15"/>
        <v>727.83203449167081</v>
      </c>
      <c r="M42" s="1195"/>
    </row>
    <row r="43" spans="1:13" ht="15.75" customHeight="1" thickTop="1">
      <c r="A43" s="459" t="s">
        <v>1184</v>
      </c>
      <c r="B43" s="459" t="s">
        <v>746</v>
      </c>
      <c r="C43" s="460"/>
      <c r="D43" s="460">
        <f t="shared" ref="D43:L43" si="16">D42/D8</f>
        <v>-0.20495774106799849</v>
      </c>
      <c r="E43" s="460">
        <f t="shared" si="16"/>
        <v>-7.4820094519508301E-2</v>
      </c>
      <c r="F43" s="460">
        <f t="shared" si="16"/>
        <v>-5.573371826149167E-2</v>
      </c>
      <c r="G43" s="460">
        <f t="shared" si="16"/>
        <v>2.0230825125191549E-2</v>
      </c>
      <c r="H43" s="460">
        <f t="shared" si="16"/>
        <v>8.6970214891580216E-2</v>
      </c>
      <c r="I43" s="460">
        <f t="shared" si="16"/>
        <v>0.11189831454616114</v>
      </c>
      <c r="J43" s="460">
        <f t="shared" si="16"/>
        <v>0.13769859559346267</v>
      </c>
      <c r="K43" s="460">
        <f t="shared" si="16"/>
        <v>0.16921164243432721</v>
      </c>
      <c r="L43" s="460">
        <f t="shared" si="16"/>
        <v>0.19745422269530785</v>
      </c>
      <c r="M43" s="1195"/>
    </row>
    <row r="44" spans="1:13" ht="15.75" customHeight="1">
      <c r="A44" s="1194"/>
      <c r="B44" s="1194"/>
      <c r="C44" s="1194"/>
      <c r="D44" s="1194"/>
      <c r="E44" s="1194"/>
      <c r="F44" s="1194"/>
      <c r="G44" s="1194"/>
      <c r="H44" s="1194"/>
      <c r="I44" s="1194"/>
      <c r="J44" s="1194"/>
      <c r="K44" s="1194"/>
      <c r="L44" s="1194"/>
      <c r="M44" s="1195"/>
    </row>
    <row r="45" spans="1:13" ht="21.95" customHeight="1">
      <c r="A45" s="1486" t="s">
        <v>1185</v>
      </c>
      <c r="B45" s="1527"/>
      <c r="C45" s="1527"/>
      <c r="D45" s="1527"/>
      <c r="E45" s="1527"/>
      <c r="F45" s="1527"/>
      <c r="G45" s="1527"/>
      <c r="H45" s="1527"/>
      <c r="I45" s="1527"/>
      <c r="J45" s="1527"/>
      <c r="K45" s="1527"/>
      <c r="L45" s="1527"/>
      <c r="M45" s="1195"/>
    </row>
    <row r="46" spans="1:13" ht="15.75" customHeight="1">
      <c r="A46" s="474" t="s">
        <v>1186</v>
      </c>
      <c r="B46" s="45" t="s">
        <v>733</v>
      </c>
      <c r="C46" s="475">
        <v>0</v>
      </c>
      <c r="D46" s="301">
        <f t="shared" ref="D46:L46" si="17">C49</f>
        <v>0</v>
      </c>
      <c r="E46" s="301">
        <f t="shared" si="17"/>
        <v>106.70100000000002</v>
      </c>
      <c r="F46" s="301">
        <f t="shared" si="17"/>
        <v>172.39730586301357</v>
      </c>
      <c r="G46" s="301">
        <f t="shared" si="17"/>
        <v>243.92305671271282</v>
      </c>
      <c r="H46" s="301">
        <f t="shared" si="17"/>
        <v>214.6862336719432</v>
      </c>
      <c r="I46" s="301">
        <f t="shared" si="17"/>
        <v>57.245127173206214</v>
      </c>
      <c r="J46" s="301">
        <f t="shared" si="17"/>
        <v>0</v>
      </c>
      <c r="K46" s="301">
        <f t="shared" si="17"/>
        <v>0</v>
      </c>
      <c r="L46" s="301">
        <f t="shared" si="17"/>
        <v>0</v>
      </c>
      <c r="M46" s="1195"/>
    </row>
    <row r="47" spans="1:13" ht="15.75" customHeight="1">
      <c r="A47" s="474" t="s">
        <v>1187</v>
      </c>
      <c r="B47" s="45" t="s">
        <v>733</v>
      </c>
      <c r="C47" s="301">
        <v>0</v>
      </c>
      <c r="D47" s="301">
        <f t="shared" ref="D47:L47" si="18">MAX(0,-D40)</f>
        <v>106.70100000000002</v>
      </c>
      <c r="E47" s="301">
        <f t="shared" si="18"/>
        <v>65.696305863013549</v>
      </c>
      <c r="F47" s="301">
        <f t="shared" si="18"/>
        <v>71.52575084969925</v>
      </c>
      <c r="G47" s="301">
        <f t="shared" si="18"/>
        <v>0</v>
      </c>
      <c r="H47" s="301">
        <f t="shared" si="18"/>
        <v>0</v>
      </c>
      <c r="I47" s="301">
        <f t="shared" si="18"/>
        <v>0</v>
      </c>
      <c r="J47" s="301">
        <f t="shared" si="18"/>
        <v>0</v>
      </c>
      <c r="K47" s="301">
        <f t="shared" si="18"/>
        <v>0</v>
      </c>
      <c r="L47" s="301">
        <f t="shared" si="18"/>
        <v>0</v>
      </c>
      <c r="M47" s="1195"/>
    </row>
    <row r="48" spans="1:13" ht="15.75" customHeight="1">
      <c r="A48" s="474" t="s">
        <v>1188</v>
      </c>
      <c r="B48" s="45" t="s">
        <v>733</v>
      </c>
      <c r="C48" s="301">
        <v>0</v>
      </c>
      <c r="D48" s="301">
        <f t="shared" ref="D48:L48" si="19">MIN(D46, MAX(0,D40)*0.8)</f>
        <v>0</v>
      </c>
      <c r="E48" s="301">
        <f t="shared" si="19"/>
        <v>0</v>
      </c>
      <c r="F48" s="301">
        <f t="shared" si="19"/>
        <v>0</v>
      </c>
      <c r="G48" s="301">
        <f t="shared" si="19"/>
        <v>29.236823040769629</v>
      </c>
      <c r="H48" s="301">
        <f t="shared" si="19"/>
        <v>157.44110649873699</v>
      </c>
      <c r="I48" s="301">
        <f t="shared" si="19"/>
        <v>57.245127173206214</v>
      </c>
      <c r="J48" s="301">
        <f t="shared" si="19"/>
        <v>0</v>
      </c>
      <c r="K48" s="301">
        <f t="shared" si="19"/>
        <v>0</v>
      </c>
      <c r="L48" s="301">
        <f t="shared" si="19"/>
        <v>0</v>
      </c>
      <c r="M48" s="1195"/>
    </row>
    <row r="49" spans="1:13" ht="15.75" customHeight="1">
      <c r="A49" s="476" t="s">
        <v>1189</v>
      </c>
      <c r="B49" s="477" t="s">
        <v>733</v>
      </c>
      <c r="C49" s="437">
        <f t="shared" ref="C49:L49" si="20">C46+C47-C48</f>
        <v>0</v>
      </c>
      <c r="D49" s="437">
        <f t="shared" si="20"/>
        <v>106.70100000000002</v>
      </c>
      <c r="E49" s="437">
        <f t="shared" si="20"/>
        <v>172.39730586301357</v>
      </c>
      <c r="F49" s="437">
        <f t="shared" si="20"/>
        <v>243.92305671271282</v>
      </c>
      <c r="G49" s="437">
        <f t="shared" si="20"/>
        <v>214.6862336719432</v>
      </c>
      <c r="H49" s="437">
        <f t="shared" si="20"/>
        <v>57.245127173206214</v>
      </c>
      <c r="I49" s="437">
        <f t="shared" si="20"/>
        <v>0</v>
      </c>
      <c r="J49" s="437">
        <f t="shared" si="20"/>
        <v>0</v>
      </c>
      <c r="K49" s="437">
        <f t="shared" si="20"/>
        <v>0</v>
      </c>
      <c r="L49" s="437">
        <f t="shared" si="20"/>
        <v>0</v>
      </c>
      <c r="M49" s="1195"/>
    </row>
    <row r="50" spans="1:13" ht="15.75" customHeight="1">
      <c r="A50" s="1210"/>
      <c r="B50" s="1210"/>
      <c r="C50" s="1210"/>
      <c r="D50" s="1210"/>
      <c r="E50" s="1210"/>
      <c r="F50" s="1210"/>
      <c r="G50" s="1210"/>
      <c r="H50" s="1210"/>
      <c r="I50" s="1210"/>
      <c r="J50" s="1210"/>
      <c r="K50" s="1210"/>
      <c r="L50" s="1210"/>
      <c r="M50" s="1210"/>
    </row>
    <row r="51" spans="1:13" ht="15.75" customHeight="1">
      <c r="A51" s="1210"/>
      <c r="B51" s="1210"/>
      <c r="C51" s="1210"/>
      <c r="D51" s="1210"/>
      <c r="E51" s="1210"/>
      <c r="F51" s="1210"/>
      <c r="G51" s="1210"/>
      <c r="H51" s="1210"/>
      <c r="I51" s="1210"/>
      <c r="J51" s="1210"/>
      <c r="K51" s="1210"/>
      <c r="L51" s="1210"/>
      <c r="M51" s="1210"/>
    </row>
  </sheetData>
  <mergeCells count="9">
    <mergeCell ref="A20:L20"/>
    <mergeCell ref="A31:L31"/>
    <mergeCell ref="A38:L38"/>
    <mergeCell ref="A45:L45"/>
    <mergeCell ref="A1:L1"/>
    <mergeCell ref="A2:L2"/>
    <mergeCell ref="A3:L3"/>
    <mergeCell ref="A7:L7"/>
    <mergeCell ref="A11:L11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N51"/>
  <sheetViews>
    <sheetView showGridLines="0" zoomScale="91" workbookViewId="0">
      <selection activeCell="D17" sqref="D17"/>
    </sheetView>
  </sheetViews>
  <sheetFormatPr defaultColWidth="8.85546875" defaultRowHeight="15"/>
  <cols>
    <col min="1" max="1" width="46.7109375" customWidth="1"/>
    <col min="2" max="2" width="8.28515625" customWidth="1"/>
    <col min="3" max="12" width="12.42578125" customWidth="1"/>
    <col min="13" max="13" width="46.7109375" customWidth="1"/>
  </cols>
  <sheetData>
    <row r="1" spans="1:14" ht="27.95" customHeight="1">
      <c r="A1" s="1514" t="s">
        <v>1190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</row>
    <row r="2" spans="1:14" ht="15.75" customHeight="1">
      <c r="A2" s="1520" t="s">
        <v>1191</v>
      </c>
      <c r="B2" s="1520"/>
      <c r="C2" s="1520"/>
      <c r="D2" s="1520"/>
      <c r="E2" s="1520"/>
      <c r="F2" s="1520"/>
      <c r="G2" s="1520"/>
      <c r="H2" s="1520"/>
      <c r="I2" s="1520"/>
      <c r="J2" s="1520"/>
      <c r="K2" s="1520"/>
      <c r="L2" s="1520"/>
      <c r="M2" s="1520"/>
      <c r="N2" s="1520"/>
    </row>
    <row r="3" spans="1:14" ht="15.75" customHeight="1">
      <c r="A3" s="1210"/>
      <c r="B3" s="1210"/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</row>
    <row r="4" spans="1:14" ht="15.75" customHeight="1">
      <c r="A4" s="1210"/>
      <c r="B4" s="1210"/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 ht="15.75" customHeight="1">
      <c r="A5" s="387"/>
      <c r="B5" s="388" t="s">
        <v>966</v>
      </c>
      <c r="C5" s="386">
        <v>2024</v>
      </c>
      <c r="D5" s="386">
        <v>2025</v>
      </c>
      <c r="E5" s="386">
        <v>2026</v>
      </c>
      <c r="F5" s="386">
        <v>2027</v>
      </c>
      <c r="G5" s="386">
        <v>2028</v>
      </c>
      <c r="H5" s="386">
        <v>2029</v>
      </c>
      <c r="I5" s="386">
        <v>2030</v>
      </c>
      <c r="J5" s="386">
        <v>2031</v>
      </c>
      <c r="K5" s="386">
        <v>2032</v>
      </c>
      <c r="L5" s="386">
        <v>2033</v>
      </c>
      <c r="M5" s="1195"/>
      <c r="N5" s="1210"/>
    </row>
    <row r="6" spans="1:14" ht="15.75" customHeight="1">
      <c r="A6" s="1210"/>
      <c r="B6" s="1210"/>
      <c r="C6" s="389" t="s">
        <v>967</v>
      </c>
      <c r="D6" s="389" t="s">
        <v>967</v>
      </c>
      <c r="E6" s="389" t="s">
        <v>968</v>
      </c>
      <c r="F6" s="389" t="s">
        <v>968</v>
      </c>
      <c r="G6" s="389" t="s">
        <v>969</v>
      </c>
      <c r="H6" s="389" t="s">
        <v>969</v>
      </c>
      <c r="I6" s="389" t="s">
        <v>969</v>
      </c>
      <c r="J6" s="389" t="s">
        <v>970</v>
      </c>
      <c r="K6" s="389" t="s">
        <v>970</v>
      </c>
      <c r="L6" s="389" t="s">
        <v>970</v>
      </c>
      <c r="M6" s="1195"/>
      <c r="N6" s="1210"/>
    </row>
    <row r="7" spans="1:14" ht="15.75" customHeight="1">
      <c r="A7" s="1210"/>
      <c r="B7" s="1210"/>
      <c r="C7" s="1210"/>
      <c r="D7" s="1210"/>
      <c r="E7" s="1210"/>
      <c r="F7" s="1210"/>
      <c r="G7" s="1210"/>
      <c r="H7" s="1210"/>
      <c r="I7" s="1210"/>
      <c r="J7" s="1210"/>
      <c r="K7" s="1210"/>
      <c r="L7" s="1210"/>
      <c r="M7" s="1195"/>
      <c r="N7" s="1210"/>
    </row>
    <row r="8" spans="1:14" ht="21.95" customHeight="1">
      <c r="A8" s="1492" t="s">
        <v>1192</v>
      </c>
      <c r="B8" s="1530"/>
      <c r="C8" s="1530"/>
      <c r="D8" s="1530"/>
      <c r="E8" s="1530"/>
      <c r="F8" s="1530"/>
      <c r="G8" s="1530"/>
      <c r="H8" s="1530"/>
      <c r="I8" s="1530"/>
      <c r="J8" s="1530"/>
      <c r="K8" s="1530"/>
      <c r="L8" s="1530"/>
      <c r="M8" s="1531"/>
      <c r="N8" s="1210"/>
    </row>
    <row r="9" spans="1:14" ht="15.75" customHeight="1">
      <c r="A9" s="18" t="s">
        <v>1193</v>
      </c>
      <c r="B9" s="403" t="s">
        <v>733</v>
      </c>
      <c r="C9" s="233"/>
      <c r="D9" s="233">
        <f>'P&amp;L'!D34</f>
        <v>-109.32600000000002</v>
      </c>
      <c r="E9" s="233">
        <f>'P&amp;L'!E34</f>
        <v>-77.981325999999854</v>
      </c>
      <c r="F9" s="233">
        <f>'P&amp;L'!F34</f>
        <v>-97.027368019082814</v>
      </c>
      <c r="G9" s="233">
        <f>'P&amp;L'!G34</f>
        <v>7.1863684852389724</v>
      </c>
      <c r="H9" s="233">
        <f>'P&amp;L'!H34</f>
        <v>160.07849525589995</v>
      </c>
      <c r="I9" s="233">
        <f>'P&amp;L'!I34</f>
        <v>308.55422000805743</v>
      </c>
      <c r="J9" s="233">
        <f>'P&amp;L'!J34</f>
        <v>468.74366044377621</v>
      </c>
      <c r="K9" s="233">
        <f>'P&amp;L'!K34</f>
        <v>654.11253742142003</v>
      </c>
      <c r="L9" s="484">
        <f>'P&amp;L'!L34</f>
        <v>840.72298700240526</v>
      </c>
      <c r="M9" s="506" t="s">
        <v>1194</v>
      </c>
      <c r="N9" s="1210"/>
    </row>
    <row r="10" spans="1:14" ht="15.75" customHeight="1" thickBot="1">
      <c r="A10" s="396" t="s">
        <v>1195</v>
      </c>
      <c r="B10" s="404" t="s">
        <v>733</v>
      </c>
      <c r="C10" s="231"/>
      <c r="D10" s="231">
        <f>'P&amp;L'!D41</f>
        <v>0</v>
      </c>
      <c r="E10" s="231">
        <f>'P&amp;L'!E41</f>
        <v>0</v>
      </c>
      <c r="F10" s="231">
        <f>'P&amp;L'!F41</f>
        <v>0</v>
      </c>
      <c r="G10" s="231">
        <f>'P&amp;L'!G41</f>
        <v>1.6811173248442532</v>
      </c>
      <c r="H10" s="231">
        <f>'P&amp;L'!H41</f>
        <v>9.0528636236773714</v>
      </c>
      <c r="I10" s="231">
        <f>'P&amp;L'!I41</f>
        <v>69.068190944196829</v>
      </c>
      <c r="J10" s="231">
        <f>'P&amp;L'!J41</f>
        <v>122.4933893619057</v>
      </c>
      <c r="K10" s="231">
        <f>'P&amp;L'!K41</f>
        <v>169.3422412895215</v>
      </c>
      <c r="L10" s="485">
        <f>'P&amp;L'!L41</f>
        <v>217.40437393907052</v>
      </c>
      <c r="M10" s="506" t="s">
        <v>1196</v>
      </c>
      <c r="N10" s="1210"/>
    </row>
    <row r="11" spans="1:14" ht="15.75" customHeight="1">
      <c r="A11" s="489" t="s">
        <v>1197</v>
      </c>
      <c r="B11" s="490" t="s">
        <v>733</v>
      </c>
      <c r="C11" s="491"/>
      <c r="D11" s="491">
        <f t="shared" ref="D11:L11" si="0">D9-D10</f>
        <v>-109.32600000000002</v>
      </c>
      <c r="E11" s="491">
        <f t="shared" si="0"/>
        <v>-77.981325999999854</v>
      </c>
      <c r="F11" s="491">
        <f t="shared" si="0"/>
        <v>-97.027368019082814</v>
      </c>
      <c r="G11" s="491">
        <f t="shared" si="0"/>
        <v>5.5052511603947192</v>
      </c>
      <c r="H11" s="491">
        <f t="shared" si="0"/>
        <v>151.02563163222257</v>
      </c>
      <c r="I11" s="491">
        <f t="shared" si="0"/>
        <v>239.4860290638606</v>
      </c>
      <c r="J11" s="491">
        <f t="shared" si="0"/>
        <v>346.25027108187049</v>
      </c>
      <c r="K11" s="491">
        <f t="shared" si="0"/>
        <v>484.77029613189853</v>
      </c>
      <c r="L11" s="492">
        <f t="shared" si="0"/>
        <v>623.31861306333474</v>
      </c>
      <c r="M11" s="506" t="s">
        <v>1198</v>
      </c>
      <c r="N11" s="1210"/>
    </row>
    <row r="12" spans="1:14" ht="15.75" customHeight="1">
      <c r="A12" s="486"/>
      <c r="B12" s="1194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1195"/>
      <c r="N12" s="1210"/>
    </row>
    <row r="13" spans="1:14" ht="21.95" customHeight="1">
      <c r="A13" s="1508" t="s">
        <v>1199</v>
      </c>
      <c r="B13" s="1493"/>
      <c r="C13" s="1493"/>
      <c r="D13" s="1493"/>
      <c r="E13" s="1493"/>
      <c r="F13" s="1493"/>
      <c r="G13" s="1493"/>
      <c r="H13" s="1493"/>
      <c r="I13" s="1493"/>
      <c r="J13" s="1493"/>
      <c r="K13" s="1493"/>
      <c r="L13" s="1493"/>
      <c r="M13" s="1531"/>
      <c r="N13" s="1210"/>
    </row>
    <row r="14" spans="1:14" ht="15.75" customHeight="1">
      <c r="A14" s="396" t="s">
        <v>1200</v>
      </c>
      <c r="B14" s="404" t="s">
        <v>733</v>
      </c>
      <c r="C14" s="103"/>
      <c r="D14" s="231">
        <f>'P&amp;L'!D8*Assumptions!$F$52</f>
        <v>18.221000000000004</v>
      </c>
      <c r="E14" s="231">
        <f>'P&amp;L'!E8*Assumptions!$F$52</f>
        <v>30.731994125000007</v>
      </c>
      <c r="F14" s="231">
        <f>'P&amp;L'!F8*Assumptions!$F$52</f>
        <v>44.917176851435002</v>
      </c>
      <c r="G14" s="231">
        <f>'P&amp;L'!G8*Assumptions!$F$52</f>
        <v>60.317455868106549</v>
      </c>
      <c r="H14" s="231">
        <f>'P&amp;L'!H8*Assumptions!$F$52</f>
        <v>75.55688106190027</v>
      </c>
      <c r="I14" s="231">
        <f>'P&amp;L'!I8*Assumptions!$F$52</f>
        <v>90.229863530811059</v>
      </c>
      <c r="J14" s="231">
        <f>'P&amp;L'!J8*Assumptions!$F$52</f>
        <v>104.23512085677569</v>
      </c>
      <c r="K14" s="231">
        <f>'P&amp;L'!K8*Assumptions!$F$52</f>
        <v>117.26434877639808</v>
      </c>
      <c r="L14" s="487">
        <f>'P&amp;L'!L8*Assumptions!$F$52</f>
        <v>129.01279526707143</v>
      </c>
      <c r="M14" s="506" t="s">
        <v>1201</v>
      </c>
      <c r="N14" s="1210"/>
    </row>
    <row r="15" spans="1:14" ht="15.75" customHeight="1">
      <c r="A15" s="18" t="s">
        <v>1202</v>
      </c>
      <c r="B15" s="403" t="s">
        <v>733</v>
      </c>
      <c r="C15" s="1194"/>
      <c r="D15" s="233">
        <f>-'P&amp;L'!D8*Assumptions!$F$48</f>
        <v>-20.824000000000002</v>
      </c>
      <c r="E15" s="233">
        <f>-'P&amp;L'!E8*Assumptions!$F$48</f>
        <v>-35.122279000000006</v>
      </c>
      <c r="F15" s="233">
        <f>-'P&amp;L'!F8*Assumptions!$F$48</f>
        <v>-51.333916401640003</v>
      </c>
      <c r="G15" s="233">
        <f>-'P&amp;L'!G8*Assumptions!$F$48</f>
        <v>-68.934235277836052</v>
      </c>
      <c r="H15" s="233">
        <f>-'P&amp;L'!H8*Assumptions!$F$48</f>
        <v>-86.350721213600295</v>
      </c>
      <c r="I15" s="233">
        <f>-'P&amp;L'!I8*Assumptions!$F$48</f>
        <v>-103.11984403521262</v>
      </c>
      <c r="J15" s="233">
        <f>-'P&amp;L'!J8*Assumptions!$F$48</f>
        <v>-119.12585240774365</v>
      </c>
      <c r="K15" s="233">
        <f>-'P&amp;L'!K8*Assumptions!$F$48</f>
        <v>-134.01639860159779</v>
      </c>
      <c r="L15" s="488">
        <f>-'P&amp;L'!L8*Assumptions!$F$48</f>
        <v>-147.44319459093876</v>
      </c>
      <c r="M15" s="506" t="s">
        <v>1203</v>
      </c>
      <c r="N15" s="1210"/>
    </row>
    <row r="16" spans="1:14" ht="15.75" customHeight="1">
      <c r="A16" s="396" t="s">
        <v>1204</v>
      </c>
      <c r="B16" s="404" t="s">
        <v>733</v>
      </c>
      <c r="C16" s="103"/>
      <c r="D16" s="231">
        <f>'WC &amp; Cash'!D27</f>
        <v>100.42957534246575</v>
      </c>
      <c r="E16" s="231">
        <f>'WC &amp; Cash'!E27</f>
        <v>172.48866894349314</v>
      </c>
      <c r="F16" s="231">
        <f>'WC &amp; Cash'!F27</f>
        <v>213.67391175041618</v>
      </c>
      <c r="G16" s="231">
        <f>'WC &amp; Cash'!G27</f>
        <v>213.48945830071207</v>
      </c>
      <c r="H16" s="231">
        <f>'WC &amp; Cash'!H27</f>
        <v>210.18254176806809</v>
      </c>
      <c r="I16" s="231">
        <f>'WC &amp; Cash'!I27</f>
        <v>197.65834493819582</v>
      </c>
      <c r="J16" s="231">
        <f>'WC &amp; Cash'!J27</f>
        <v>192.11999124645649</v>
      </c>
      <c r="K16" s="231">
        <f>'WC &amp; Cash'!K27</f>
        <v>170.70588362154925</v>
      </c>
      <c r="L16" s="487">
        <f>'WC &amp; Cash'!L27</f>
        <v>153.29619609413268</v>
      </c>
      <c r="M16" s="506" t="s">
        <v>1205</v>
      </c>
      <c r="N16" s="1210"/>
    </row>
    <row r="17" spans="1:13" ht="15.75" customHeight="1" thickBot="1">
      <c r="A17" s="1385" t="s">
        <v>1206</v>
      </c>
      <c r="B17" s="499"/>
      <c r="C17" s="1195"/>
      <c r="D17" s="1195"/>
      <c r="E17" s="1195"/>
      <c r="F17" s="1195"/>
      <c r="G17" s="1195"/>
      <c r="H17" s="1195"/>
      <c r="I17" s="1195"/>
      <c r="J17" s="1195"/>
      <c r="K17" s="1195"/>
      <c r="L17" s="1385"/>
      <c r="M17" s="507" t="s">
        <v>1207</v>
      </c>
    </row>
    <row r="18" spans="1:13" ht="15.75" customHeight="1" thickBot="1">
      <c r="A18" s="493" t="s">
        <v>1208</v>
      </c>
      <c r="B18" s="494" t="s">
        <v>733</v>
      </c>
      <c r="C18" s="495"/>
      <c r="D18" s="496">
        <f t="shared" ref="D18:L18" si="1">D11+D14+D15+D16</f>
        <v>-11.499424657534263</v>
      </c>
      <c r="E18" s="496">
        <f t="shared" si="1"/>
        <v>90.117058068493293</v>
      </c>
      <c r="F18" s="496">
        <f t="shared" si="1"/>
        <v>110.22980418112837</v>
      </c>
      <c r="G18" s="496">
        <f t="shared" si="1"/>
        <v>210.37793005137729</v>
      </c>
      <c r="H18" s="496">
        <f t="shared" si="1"/>
        <v>350.41433324859065</v>
      </c>
      <c r="I18" s="496">
        <f t="shared" si="1"/>
        <v>424.25439349765486</v>
      </c>
      <c r="J18" s="496">
        <f t="shared" si="1"/>
        <v>523.47953077735906</v>
      </c>
      <c r="K18" s="496">
        <f t="shared" si="1"/>
        <v>638.72412992824809</v>
      </c>
      <c r="L18" s="497">
        <f t="shared" si="1"/>
        <v>758.18440983360006</v>
      </c>
      <c r="M18" s="506" t="s">
        <v>1209</v>
      </c>
    </row>
    <row r="19" spans="1:13" ht="15.75" customHeight="1" thickTop="1">
      <c r="A19" s="48"/>
      <c r="B19" s="1210"/>
      <c r="C19" s="1210"/>
      <c r="D19" s="1210"/>
      <c r="E19" s="1210"/>
      <c r="F19" s="1210"/>
      <c r="G19" s="1210"/>
      <c r="H19" s="1210"/>
      <c r="I19" s="1210"/>
      <c r="J19" s="1210"/>
      <c r="K19" s="1210"/>
      <c r="L19" s="1210"/>
      <c r="M19" s="1195"/>
    </row>
    <row r="20" spans="1:13" ht="21.95" customHeight="1">
      <c r="A20" s="1492" t="s">
        <v>1210</v>
      </c>
      <c r="B20" s="1530"/>
      <c r="C20" s="1530"/>
      <c r="D20" s="1530"/>
      <c r="E20" s="1530"/>
      <c r="F20" s="1530"/>
      <c r="G20" s="1530"/>
      <c r="H20" s="1530"/>
      <c r="I20" s="1530"/>
      <c r="J20" s="1530"/>
      <c r="K20" s="1530"/>
      <c r="L20" s="1530"/>
      <c r="M20" s="1531"/>
    </row>
    <row r="21" spans="1:13" ht="15.75" customHeight="1">
      <c r="A21" s="498" t="s">
        <v>1211</v>
      </c>
      <c r="B21" s="403" t="s">
        <v>746</v>
      </c>
      <c r="C21" s="104"/>
      <c r="D21" s="500">
        <f>IFERROR(D18/'P&amp;L'!D8,0)</f>
        <v>-2.2088791120887942E-2</v>
      </c>
      <c r="E21" s="500">
        <f>IFERROR(E18/'P&amp;L'!E8,0)</f>
        <v>0.10263235830282344</v>
      </c>
      <c r="F21" s="500">
        <f>IFERROR(F18/'P&amp;L'!F8,0)</f>
        <v>8.5892378301069411E-2</v>
      </c>
      <c r="G21" s="500">
        <f>IFERROR(G18/'P&amp;L'!G8,0)</f>
        <v>0.12207457104787447</v>
      </c>
      <c r="H21" s="500">
        <f>IFERROR(H18/'P&amp;L'!H8,0)</f>
        <v>0.16232143904475005</v>
      </c>
      <c r="I21" s="500">
        <f>IFERROR(I18/'P&amp;L'!I8,0)</f>
        <v>0.16456750782236773</v>
      </c>
      <c r="J21" s="500">
        <f>IFERROR(J18/'P&amp;L'!J8,0)</f>
        <v>0.17577361091548618</v>
      </c>
      <c r="K21" s="500">
        <f>IFERROR(K18/'P&amp;L'!K8,0)</f>
        <v>0.19064058923924343</v>
      </c>
      <c r="L21" s="501">
        <f>IFERROR(L18/'P&amp;L'!L8,0)</f>
        <v>0.20568854654487928</v>
      </c>
      <c r="M21" s="507" t="s">
        <v>1212</v>
      </c>
    </row>
    <row r="22" spans="1:13" ht="15.75" customHeight="1">
      <c r="A22" s="502" t="s">
        <v>1213</v>
      </c>
      <c r="B22" s="503" t="s">
        <v>746</v>
      </c>
      <c r="C22" s="348"/>
      <c r="D22" s="504"/>
      <c r="E22" s="504">
        <f>IFERROR(('P&amp;L'!E8/'P&amp;L'!D8-1)*100 + E21*100,0)</f>
        <v>78.925735830282349</v>
      </c>
      <c r="F22" s="504">
        <f>IFERROR(('P&amp;L'!F8/'P&amp;L'!E8-1)*100 + F21*100,0)</f>
        <v>54.746941325486603</v>
      </c>
      <c r="G22" s="504">
        <f>IFERROR(('P&amp;L'!G8/'P&amp;L'!F8-1)*100 + G21*100,0)</f>
        <v>46.493403141886944</v>
      </c>
      <c r="H22" s="504">
        <f>IFERROR(('P&amp;L'!H8/'P&amp;L'!G8-1)*100 + H21*100,0)</f>
        <v>41.497508589479423</v>
      </c>
      <c r="I22" s="504">
        <f>IFERROR(('P&amp;L'!I8/'P&amp;L'!H8-1)*100 + I21*100,0)</f>
        <v>35.876533947836066</v>
      </c>
      <c r="J22" s="504">
        <f>IFERROR(('P&amp;L'!J8/'P&amp;L'!I8-1)*100 + J21*100,0)</f>
        <v>33.099114952100805</v>
      </c>
      <c r="K22" s="504">
        <f>IFERROR(('P&amp;L'!K8/'P&amp;L'!J8-1)*100 + K21*100,0)</f>
        <v>31.563903326201391</v>
      </c>
      <c r="L22" s="505">
        <f>IFERROR(('P&amp;L'!L8/'P&amp;L'!K8-1)*100 + L21*100,0)</f>
        <v>30.587625588077913</v>
      </c>
      <c r="M22" s="507" t="s">
        <v>1214</v>
      </c>
    </row>
    <row r="23" spans="1:13" ht="15.75" customHeight="1">
      <c r="A23" s="1210"/>
      <c r="B23" s="1210"/>
      <c r="C23" s="1210"/>
      <c r="D23" s="1210"/>
      <c r="E23" s="1210"/>
      <c r="F23" s="1210"/>
      <c r="G23" s="1210"/>
      <c r="H23" s="1210"/>
      <c r="I23" s="1210"/>
      <c r="J23" s="1210"/>
      <c r="K23" s="1210"/>
      <c r="L23" s="1210"/>
      <c r="M23" s="1210"/>
    </row>
    <row r="24" spans="1:13" ht="15.75" customHeight="1">
      <c r="A24" s="1210"/>
      <c r="B24" s="1210"/>
      <c r="C24" s="1210"/>
      <c r="D24" s="1210"/>
      <c r="E24" s="1210"/>
      <c r="F24" s="1210"/>
      <c r="G24" s="1210"/>
      <c r="H24" s="1210"/>
      <c r="I24" s="1210"/>
      <c r="J24" s="1210"/>
      <c r="K24" s="1210"/>
      <c r="L24" s="1210"/>
      <c r="M24" s="1210"/>
    </row>
    <row r="25" spans="1:13" ht="15.75" customHeight="1">
      <c r="A25" s="1210"/>
      <c r="B25" s="1210"/>
      <c r="C25" s="1210"/>
      <c r="D25" s="1210"/>
      <c r="E25" s="1210"/>
      <c r="F25" s="1210"/>
      <c r="G25" s="1210"/>
      <c r="H25" s="1210"/>
      <c r="I25" s="1210"/>
      <c r="J25" s="1210"/>
      <c r="K25" s="1210"/>
      <c r="L25" s="1210"/>
      <c r="M25" s="1210"/>
    </row>
    <row r="26" spans="1:13" ht="15.75" customHeight="1">
      <c r="A26" s="1210"/>
      <c r="B26" s="1210"/>
      <c r="C26" s="1210"/>
      <c r="D26" s="1210"/>
      <c r="E26" s="1210"/>
      <c r="F26" s="1210"/>
      <c r="G26" s="1210"/>
      <c r="H26" s="1210"/>
      <c r="I26" s="1210"/>
      <c r="J26" s="1210"/>
      <c r="K26" s="1210"/>
      <c r="L26" s="1210"/>
      <c r="M26" s="1210"/>
    </row>
    <row r="27" spans="1:13" ht="15.75" customHeight="1">
      <c r="A27" s="1210"/>
      <c r="B27" s="1210"/>
      <c r="C27" s="1210"/>
      <c r="D27" s="1210"/>
      <c r="E27" s="1210"/>
      <c r="F27" s="1210"/>
      <c r="G27" s="1210"/>
      <c r="H27" s="1210"/>
      <c r="I27" s="1210"/>
      <c r="J27" s="1210"/>
      <c r="K27" s="1210"/>
      <c r="L27" s="1210"/>
      <c r="M27" s="1210"/>
    </row>
    <row r="28" spans="1:13" ht="15.75" customHeight="1">
      <c r="A28" s="1210"/>
      <c r="B28" s="1210"/>
      <c r="C28" s="1210"/>
      <c r="D28" s="1210"/>
      <c r="E28" s="1210"/>
      <c r="F28" s="1210"/>
      <c r="G28" s="1210"/>
      <c r="H28" s="1210"/>
      <c r="I28" s="1210"/>
      <c r="J28" s="1210"/>
      <c r="K28" s="1210"/>
      <c r="L28" s="1210"/>
      <c r="M28" s="1210"/>
    </row>
    <row r="29" spans="1:13" ht="15.75" customHeight="1">
      <c r="A29" s="1210"/>
      <c r="B29" s="1210"/>
      <c r="C29" s="1210"/>
      <c r="D29" s="1210"/>
      <c r="E29" s="1210"/>
      <c r="F29" s="1210"/>
      <c r="G29" s="1210"/>
      <c r="H29" s="1210"/>
      <c r="I29" s="1210"/>
      <c r="J29" s="1210"/>
      <c r="K29" s="1210"/>
      <c r="L29" s="1210"/>
      <c r="M29" s="1210"/>
    </row>
    <row r="30" spans="1:13" ht="15.75" customHeight="1">
      <c r="A30" s="1210"/>
      <c r="B30" s="1210"/>
      <c r="C30" s="1210"/>
      <c r="D30" s="1210"/>
      <c r="E30" s="1210"/>
      <c r="F30" s="1210"/>
      <c r="G30" s="1210"/>
      <c r="H30" s="1210"/>
      <c r="I30" s="1210"/>
      <c r="J30" s="1210"/>
      <c r="K30" s="1210"/>
      <c r="L30" s="1210"/>
      <c r="M30" s="1210"/>
    </row>
    <row r="31" spans="1:13" ht="15.75" customHeight="1">
      <c r="A31" s="1210"/>
      <c r="B31" s="1210"/>
      <c r="C31" s="1210"/>
      <c r="D31" s="1210"/>
      <c r="E31" s="1210"/>
      <c r="F31" s="1210"/>
      <c r="G31" s="1210"/>
      <c r="H31" s="1210"/>
      <c r="I31" s="1210"/>
      <c r="J31" s="1210"/>
      <c r="K31" s="1210"/>
      <c r="L31" s="1210"/>
      <c r="M31" s="1210"/>
    </row>
    <row r="32" spans="1:13" ht="15.75" customHeight="1">
      <c r="A32" s="1210"/>
      <c r="B32" s="1210"/>
      <c r="C32" s="1210"/>
      <c r="D32" s="1210"/>
      <c r="E32" s="1210"/>
      <c r="F32" s="1210"/>
      <c r="G32" s="1210"/>
      <c r="H32" s="1210"/>
      <c r="I32" s="1210"/>
      <c r="J32" s="1210"/>
      <c r="K32" s="1210"/>
      <c r="L32" s="1210"/>
      <c r="M32" s="121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</sheetData>
  <mergeCells count="5">
    <mergeCell ref="A1:N1"/>
    <mergeCell ref="A2:N2"/>
    <mergeCell ref="A8:M8"/>
    <mergeCell ref="A13:M13"/>
    <mergeCell ref="A20:M20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913-9BEF-42B7-8A6A-D447E5C687D7}">
  <sheetPr>
    <tabColor rgb="FF548235"/>
  </sheetPr>
  <dimension ref="A1:N52"/>
  <sheetViews>
    <sheetView showGridLines="0" topLeftCell="A7" workbookViewId="0">
      <selection activeCell="D11" sqref="D11"/>
    </sheetView>
  </sheetViews>
  <sheetFormatPr defaultColWidth="8.85546875" defaultRowHeight="15"/>
  <cols>
    <col min="1" max="1" width="53.28515625" customWidth="1"/>
    <col min="2" max="2" width="8.28515625" customWidth="1"/>
    <col min="3" max="12" width="12.42578125" customWidth="1"/>
    <col min="13" max="13" width="9.140625"/>
  </cols>
  <sheetData>
    <row r="1" spans="1:14" ht="27.95" customHeight="1">
      <c r="A1" s="1532" t="s">
        <v>1215</v>
      </c>
      <c r="B1" s="1532"/>
      <c r="C1" s="1532"/>
      <c r="D1" s="1532"/>
      <c r="E1" s="1532"/>
      <c r="F1" s="1532"/>
      <c r="G1" s="1532"/>
      <c r="H1" s="1532"/>
      <c r="I1" s="1532"/>
      <c r="J1" s="1532"/>
      <c r="K1" s="1532"/>
      <c r="L1" s="1532"/>
      <c r="M1" s="1532"/>
      <c r="N1" s="1532"/>
    </row>
    <row r="2" spans="1:14" ht="15.75" customHeight="1">
      <c r="A2" s="1498" t="s">
        <v>1216</v>
      </c>
      <c r="B2" s="1498"/>
      <c r="C2" s="1498"/>
      <c r="D2" s="1498"/>
      <c r="E2" s="1498"/>
      <c r="F2" s="1498"/>
      <c r="G2" s="1498"/>
      <c r="H2" s="1498"/>
      <c r="I2" s="1498"/>
      <c r="J2" s="1498"/>
      <c r="K2" s="1498"/>
      <c r="L2" s="1498"/>
      <c r="M2" s="1498"/>
      <c r="N2" s="1498"/>
    </row>
    <row r="3" spans="1:14" ht="15.75" customHeight="1">
      <c r="A3" s="1498" t="s">
        <v>1217</v>
      </c>
      <c r="B3" s="1533"/>
      <c r="C3" s="1533"/>
      <c r="D3" s="1533"/>
      <c r="E3" s="1533"/>
      <c r="F3" s="1533"/>
      <c r="G3" s="1533"/>
      <c r="H3" s="1533"/>
      <c r="I3" s="1533"/>
      <c r="J3" s="1533"/>
      <c r="K3" s="1533"/>
      <c r="L3" s="1533"/>
      <c r="M3" s="1210"/>
      <c r="N3" s="1210"/>
    </row>
    <row r="4" spans="1:14" ht="15.75" customHeight="1">
      <c r="A4" s="1210"/>
      <c r="B4" s="1210"/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 ht="15.75" customHeight="1">
      <c r="A5" s="387"/>
      <c r="B5" s="387" t="s">
        <v>966</v>
      </c>
      <c r="C5" s="508">
        <v>2024</v>
      </c>
      <c r="D5" s="508">
        <v>2025</v>
      </c>
      <c r="E5" s="508">
        <v>2026</v>
      </c>
      <c r="F5" s="508">
        <v>2027</v>
      </c>
      <c r="G5" s="508">
        <v>2028</v>
      </c>
      <c r="H5" s="508">
        <v>2029</v>
      </c>
      <c r="I5" s="508">
        <v>2030</v>
      </c>
      <c r="J5" s="508">
        <v>2031</v>
      </c>
      <c r="K5" s="508">
        <v>2032</v>
      </c>
      <c r="L5" s="508">
        <v>2033</v>
      </c>
      <c r="M5" s="1210"/>
      <c r="N5" s="1210"/>
    </row>
    <row r="6" spans="1:14" ht="15.75" customHeight="1">
      <c r="A6" s="1210"/>
      <c r="B6" s="1210"/>
      <c r="C6" s="1210"/>
      <c r="D6" s="1210"/>
      <c r="E6" s="1210"/>
      <c r="F6" s="1210"/>
      <c r="G6" s="1210"/>
      <c r="H6" s="1210"/>
      <c r="I6" s="1210"/>
      <c r="J6" s="1210"/>
      <c r="K6" s="1210"/>
      <c r="L6" s="1210"/>
      <c r="M6" s="1210"/>
      <c r="N6" s="1210"/>
    </row>
    <row r="7" spans="1:14" ht="21.95" customHeight="1">
      <c r="A7" s="1486" t="s">
        <v>1218</v>
      </c>
      <c r="B7" s="1534"/>
      <c r="C7" s="1534"/>
      <c r="D7" s="1534"/>
      <c r="E7" s="1534"/>
      <c r="F7" s="1534"/>
      <c r="G7" s="1534"/>
      <c r="H7" s="1534"/>
      <c r="I7" s="1534"/>
      <c r="J7" s="1534"/>
      <c r="K7" s="1534"/>
      <c r="L7" s="1534"/>
      <c r="M7" s="1210"/>
      <c r="N7" s="1210"/>
    </row>
    <row r="8" spans="1:14" ht="15.75" customHeight="1">
      <c r="A8" s="29" t="s">
        <v>1219</v>
      </c>
      <c r="B8" s="75" t="s">
        <v>1220</v>
      </c>
      <c r="C8" s="1194"/>
      <c r="D8" s="509">
        <v>6</v>
      </c>
      <c r="E8" s="1194"/>
      <c r="F8" s="1194"/>
      <c r="G8" s="1194"/>
      <c r="H8" s="1194"/>
      <c r="I8" s="1194"/>
      <c r="J8" s="1194"/>
      <c r="K8" s="1194"/>
      <c r="L8" s="1194"/>
      <c r="M8" s="1210"/>
      <c r="N8" s="1210"/>
    </row>
    <row r="9" spans="1:14" ht="15.75" customHeight="1">
      <c r="A9" s="230" t="s">
        <v>1221</v>
      </c>
      <c r="B9" s="232" t="s">
        <v>1222</v>
      </c>
      <c r="C9" s="103"/>
      <c r="D9" s="510">
        <v>45</v>
      </c>
      <c r="E9" s="103"/>
      <c r="F9" s="103"/>
      <c r="G9" s="103"/>
      <c r="H9" s="103"/>
      <c r="I9" s="103"/>
      <c r="J9" s="103"/>
      <c r="K9" s="103"/>
      <c r="L9" s="103"/>
      <c r="M9" s="1210"/>
      <c r="N9" s="1210"/>
    </row>
    <row r="10" spans="1:14" ht="15.75" customHeight="1">
      <c r="A10" s="29" t="s">
        <v>1223</v>
      </c>
      <c r="B10" s="75" t="s">
        <v>1222</v>
      </c>
      <c r="C10" s="1194"/>
      <c r="D10" s="509">
        <v>18</v>
      </c>
      <c r="E10" s="1194"/>
      <c r="F10" s="1194"/>
      <c r="G10" s="1194"/>
      <c r="H10" s="1194"/>
      <c r="I10" s="1194"/>
      <c r="J10" s="1194"/>
      <c r="K10" s="1194"/>
      <c r="L10" s="1194"/>
      <c r="M10" s="1210"/>
      <c r="N10" s="1210"/>
    </row>
    <row r="11" spans="1:14" ht="15.75" customHeight="1">
      <c r="A11" s="230" t="s">
        <v>1224</v>
      </c>
      <c r="B11" s="232" t="s">
        <v>746</v>
      </c>
      <c r="C11" s="103"/>
      <c r="D11" s="511">
        <v>1.4999999999999999E-2</v>
      </c>
      <c r="E11" s="103"/>
      <c r="F11" s="103"/>
      <c r="G11" s="103"/>
      <c r="H11" s="103"/>
      <c r="I11" s="103"/>
      <c r="J11" s="103"/>
      <c r="K11" s="103"/>
      <c r="L11" s="103"/>
      <c r="M11" s="1210"/>
      <c r="N11" s="1210"/>
    </row>
    <row r="12" spans="1:14" ht="15.75" customHeight="1">
      <c r="A12" s="29" t="s">
        <v>1225</v>
      </c>
      <c r="B12" s="75" t="s">
        <v>733</v>
      </c>
      <c r="C12" s="1194"/>
      <c r="D12" s="30">
        <v>75</v>
      </c>
      <c r="E12" s="1194"/>
      <c r="F12" s="1194"/>
      <c r="G12" s="1194"/>
      <c r="H12" s="1194"/>
      <c r="I12" s="1194"/>
      <c r="J12" s="1194"/>
      <c r="K12" s="1194"/>
      <c r="L12" s="1194"/>
      <c r="M12" s="1210"/>
      <c r="N12" s="1210"/>
    </row>
    <row r="13" spans="1:14" ht="15.75" customHeight="1">
      <c r="A13" s="29" t="s">
        <v>1226</v>
      </c>
      <c r="B13" s="75" t="s">
        <v>733</v>
      </c>
      <c r="C13" s="1194"/>
      <c r="D13" s="30">
        <v>220</v>
      </c>
      <c r="E13" s="1194"/>
      <c r="F13" s="1194"/>
      <c r="G13" s="1194"/>
      <c r="H13" s="1194"/>
      <c r="I13" s="1194"/>
      <c r="J13" s="1194"/>
      <c r="K13" s="1194"/>
      <c r="L13" s="1194"/>
      <c r="M13" s="1210"/>
      <c r="N13" s="1210"/>
    </row>
    <row r="14" spans="1:14" ht="15.75" customHeight="1">
      <c r="A14" s="230" t="s">
        <v>1227</v>
      </c>
      <c r="B14" s="232" t="s">
        <v>733</v>
      </c>
      <c r="C14" s="103"/>
      <c r="D14" s="512">
        <v>0</v>
      </c>
      <c r="E14" s="512">
        <v>575</v>
      </c>
      <c r="F14" s="103"/>
      <c r="G14" s="103"/>
      <c r="H14" s="103"/>
      <c r="I14" s="103"/>
      <c r="J14" s="103"/>
      <c r="K14" s="103"/>
      <c r="L14" s="103"/>
      <c r="M14" s="1210"/>
      <c r="N14" s="1210"/>
    </row>
    <row r="15" spans="1:14" ht="15.75" customHeight="1">
      <c r="A15" s="1194"/>
      <c r="B15" s="1194"/>
      <c r="C15" s="1194"/>
      <c r="D15" s="1194"/>
      <c r="E15" s="1194"/>
      <c r="F15" s="1194"/>
      <c r="G15" s="1194"/>
      <c r="H15" s="1194"/>
      <c r="I15" s="1194"/>
      <c r="J15" s="1194"/>
      <c r="K15" s="1194"/>
      <c r="L15" s="1194"/>
      <c r="M15" s="1210"/>
      <c r="N15" s="1210"/>
    </row>
    <row r="16" spans="1:14" ht="21.95" customHeight="1">
      <c r="A16" s="1505" t="s">
        <v>1228</v>
      </c>
      <c r="B16" s="1499"/>
      <c r="C16" s="1499"/>
      <c r="D16" s="1499"/>
      <c r="E16" s="1499"/>
      <c r="F16" s="1499"/>
      <c r="G16" s="1499"/>
      <c r="H16" s="1499"/>
      <c r="I16" s="1499"/>
      <c r="J16" s="1499"/>
      <c r="K16" s="1499"/>
      <c r="L16" s="1499"/>
      <c r="M16" s="1210"/>
      <c r="N16" s="1210"/>
    </row>
    <row r="17" spans="1:12" ht="15.75" customHeight="1">
      <c r="A17" s="1194" t="s">
        <v>1229</v>
      </c>
      <c r="B17" s="75" t="s">
        <v>733</v>
      </c>
      <c r="C17" s="233">
        <f>D13</f>
        <v>220</v>
      </c>
      <c r="D17" s="233">
        <f>Members!D34*ARPU!D10*$D$8/12</f>
        <v>342.5</v>
      </c>
      <c r="E17" s="233">
        <f>Members!E34*ARPU!E10*$D$8/12</f>
        <v>525.28197499999999</v>
      </c>
      <c r="F17" s="233">
        <f>Members!F34*ARPU!F10*$D$8/12</f>
        <v>742.307475791</v>
      </c>
      <c r="G17" s="233">
        <f>Members!G34*ARPU!G10*$D$8/12</f>
        <v>958.77918188117144</v>
      </c>
      <c r="H17" s="233">
        <f>Members!H34*ARPU!H10*$D$8/12</f>
        <v>1171.2254730024013</v>
      </c>
      <c r="I17" s="233">
        <f>Members!I34*ARPU!I10*$D$8/12</f>
        <v>1371.633863687842</v>
      </c>
      <c r="J17" s="233">
        <f>Members!J34*ARPU!J10*$D$8/12</f>
        <v>1565.3634305951134</v>
      </c>
      <c r="K17" s="233">
        <f>Members!K34*ARPU!K10*$D$8/12</f>
        <v>1738.0856315269782</v>
      </c>
      <c r="L17" s="233">
        <f>Members!L34*ARPU!L10*$D$8/12</f>
        <v>1895.8516643006817</v>
      </c>
    </row>
    <row r="18" spans="1:12" ht="15.75" customHeight="1">
      <c r="A18" s="103" t="s">
        <v>1230</v>
      </c>
      <c r="B18" s="232" t="s">
        <v>733</v>
      </c>
      <c r="C18" s="231">
        <v>0</v>
      </c>
      <c r="D18" s="231">
        <f>'P&amp;L'!E13*$D$9/365</f>
        <v>24.530794520547939</v>
      </c>
      <c r="E18" s="231">
        <f>'P&amp;L'!F13*$D$9/365</f>
        <v>30.018236054794507</v>
      </c>
      <c r="F18" s="231">
        <f>'P&amp;L'!G13*$D$9/365</f>
        <v>31.835138695890393</v>
      </c>
      <c r="G18" s="231">
        <f>'P&amp;L'!H13*$D$9/365</f>
        <v>32.879976748865737</v>
      </c>
      <c r="H18" s="231">
        <f>'P&amp;L'!I13*$D$9/365</f>
        <v>32.913463476898258</v>
      </c>
      <c r="I18" s="231">
        <f>'P&amp;L'!J13*$D$9/365</f>
        <v>33.192533152640728</v>
      </c>
      <c r="J18" s="231">
        <f>'P&amp;L'!K13*$D$9/365</f>
        <v>32.120348495935055</v>
      </c>
      <c r="K18" s="231">
        <f>'P&amp;L'!L13*$D$9/365</f>
        <v>31.306429070567255</v>
      </c>
      <c r="L18" s="231">
        <f>K18*1.05</f>
        <v>32.871750524095617</v>
      </c>
    </row>
    <row r="19" spans="1:12" ht="15.75" customHeight="1">
      <c r="A19" s="1194" t="s">
        <v>1231</v>
      </c>
      <c r="B19" s="75" t="s">
        <v>733</v>
      </c>
      <c r="C19" s="233">
        <v>0</v>
      </c>
      <c r="D19" s="233">
        <f>'P&amp;L'!D14*$D$10/365</f>
        <v>10.269369863013699</v>
      </c>
      <c r="E19" s="233">
        <f>'P&amp;L'!E14*$D$10/365</f>
        <v>10.825359965753426</v>
      </c>
      <c r="F19" s="233">
        <f>'P&amp;L'!F14*$D$10/365</f>
        <v>15.370037591880468</v>
      </c>
      <c r="G19" s="233">
        <f>'P&amp;L'!G14*$D$10/365</f>
        <v>20.032747433969966</v>
      </c>
      <c r="H19" s="233">
        <f>'P&amp;L'!H14*$D$10/365</f>
        <v>24.333667034752335</v>
      </c>
      <c r="I19" s="233">
        <f>'P&amp;L'!I14*$D$10/365</f>
        <v>28.151112021354528</v>
      </c>
      <c r="J19" s="233">
        <f>'P&amp;L'!J14*$D$10/365</f>
        <v>31.471604843533058</v>
      </c>
      <c r="K19" s="233">
        <f>'P&amp;L'!K14*$D$10/365</f>
        <v>34.225322930545033</v>
      </c>
      <c r="L19" s="233">
        <f>'P&amp;L'!L14*$D$10/365</f>
        <v>36.35585620050545</v>
      </c>
    </row>
    <row r="20" spans="1:12" ht="15.75" customHeight="1">
      <c r="A20" s="103" t="s">
        <v>1232</v>
      </c>
      <c r="B20" s="232" t="s">
        <v>733</v>
      </c>
      <c r="C20" s="231">
        <v>0</v>
      </c>
      <c r="D20" s="231">
        <f>'P&amp;L'!D8*$D$11</f>
        <v>7.8090000000000002</v>
      </c>
      <c r="E20" s="231">
        <f>'P&amp;L'!E8*$D$11</f>
        <v>13.170854625</v>
      </c>
      <c r="F20" s="231">
        <f>'P&amp;L'!F8*$D$11</f>
        <v>19.250218650615</v>
      </c>
      <c r="G20" s="231">
        <f>'P&amp;L'!G8*$D$11</f>
        <v>25.85033822918852</v>
      </c>
      <c r="H20" s="231">
        <f>'P&amp;L'!H8*$D$11</f>
        <v>32.381520455100109</v>
      </c>
      <c r="I20" s="231">
        <f>'P&amp;L'!I8*$D$11</f>
        <v>38.669941513204733</v>
      </c>
      <c r="J20" s="231">
        <f>'P&amp;L'!J8*$D$11</f>
        <v>44.672194652903862</v>
      </c>
      <c r="K20" s="231">
        <f>'P&amp;L'!K8*$D$11</f>
        <v>50.256149475599173</v>
      </c>
      <c r="L20" s="231">
        <f>'P&amp;L'!L8*$D$11</f>
        <v>55.291197971602038</v>
      </c>
    </row>
    <row r="21" spans="1:12" ht="15.75" customHeight="1">
      <c r="A21" s="1194"/>
      <c r="B21" s="1194"/>
      <c r="C21" s="1194"/>
      <c r="D21" s="1194"/>
      <c r="E21" s="1194"/>
      <c r="F21" s="1194"/>
      <c r="G21" s="1194"/>
      <c r="H21" s="1194"/>
      <c r="I21" s="1194"/>
      <c r="J21" s="1194"/>
      <c r="K21" s="1194"/>
      <c r="L21" s="1194"/>
    </row>
    <row r="22" spans="1:12" ht="21.95" customHeight="1">
      <c r="A22" s="1505" t="s">
        <v>1233</v>
      </c>
      <c r="B22" s="1499"/>
      <c r="C22" s="1499"/>
      <c r="D22" s="1499"/>
      <c r="E22" s="1499"/>
      <c r="F22" s="1499"/>
      <c r="G22" s="1499"/>
      <c r="H22" s="1499"/>
      <c r="I22" s="1499"/>
      <c r="J22" s="1499"/>
      <c r="K22" s="1499"/>
      <c r="L22" s="1499"/>
    </row>
    <row r="23" spans="1:12" ht="15.75" customHeight="1">
      <c r="A23" s="1194" t="s">
        <v>1234</v>
      </c>
      <c r="B23" s="75" t="s">
        <v>733</v>
      </c>
      <c r="C23" s="233"/>
      <c r="D23" s="233">
        <f t="shared" ref="D23:L23" si="0">D17-C17</f>
        <v>122.5</v>
      </c>
      <c r="E23" s="233">
        <f t="shared" si="0"/>
        <v>182.78197499999999</v>
      </c>
      <c r="F23" s="233">
        <f t="shared" si="0"/>
        <v>217.02550079100001</v>
      </c>
      <c r="G23" s="233">
        <f t="shared" si="0"/>
        <v>216.47170609017144</v>
      </c>
      <c r="H23" s="233">
        <f t="shared" si="0"/>
        <v>212.44629112122982</v>
      </c>
      <c r="I23" s="233">
        <f t="shared" si="0"/>
        <v>200.40839068544074</v>
      </c>
      <c r="J23" s="233">
        <f t="shared" si="0"/>
        <v>193.72956690727142</v>
      </c>
      <c r="K23" s="233">
        <f t="shared" si="0"/>
        <v>172.72220093186479</v>
      </c>
      <c r="L23" s="233">
        <f t="shared" si="0"/>
        <v>157.7660327737035</v>
      </c>
    </row>
    <row r="24" spans="1:12" ht="15.75" customHeight="1">
      <c r="A24" s="103" t="s">
        <v>1235</v>
      </c>
      <c r="B24" s="232" t="s">
        <v>733</v>
      </c>
      <c r="C24" s="231"/>
      <c r="D24" s="231">
        <f t="shared" ref="D24:L24" si="1">-(D18-C18)</f>
        <v>-24.530794520547939</v>
      </c>
      <c r="E24" s="231">
        <f t="shared" si="1"/>
        <v>-5.4874415342465674</v>
      </c>
      <c r="F24" s="231">
        <f t="shared" si="1"/>
        <v>-1.8169026410958864</v>
      </c>
      <c r="G24" s="231">
        <f t="shared" si="1"/>
        <v>-1.0448380529753436</v>
      </c>
      <c r="H24" s="231">
        <f t="shared" si="1"/>
        <v>-3.3486728032521285E-2</v>
      </c>
      <c r="I24" s="231">
        <f t="shared" si="1"/>
        <v>-0.27906967574246977</v>
      </c>
      <c r="J24" s="231">
        <f t="shared" si="1"/>
        <v>1.072184656705673</v>
      </c>
      <c r="K24" s="231">
        <f t="shared" si="1"/>
        <v>0.81391942536779993</v>
      </c>
      <c r="L24" s="231">
        <f t="shared" si="1"/>
        <v>-1.5653214535283624</v>
      </c>
    </row>
    <row r="25" spans="1:12" ht="15.75" customHeight="1">
      <c r="A25" s="1194" t="s">
        <v>1236</v>
      </c>
      <c r="B25" s="75" t="s">
        <v>733</v>
      </c>
      <c r="C25" s="233"/>
      <c r="D25" s="233">
        <f t="shared" ref="D25:L25" si="2">D19-C19</f>
        <v>10.269369863013699</v>
      </c>
      <c r="E25" s="233">
        <f t="shared" si="2"/>
        <v>0.55599010273972738</v>
      </c>
      <c r="F25" s="233">
        <f t="shared" si="2"/>
        <v>4.5446776261270418</v>
      </c>
      <c r="G25" s="233">
        <f t="shared" si="2"/>
        <v>4.6627098420894981</v>
      </c>
      <c r="H25" s="233">
        <f t="shared" si="2"/>
        <v>4.3009196007823682</v>
      </c>
      <c r="I25" s="233">
        <f t="shared" si="2"/>
        <v>3.8174449866021938</v>
      </c>
      <c r="J25" s="233">
        <f t="shared" si="2"/>
        <v>3.3204928221785295</v>
      </c>
      <c r="K25" s="233">
        <f t="shared" si="2"/>
        <v>2.7537180870119755</v>
      </c>
      <c r="L25" s="233">
        <f t="shared" si="2"/>
        <v>2.1305332699604165</v>
      </c>
    </row>
    <row r="26" spans="1:12" ht="15.75" customHeight="1" thickBot="1">
      <c r="A26" s="103" t="s">
        <v>1237</v>
      </c>
      <c r="B26" s="232" t="s">
        <v>733</v>
      </c>
      <c r="C26" s="231"/>
      <c r="D26" s="231">
        <f t="shared" ref="D26:L26" si="3">-(D20-C20)</f>
        <v>-7.8090000000000002</v>
      </c>
      <c r="E26" s="231">
        <f t="shared" si="3"/>
        <v>-5.3618546250000003</v>
      </c>
      <c r="F26" s="231">
        <f t="shared" si="3"/>
        <v>-6.0793640256149999</v>
      </c>
      <c r="G26" s="231">
        <f t="shared" si="3"/>
        <v>-6.6001195785735192</v>
      </c>
      <c r="H26" s="231">
        <f t="shared" si="3"/>
        <v>-6.5311822259115893</v>
      </c>
      <c r="I26" s="231">
        <f t="shared" si="3"/>
        <v>-6.2884210581046247</v>
      </c>
      <c r="J26" s="231">
        <f t="shared" si="3"/>
        <v>-6.0022531396991283</v>
      </c>
      <c r="K26" s="231">
        <f t="shared" si="3"/>
        <v>-5.5839548226953113</v>
      </c>
      <c r="L26" s="231">
        <f t="shared" si="3"/>
        <v>-5.0350484960028652</v>
      </c>
    </row>
    <row r="27" spans="1:12" ht="15.75" customHeight="1">
      <c r="A27" s="514" t="s">
        <v>1238</v>
      </c>
      <c r="B27" s="515" t="s">
        <v>733</v>
      </c>
      <c r="C27" s="491"/>
      <c r="D27" s="491">
        <f t="shared" ref="D27:L27" si="4">SUM(D23:D26)</f>
        <v>100.42957534246575</v>
      </c>
      <c r="E27" s="491">
        <f t="shared" si="4"/>
        <v>172.48866894349314</v>
      </c>
      <c r="F27" s="491">
        <f t="shared" si="4"/>
        <v>213.67391175041618</v>
      </c>
      <c r="G27" s="491">
        <f t="shared" si="4"/>
        <v>213.48945830071207</v>
      </c>
      <c r="H27" s="491">
        <f t="shared" si="4"/>
        <v>210.18254176806809</v>
      </c>
      <c r="I27" s="491">
        <f t="shared" si="4"/>
        <v>197.65834493819582</v>
      </c>
      <c r="J27" s="491">
        <f t="shared" si="4"/>
        <v>192.11999124645649</v>
      </c>
      <c r="K27" s="491">
        <f t="shared" si="4"/>
        <v>170.70588362154925</v>
      </c>
      <c r="L27" s="491">
        <f t="shared" si="4"/>
        <v>153.29619609413268</v>
      </c>
    </row>
    <row r="28" spans="1:12" ht="15.75" customHeight="1">
      <c r="A28" s="1194"/>
      <c r="B28" s="1194"/>
      <c r="C28" s="1194"/>
      <c r="D28" s="1194"/>
      <c r="E28" s="1194"/>
      <c r="F28" s="1194"/>
      <c r="G28" s="1194"/>
      <c r="H28" s="1194"/>
      <c r="I28" s="1194"/>
      <c r="J28" s="1194"/>
      <c r="K28" s="1194"/>
      <c r="L28" s="1194"/>
    </row>
    <row r="29" spans="1:12" ht="21.95" customHeight="1">
      <c r="A29" s="1505" t="s">
        <v>1239</v>
      </c>
      <c r="B29" s="1499"/>
      <c r="C29" s="1499"/>
      <c r="D29" s="1499"/>
      <c r="E29" s="1499"/>
      <c r="F29" s="1499"/>
      <c r="G29" s="1499"/>
      <c r="H29" s="1499"/>
      <c r="I29" s="1499"/>
      <c r="J29" s="1499"/>
      <c r="K29" s="1499"/>
      <c r="L29" s="1499"/>
    </row>
    <row r="30" spans="1:12" ht="15.75" customHeight="1">
      <c r="A30" s="1194" t="s">
        <v>1240</v>
      </c>
      <c r="B30" s="75" t="s">
        <v>733</v>
      </c>
      <c r="C30" s="233"/>
      <c r="D30" s="233">
        <f>$D$12</f>
        <v>75</v>
      </c>
      <c r="E30" s="233">
        <f t="shared" ref="E30:L30" si="5">D34</f>
        <v>63.500575342465737</v>
      </c>
      <c r="F30" s="233">
        <f t="shared" si="5"/>
        <v>728.617633410959</v>
      </c>
      <c r="G30" s="233">
        <f t="shared" si="5"/>
        <v>838.84743759208732</v>
      </c>
      <c r="H30" s="233">
        <f t="shared" si="5"/>
        <v>1049.2253676434646</v>
      </c>
      <c r="I30" s="233">
        <f t="shared" si="5"/>
        <v>1399.6397008920553</v>
      </c>
      <c r="J30" s="233">
        <f t="shared" si="5"/>
        <v>1823.8940943897101</v>
      </c>
      <c r="K30" s="233">
        <f t="shared" si="5"/>
        <v>2347.3736251670689</v>
      </c>
      <c r="L30" s="233">
        <f t="shared" si="5"/>
        <v>2986.0977550953171</v>
      </c>
    </row>
    <row r="31" spans="1:12" ht="15.75" customHeight="1">
      <c r="A31" s="230" t="s">
        <v>1241</v>
      </c>
      <c r="B31" s="232" t="s">
        <v>733</v>
      </c>
      <c r="C31" s="231"/>
      <c r="D31" s="513">
        <f>$D$14</f>
        <v>0</v>
      </c>
      <c r="E31" s="513">
        <f>$E$14</f>
        <v>575</v>
      </c>
      <c r="F31" s="231"/>
      <c r="G31" s="231"/>
      <c r="H31" s="231"/>
      <c r="I31" s="231"/>
      <c r="J31" s="231"/>
      <c r="K31" s="231"/>
      <c r="L31" s="231"/>
    </row>
    <row r="32" spans="1:12" ht="15.75" customHeight="1">
      <c r="A32" s="29" t="s">
        <v>1242</v>
      </c>
      <c r="B32" s="75" t="s">
        <v>733</v>
      </c>
      <c r="C32" s="233"/>
      <c r="D32" s="439">
        <f>FCF!D18</f>
        <v>-11.499424657534263</v>
      </c>
      <c r="E32" s="439">
        <f>FCF!E18</f>
        <v>90.117058068493293</v>
      </c>
      <c r="F32" s="439">
        <f>FCF!F18</f>
        <v>110.22980418112837</v>
      </c>
      <c r="G32" s="439">
        <f>FCF!G18</f>
        <v>210.37793005137729</v>
      </c>
      <c r="H32" s="439">
        <f>FCF!H18</f>
        <v>350.41433324859065</v>
      </c>
      <c r="I32" s="439">
        <f>FCF!I18</f>
        <v>424.25439349765486</v>
      </c>
      <c r="J32" s="439">
        <f>FCF!J18</f>
        <v>523.47953077735906</v>
      </c>
      <c r="K32" s="439">
        <f>FCF!K18</f>
        <v>638.72412992824809</v>
      </c>
      <c r="L32" s="439">
        <f>FCF!L18</f>
        <v>758.18440983360006</v>
      </c>
    </row>
    <row r="33" spans="1:12" ht="15.75" customHeight="1" thickBot="1">
      <c r="A33" s="1194"/>
      <c r="B33" s="1194"/>
      <c r="C33" s="233"/>
      <c r="D33" s="233"/>
      <c r="E33" s="233"/>
      <c r="F33" s="233"/>
      <c r="G33" s="233"/>
      <c r="H33" s="233"/>
      <c r="I33" s="233"/>
      <c r="J33" s="233"/>
      <c r="K33" s="233"/>
      <c r="L33" s="233"/>
    </row>
    <row r="34" spans="1:12" ht="15.75" customHeight="1" thickBot="1">
      <c r="A34" s="495" t="s">
        <v>1243</v>
      </c>
      <c r="B34" s="516" t="s">
        <v>733</v>
      </c>
      <c r="C34" s="496"/>
      <c r="D34" s="496">
        <f>D30+D31+D32</f>
        <v>63.500575342465737</v>
      </c>
      <c r="E34" s="496">
        <f>E30+E31+E32</f>
        <v>728.617633410959</v>
      </c>
      <c r="F34" s="496">
        <f t="shared" ref="F34:L34" si="6">F30+F32</f>
        <v>838.84743759208732</v>
      </c>
      <c r="G34" s="496">
        <f t="shared" si="6"/>
        <v>1049.2253676434646</v>
      </c>
      <c r="H34" s="496">
        <f t="shared" si="6"/>
        <v>1399.6397008920553</v>
      </c>
      <c r="I34" s="496">
        <f t="shared" si="6"/>
        <v>1823.8940943897101</v>
      </c>
      <c r="J34" s="496">
        <f t="shared" si="6"/>
        <v>2347.3736251670689</v>
      </c>
      <c r="K34" s="496">
        <f t="shared" si="6"/>
        <v>2986.0977550953171</v>
      </c>
      <c r="L34" s="496">
        <f t="shared" si="6"/>
        <v>3744.2821649289172</v>
      </c>
    </row>
    <row r="35" spans="1:12" ht="15.75" customHeight="1" thickTop="1">
      <c r="A35" s="1210"/>
      <c r="B35" s="1210"/>
      <c r="C35" s="1210"/>
      <c r="D35" s="1210"/>
      <c r="E35" s="1210"/>
      <c r="F35" s="1210"/>
      <c r="G35" s="1210"/>
      <c r="H35" s="1210"/>
      <c r="I35" s="1210"/>
      <c r="J35" s="1210"/>
      <c r="K35" s="1210"/>
      <c r="L35" s="1210"/>
    </row>
    <row r="36" spans="1:12" ht="15.75" customHeight="1">
      <c r="A36" s="1210"/>
      <c r="B36" s="1210"/>
      <c r="C36" s="1210"/>
      <c r="D36" s="1210"/>
      <c r="E36" s="1210"/>
      <c r="F36" s="1210"/>
      <c r="G36" s="1210"/>
      <c r="H36" s="1210"/>
      <c r="I36" s="1210"/>
      <c r="J36" s="1210"/>
      <c r="K36" s="1210"/>
      <c r="L36" s="1210"/>
    </row>
    <row r="37" spans="1:12" ht="15.75" customHeight="1">
      <c r="A37" s="1210"/>
      <c r="B37" s="1210"/>
      <c r="C37" s="1210"/>
      <c r="D37" s="1210"/>
      <c r="E37" s="1210"/>
      <c r="F37" s="1210"/>
      <c r="G37" s="1210"/>
      <c r="H37" s="1210"/>
      <c r="I37" s="1210"/>
      <c r="J37" s="1210"/>
      <c r="K37" s="1210"/>
      <c r="L37" s="1210"/>
    </row>
    <row r="38" spans="1:12" ht="15.75" customHeight="1">
      <c r="A38" s="1210"/>
      <c r="B38" s="1210"/>
      <c r="C38" s="1210"/>
      <c r="D38" s="1210"/>
      <c r="E38" s="1210"/>
      <c r="F38" s="1210"/>
      <c r="G38" s="1210"/>
      <c r="H38" s="1210"/>
      <c r="I38" s="1210"/>
      <c r="J38" s="1210"/>
      <c r="K38" s="1210"/>
      <c r="L38" s="1210"/>
    </row>
    <row r="39" spans="1:12" ht="15.75" customHeight="1">
      <c r="A39" s="1210"/>
      <c r="B39" s="1210"/>
      <c r="C39" s="1210"/>
      <c r="D39" s="1210"/>
      <c r="E39" s="1210"/>
      <c r="F39" s="1210"/>
      <c r="G39" s="1210"/>
      <c r="H39" s="1210"/>
      <c r="I39" s="1210"/>
      <c r="J39" s="1210"/>
      <c r="K39" s="1210"/>
      <c r="L39" s="1210"/>
    </row>
    <row r="40" spans="1:12" ht="15.75" customHeight="1">
      <c r="A40" s="1210"/>
      <c r="B40" s="1210"/>
      <c r="C40" s="1210"/>
      <c r="D40" s="1210"/>
      <c r="E40" s="1210"/>
      <c r="F40" s="1210"/>
      <c r="G40" s="1210"/>
      <c r="H40" s="1210"/>
      <c r="I40" s="1210"/>
      <c r="J40" s="1210"/>
      <c r="K40" s="1210"/>
      <c r="L40" s="1210"/>
    </row>
    <row r="41" spans="1:12" ht="15.75" customHeight="1">
      <c r="A41" s="1195"/>
      <c r="B41" s="1195"/>
      <c r="C41" s="1195"/>
      <c r="D41" s="306"/>
      <c r="E41" s="306"/>
      <c r="F41" s="306"/>
      <c r="G41" s="306"/>
      <c r="H41" s="306"/>
      <c r="I41" s="306"/>
      <c r="J41" s="306"/>
      <c r="K41" s="306"/>
      <c r="L41" s="306"/>
    </row>
    <row r="42" spans="1:12" ht="15.75" customHeight="1">
      <c r="A42" s="1195"/>
      <c r="B42" s="1195"/>
      <c r="C42" s="1195"/>
      <c r="D42" s="306"/>
      <c r="E42" s="306"/>
      <c r="F42" s="1195"/>
      <c r="G42" s="1195"/>
      <c r="H42" s="1195"/>
      <c r="I42" s="1195"/>
      <c r="J42" s="1195"/>
      <c r="K42" s="1195"/>
      <c r="L42" s="1195"/>
    </row>
    <row r="43" spans="1:12" ht="15.75" customHeight="1">
      <c r="A43" s="1195"/>
      <c r="B43" s="1195"/>
      <c r="C43" s="1195"/>
      <c r="D43" s="306"/>
      <c r="E43" s="306"/>
      <c r="F43" s="306"/>
      <c r="G43" s="306"/>
      <c r="H43" s="306"/>
      <c r="I43" s="306"/>
      <c r="J43" s="306"/>
      <c r="K43" s="306"/>
      <c r="L43" s="306"/>
    </row>
    <row r="44" spans="1:12" ht="15.75" customHeight="1">
      <c r="A44" s="1195"/>
      <c r="B44" s="1195"/>
      <c r="C44" s="1195"/>
      <c r="D44" s="1195"/>
      <c r="E44" s="1195"/>
      <c r="F44" s="1195"/>
      <c r="G44" s="1195"/>
      <c r="H44" s="1195"/>
      <c r="I44" s="1195"/>
      <c r="J44" s="1195"/>
      <c r="K44" s="1195"/>
      <c r="L44" s="1195"/>
    </row>
    <row r="45" spans="1:12" ht="15.75" customHeight="1">
      <c r="A45" s="1215"/>
      <c r="B45" s="1195"/>
      <c r="C45" s="1195"/>
      <c r="D45" s="517"/>
      <c r="E45" s="517"/>
      <c r="F45" s="517"/>
      <c r="G45" s="517"/>
      <c r="H45" s="517"/>
      <c r="I45" s="517"/>
      <c r="J45" s="517"/>
      <c r="K45" s="517"/>
      <c r="L45" s="517"/>
    </row>
    <row r="46" spans="1:12" ht="15.75" customHeight="1">
      <c r="A46" s="1210"/>
      <c r="B46" s="1210"/>
      <c r="C46" s="1210"/>
      <c r="D46" s="1210"/>
      <c r="E46" s="1210"/>
      <c r="F46" s="1210"/>
      <c r="G46" s="1210"/>
      <c r="H46" s="1210"/>
      <c r="I46" s="1210"/>
      <c r="J46" s="1210"/>
      <c r="K46" s="1210"/>
      <c r="L46" s="1210"/>
    </row>
    <row r="47" spans="1:12" ht="15.75" customHeight="1">
      <c r="A47" s="1210"/>
      <c r="B47" s="1210"/>
      <c r="C47" s="1210"/>
      <c r="D47" s="1210"/>
      <c r="E47" s="1210"/>
      <c r="F47" s="1210"/>
      <c r="G47" s="1210"/>
      <c r="H47" s="1210"/>
      <c r="I47" s="1210"/>
      <c r="J47" s="1210"/>
      <c r="K47" s="1210"/>
      <c r="L47" s="1210"/>
    </row>
    <row r="48" spans="1:12" ht="15.75" customHeight="1">
      <c r="A48" s="1210"/>
      <c r="B48" s="1210"/>
      <c r="C48" s="1210"/>
      <c r="D48" s="1210"/>
      <c r="E48" s="1210"/>
      <c r="F48" s="1210"/>
      <c r="G48" s="1210"/>
      <c r="H48" s="1210"/>
      <c r="I48" s="1210"/>
      <c r="J48" s="1210"/>
      <c r="K48" s="1210"/>
      <c r="L48" s="1210"/>
    </row>
    <row r="49" ht="15.75" customHeight="1"/>
    <row r="50" ht="15.75" customHeight="1"/>
    <row r="51" ht="15.75" customHeight="1"/>
    <row r="52" ht="15.75" customHeight="1"/>
  </sheetData>
  <mergeCells count="7">
    <mergeCell ref="A29:L29"/>
    <mergeCell ref="A1:N1"/>
    <mergeCell ref="A2:N2"/>
    <mergeCell ref="A3:L3"/>
    <mergeCell ref="A7:L7"/>
    <mergeCell ref="A16:L16"/>
    <mergeCell ref="A22:L2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FB1E-221E-419A-9BFA-131F37C5155F}">
  <dimension ref="A1:N151"/>
  <sheetViews>
    <sheetView showGridLines="0" topLeftCell="A17" zoomScale="110" workbookViewId="0">
      <selection activeCell="H50" sqref="H50"/>
    </sheetView>
  </sheetViews>
  <sheetFormatPr defaultColWidth="8.85546875" defaultRowHeight="15"/>
  <cols>
    <col min="1" max="1" width="33.28515625" customWidth="1"/>
    <col min="2" max="2" width="24.7109375" customWidth="1"/>
    <col min="3" max="7" width="13.28515625" customWidth="1"/>
    <col min="8" max="14" width="15.28515625" customWidth="1"/>
  </cols>
  <sheetData>
    <row r="1" spans="1:14" ht="21">
      <c r="A1" s="644" t="s">
        <v>1244</v>
      </c>
      <c r="B1" s="1210"/>
      <c r="C1" s="1210"/>
      <c r="D1" s="1210"/>
      <c r="E1" s="1210"/>
      <c r="F1" s="1210"/>
      <c r="G1" s="1210"/>
      <c r="H1" s="1210"/>
      <c r="I1" s="1210"/>
      <c r="J1" s="1210"/>
      <c r="K1" s="1210"/>
      <c r="L1" s="1210"/>
      <c r="M1" s="1210"/>
      <c r="N1" s="1210"/>
    </row>
    <row r="2" spans="1:14">
      <c r="A2" s="645" t="s">
        <v>1245</v>
      </c>
      <c r="B2" s="1210"/>
      <c r="C2" s="1210"/>
      <c r="D2" s="1210"/>
      <c r="E2" s="1210"/>
      <c r="F2" s="1210"/>
      <c r="G2" s="1210"/>
      <c r="H2" s="1210"/>
      <c r="I2" s="1210"/>
      <c r="J2" s="1210"/>
      <c r="K2" s="1210"/>
      <c r="L2" s="1210"/>
      <c r="M2" s="1210"/>
      <c r="N2" s="1210"/>
    </row>
    <row r="3" spans="1:14">
      <c r="A3" s="645" t="s">
        <v>1246</v>
      </c>
      <c r="B3" s="1210"/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</row>
    <row r="5" spans="1:14" ht="15.75">
      <c r="A5" s="1213" t="s">
        <v>1247</v>
      </c>
      <c r="B5" s="1210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0"/>
      <c r="N5" s="1210"/>
    </row>
    <row r="6" spans="1:14">
      <c r="A6" s="1210" t="s">
        <v>1248</v>
      </c>
      <c r="B6" s="1210"/>
      <c r="C6" s="1210"/>
      <c r="D6" s="1210"/>
      <c r="E6" s="1210"/>
      <c r="F6" s="1210"/>
      <c r="G6" s="1210"/>
      <c r="H6" s="1210"/>
      <c r="I6" s="1210"/>
      <c r="J6" s="1210"/>
      <c r="K6" s="1210"/>
      <c r="L6" s="1210"/>
      <c r="M6" s="1210"/>
      <c r="N6" s="1210"/>
    </row>
    <row r="7" spans="1:14">
      <c r="A7" s="1210" t="s">
        <v>1249</v>
      </c>
      <c r="B7" s="1210"/>
      <c r="C7" s="1210"/>
      <c r="D7" s="1210"/>
      <c r="E7" s="1210"/>
      <c r="F7" s="1210"/>
      <c r="G7" s="1210"/>
      <c r="H7" s="1210"/>
      <c r="I7" s="1210"/>
      <c r="J7" s="1210"/>
      <c r="K7" s="1210"/>
      <c r="L7" s="1210"/>
      <c r="M7" s="1210"/>
      <c r="N7" s="1210"/>
    </row>
    <row r="8" spans="1:14">
      <c r="A8" s="1210" t="s">
        <v>1250</v>
      </c>
      <c r="B8" s="1210"/>
      <c r="C8" s="1210"/>
      <c r="D8" s="1210"/>
      <c r="E8" s="1210"/>
      <c r="F8" s="1210"/>
      <c r="G8" s="1210"/>
      <c r="H8" s="1210"/>
      <c r="I8" s="1210"/>
      <c r="J8" s="1210"/>
      <c r="K8" s="1210"/>
      <c r="L8" s="1210"/>
      <c r="M8" s="1210"/>
      <c r="N8" s="1210"/>
    </row>
    <row r="9" spans="1:14">
      <c r="A9" s="1210" t="s">
        <v>1251</v>
      </c>
      <c r="B9" s="1210"/>
      <c r="C9" s="1210"/>
      <c r="D9" s="1210"/>
      <c r="E9" s="1210"/>
      <c r="F9" s="1210"/>
      <c r="G9" s="1210"/>
      <c r="H9" s="1210"/>
      <c r="I9" s="1210"/>
      <c r="J9" s="1210"/>
      <c r="K9" s="1210"/>
      <c r="L9" s="1210"/>
      <c r="M9" s="1210"/>
      <c r="N9" s="1210"/>
    </row>
    <row r="10" spans="1:14">
      <c r="A10" s="1210" t="s">
        <v>1252</v>
      </c>
      <c r="B10" s="1210"/>
      <c r="C10" s="1210"/>
      <c r="D10" s="1210"/>
      <c r="E10" s="1210"/>
      <c r="F10" s="1210"/>
      <c r="G10" s="1210"/>
      <c r="H10" s="1210"/>
      <c r="I10" s="1210"/>
      <c r="J10" s="1210"/>
      <c r="K10" s="1210"/>
      <c r="L10" s="1210"/>
      <c r="M10" s="1210"/>
      <c r="N10" s="1210"/>
    </row>
    <row r="13" spans="1:14" ht="15.75">
      <c r="A13" s="1213" t="s">
        <v>1253</v>
      </c>
      <c r="B13" s="1210"/>
      <c r="C13" s="1210"/>
      <c r="D13" s="1210"/>
      <c r="E13" s="1210"/>
      <c r="F13" s="1210"/>
      <c r="G13" s="1210"/>
      <c r="H13" s="1210"/>
      <c r="I13" s="1210"/>
      <c r="J13" s="1210"/>
      <c r="K13" s="1210"/>
      <c r="L13" s="1210"/>
      <c r="M13" s="1210"/>
      <c r="N13" s="1210"/>
    </row>
    <row r="14" spans="1:14">
      <c r="A14" s="645" t="s">
        <v>1254</v>
      </c>
      <c r="B14" s="1210"/>
      <c r="C14" s="1210"/>
      <c r="D14" s="1210"/>
      <c r="E14" s="1210"/>
      <c r="F14" s="1210"/>
      <c r="G14" s="1210"/>
      <c r="H14" s="1210"/>
      <c r="I14" s="1210"/>
      <c r="J14" s="1210"/>
      <c r="K14" s="1210"/>
      <c r="L14" s="1210"/>
      <c r="M14" s="1210"/>
      <c r="N14" s="1210"/>
    </row>
    <row r="16" spans="1:14">
      <c r="A16" s="647" t="s">
        <v>1255</v>
      </c>
      <c r="B16" s="648" t="s">
        <v>1256</v>
      </c>
      <c r="C16" s="649" t="s">
        <v>1257</v>
      </c>
      <c r="D16" s="649" t="s">
        <v>1258</v>
      </c>
      <c r="E16" s="649" t="s">
        <v>1259</v>
      </c>
      <c r="F16" s="649" t="s">
        <v>1260</v>
      </c>
      <c r="G16" s="649" t="s">
        <v>1261</v>
      </c>
      <c r="H16" s="649" t="s">
        <v>1262</v>
      </c>
      <c r="I16" s="649" t="s">
        <v>1263</v>
      </c>
      <c r="J16" s="649" t="s">
        <v>1264</v>
      </c>
      <c r="K16" s="649" t="s">
        <v>1265</v>
      </c>
      <c r="L16" s="649" t="s">
        <v>1266</v>
      </c>
      <c r="M16" s="650" t="s">
        <v>1267</v>
      </c>
      <c r="N16" s="651" t="s">
        <v>1268</v>
      </c>
    </row>
    <row r="17" spans="1:14">
      <c r="A17" s="652" t="s">
        <v>1269</v>
      </c>
      <c r="B17" s="1203" t="s">
        <v>1270</v>
      </c>
      <c r="C17" s="653">
        <v>1.0289999999999999</v>
      </c>
      <c r="D17" s="653">
        <v>1.0189999999999999</v>
      </c>
      <c r="E17" s="653">
        <v>0.216</v>
      </c>
      <c r="F17" s="654">
        <v>45250</v>
      </c>
      <c r="G17" s="654">
        <v>216</v>
      </c>
      <c r="H17" s="654">
        <v>2700</v>
      </c>
      <c r="I17" s="655">
        <f t="shared" ref="I17:I23" si="0">G17/F17</f>
        <v>4.7734806629834252E-3</v>
      </c>
      <c r="J17" s="656">
        <v>0.111</v>
      </c>
      <c r="K17" s="656">
        <v>0.21</v>
      </c>
      <c r="L17" s="657">
        <f>K17</f>
        <v>0.21</v>
      </c>
      <c r="M17" s="658">
        <f t="shared" ref="M17:M23" si="1">D17/(1+(1-L17)*I17)</f>
        <v>1.0151717369019899</v>
      </c>
      <c r="N17" s="659">
        <f t="shared" ref="N17:N23" si="2">C17/(1+(1-L17)*I17)</f>
        <v>1.0251341680786532</v>
      </c>
    </row>
    <row r="18" spans="1:14">
      <c r="A18" s="652" t="s">
        <v>1271</v>
      </c>
      <c r="B18" s="1203" t="s">
        <v>1272</v>
      </c>
      <c r="C18" s="653">
        <v>2.2829999999999999</v>
      </c>
      <c r="D18" s="653">
        <v>1.855</v>
      </c>
      <c r="E18" s="653">
        <v>0.185</v>
      </c>
      <c r="F18" s="654">
        <v>2200</v>
      </c>
      <c r="G18" s="654">
        <v>1950</v>
      </c>
      <c r="H18" s="654">
        <v>1180</v>
      </c>
      <c r="I18" s="655">
        <f t="shared" si="0"/>
        <v>0.88636363636363635</v>
      </c>
      <c r="J18" s="660" t="s">
        <v>1273</v>
      </c>
      <c r="K18" s="656">
        <v>0.25</v>
      </c>
      <c r="L18" s="657">
        <f t="shared" ref="L18:L23" si="3">K18</f>
        <v>0.25</v>
      </c>
      <c r="M18" s="658">
        <f t="shared" si="1"/>
        <v>1.1142662116040956</v>
      </c>
      <c r="N18" s="659">
        <f t="shared" si="2"/>
        <v>1.371358361774744</v>
      </c>
    </row>
    <row r="19" spans="1:14">
      <c r="A19" s="652" t="s">
        <v>1274</v>
      </c>
      <c r="B19" s="1203" t="s">
        <v>1275</v>
      </c>
      <c r="C19" s="653">
        <v>1.014</v>
      </c>
      <c r="D19" s="653">
        <v>1.01</v>
      </c>
      <c r="E19" s="653">
        <v>0.13400000000000001</v>
      </c>
      <c r="F19" s="654">
        <v>86260</v>
      </c>
      <c r="G19" s="654">
        <v>549</v>
      </c>
      <c r="H19" s="654">
        <v>7260</v>
      </c>
      <c r="I19" s="655">
        <f t="shared" si="0"/>
        <v>6.3644794806399256E-3</v>
      </c>
      <c r="J19" s="656">
        <v>7.9000000000000001E-2</v>
      </c>
      <c r="K19" s="656">
        <v>0.25</v>
      </c>
      <c r="L19" s="657">
        <f t="shared" si="3"/>
        <v>0.25</v>
      </c>
      <c r="M19" s="658">
        <f t="shared" si="1"/>
        <v>1.0052018102784355</v>
      </c>
      <c r="N19" s="659">
        <f t="shared" si="2"/>
        <v>1.009182807546865</v>
      </c>
    </row>
    <row r="20" spans="1:14">
      <c r="A20" s="652" t="s">
        <v>1276</v>
      </c>
      <c r="B20" s="1203" t="s">
        <v>1277</v>
      </c>
      <c r="C20" s="653">
        <v>1.08</v>
      </c>
      <c r="D20" s="653">
        <v>1.054</v>
      </c>
      <c r="E20" s="653">
        <v>0.11899999999999999</v>
      </c>
      <c r="F20" s="654">
        <v>22950</v>
      </c>
      <c r="G20" s="654">
        <v>1380</v>
      </c>
      <c r="H20" s="654">
        <v>2420</v>
      </c>
      <c r="I20" s="655">
        <f t="shared" si="0"/>
        <v>6.0130718954248367E-2</v>
      </c>
      <c r="J20" s="656">
        <v>0.221</v>
      </c>
      <c r="K20" s="656">
        <v>0.25</v>
      </c>
      <c r="L20" s="657">
        <f t="shared" si="3"/>
        <v>0.25</v>
      </c>
      <c r="M20" s="658">
        <f t="shared" si="1"/>
        <v>1.0085178236397749</v>
      </c>
      <c r="N20" s="659">
        <f t="shared" si="2"/>
        <v>1.0333958724202628</v>
      </c>
    </row>
    <row r="21" spans="1:14">
      <c r="A21" s="652" t="s">
        <v>1278</v>
      </c>
      <c r="B21" s="1203" t="s">
        <v>1277</v>
      </c>
      <c r="C21" s="653">
        <v>0.96199999999999997</v>
      </c>
      <c r="D21" s="653">
        <v>0.97399999999999998</v>
      </c>
      <c r="E21" s="653">
        <v>0.18099999999999999</v>
      </c>
      <c r="F21" s="654">
        <v>30150</v>
      </c>
      <c r="G21" s="654">
        <v>843</v>
      </c>
      <c r="H21" s="654">
        <v>1660</v>
      </c>
      <c r="I21" s="655">
        <f t="shared" si="0"/>
        <v>2.7960199004975126E-2</v>
      </c>
      <c r="J21" s="656">
        <v>0.17899999999999999</v>
      </c>
      <c r="K21" s="656">
        <v>0.27</v>
      </c>
      <c r="L21" s="657">
        <f t="shared" si="3"/>
        <v>0.27</v>
      </c>
      <c r="M21" s="658">
        <f t="shared" si="1"/>
        <v>0.95451739763415966</v>
      </c>
      <c r="N21" s="659">
        <f t="shared" si="2"/>
        <v>0.94275742969616183</v>
      </c>
    </row>
    <row r="22" spans="1:14">
      <c r="A22" s="652" t="s">
        <v>1279</v>
      </c>
      <c r="B22" s="1203" t="s">
        <v>1277</v>
      </c>
      <c r="C22" s="653">
        <v>0.88500000000000001</v>
      </c>
      <c r="D22" s="653">
        <v>0.92400000000000004</v>
      </c>
      <c r="E22" s="653">
        <v>0.09</v>
      </c>
      <c r="F22" s="654">
        <v>9310</v>
      </c>
      <c r="G22" s="654">
        <v>559</v>
      </c>
      <c r="H22" s="654">
        <v>152</v>
      </c>
      <c r="I22" s="655">
        <f t="shared" si="0"/>
        <v>6.0042964554242753E-2</v>
      </c>
      <c r="J22" s="660" t="s">
        <v>1273</v>
      </c>
      <c r="K22" s="656">
        <v>0.25</v>
      </c>
      <c r="L22" s="657">
        <f t="shared" si="3"/>
        <v>0.25</v>
      </c>
      <c r="M22" s="658">
        <f t="shared" si="1"/>
        <v>0.88418326181360329</v>
      </c>
      <c r="N22" s="659">
        <f t="shared" si="2"/>
        <v>0.84686383842536672</v>
      </c>
    </row>
    <row r="23" spans="1:14">
      <c r="A23" s="661" t="s">
        <v>1280</v>
      </c>
      <c r="B23" s="1205" t="s">
        <v>1277</v>
      </c>
      <c r="C23" s="662">
        <v>0.81599999999999995</v>
      </c>
      <c r="D23" s="662">
        <v>0.877</v>
      </c>
      <c r="E23" s="662">
        <v>5.7000000000000002E-2</v>
      </c>
      <c r="F23" s="663">
        <v>4090</v>
      </c>
      <c r="G23" s="663">
        <v>729</v>
      </c>
      <c r="H23" s="663">
        <v>550</v>
      </c>
      <c r="I23" s="664">
        <f t="shared" si="0"/>
        <v>0.178239608801956</v>
      </c>
      <c r="J23" s="665" t="s">
        <v>1273</v>
      </c>
      <c r="K23" s="666">
        <v>0.25</v>
      </c>
      <c r="L23" s="657">
        <f t="shared" si="3"/>
        <v>0.25</v>
      </c>
      <c r="M23" s="667">
        <f t="shared" si="1"/>
        <v>0.77358710303553135</v>
      </c>
      <c r="N23" s="668">
        <f t="shared" si="2"/>
        <v>0.7197800183318056</v>
      </c>
    </row>
    <row r="24" spans="1:14">
      <c r="A24" s="645" t="s">
        <v>1281</v>
      </c>
      <c r="B24" s="1210"/>
      <c r="C24" s="1210"/>
      <c r="D24" s="1210"/>
      <c r="E24" s="1210"/>
      <c r="F24" s="1210"/>
      <c r="G24" s="1210"/>
      <c r="H24" s="1210"/>
      <c r="I24" s="1210"/>
      <c r="J24" s="1210"/>
      <c r="K24" s="1210"/>
      <c r="L24" s="1210"/>
      <c r="M24" s="1210"/>
      <c r="N24" s="1210"/>
    </row>
    <row r="27" spans="1:14" ht="15.75">
      <c r="A27" s="1213" t="s">
        <v>1282</v>
      </c>
      <c r="B27" s="1210"/>
      <c r="C27" s="1210"/>
      <c r="D27" s="1210"/>
      <c r="E27" s="1210"/>
      <c r="F27" s="1210"/>
      <c r="G27" s="1210"/>
      <c r="H27" s="1210"/>
      <c r="I27" s="1210"/>
      <c r="J27" s="1210"/>
      <c r="K27" s="1210"/>
      <c r="L27" s="1210"/>
      <c r="M27" s="1210"/>
      <c r="N27" s="1210"/>
    </row>
    <row r="29" spans="1:14" ht="30">
      <c r="A29" s="647" t="s">
        <v>1256</v>
      </c>
      <c r="B29" s="648" t="s">
        <v>1283</v>
      </c>
      <c r="C29" s="669" t="s">
        <v>1284</v>
      </c>
      <c r="D29" s="670" t="s">
        <v>1285</v>
      </c>
      <c r="E29" s="649" t="s">
        <v>1286</v>
      </c>
      <c r="F29" s="649" t="s">
        <v>1287</v>
      </c>
      <c r="G29" s="651" t="s">
        <v>874</v>
      </c>
      <c r="H29" s="1210"/>
      <c r="I29" s="1210"/>
      <c r="J29" s="1210"/>
      <c r="K29" s="1210"/>
      <c r="L29" s="1210"/>
      <c r="M29" s="1210"/>
      <c r="N29" s="1210"/>
    </row>
    <row r="30" spans="1:14">
      <c r="A30" s="652" t="s">
        <v>1270</v>
      </c>
      <c r="B30" s="1203" t="s">
        <v>1288</v>
      </c>
      <c r="C30" s="655">
        <f>MEDIAN(M17)</f>
        <v>1.0151717369019899</v>
      </c>
      <c r="D30" s="658">
        <f>MEDIAN(M17)</f>
        <v>1.0151717369019899</v>
      </c>
      <c r="E30" s="655">
        <f>MIN(M17)</f>
        <v>1.0151717369019899</v>
      </c>
      <c r="F30" s="655">
        <f>MAX(M17)</f>
        <v>1.0151717369019899</v>
      </c>
      <c r="G30" s="659">
        <f>F30-E30</f>
        <v>0</v>
      </c>
      <c r="H30" s="1210"/>
      <c r="I30" s="1210"/>
      <c r="J30" s="1210"/>
      <c r="K30" s="1210"/>
      <c r="L30" s="1210"/>
      <c r="M30" s="1210"/>
      <c r="N30" s="1210"/>
    </row>
    <row r="31" spans="1:14">
      <c r="A31" s="652" t="s">
        <v>1289</v>
      </c>
      <c r="B31" s="1203" t="s">
        <v>1290</v>
      </c>
      <c r="C31" s="655">
        <f>MEDIAN(M18:M19)</f>
        <v>1.0597340109412654</v>
      </c>
      <c r="D31" s="658">
        <f>MEDIAN(M19)</f>
        <v>1.0052018102784355</v>
      </c>
      <c r="E31" s="655">
        <f>MIN(M18:M19)</f>
        <v>1.0052018102784355</v>
      </c>
      <c r="F31" s="655">
        <f>MAX(M18:M19)</f>
        <v>1.1142662116040956</v>
      </c>
      <c r="G31" s="659">
        <f>F31-E31</f>
        <v>0.10906440132566009</v>
      </c>
      <c r="H31" s="1210"/>
      <c r="I31" s="1210"/>
      <c r="J31" s="1210"/>
      <c r="K31" s="1210"/>
      <c r="L31" s="1210"/>
      <c r="M31" s="1210"/>
      <c r="N31" s="1210"/>
    </row>
    <row r="32" spans="1:14">
      <c r="A32" s="661" t="s">
        <v>1277</v>
      </c>
      <c r="B32" s="1205" t="s">
        <v>1291</v>
      </c>
      <c r="C32" s="664">
        <f>MEDIAN(M20:M23)</f>
        <v>0.91935032972388142</v>
      </c>
      <c r="D32" s="667">
        <f>MEDIAN(M20:M23)</f>
        <v>0.91935032972388142</v>
      </c>
      <c r="E32" s="664">
        <f>MIN(M20:M23)</f>
        <v>0.77358710303553135</v>
      </c>
      <c r="F32" s="664">
        <f>MAX(M20:M23)</f>
        <v>1.0085178236397749</v>
      </c>
      <c r="G32" s="668">
        <f>F32-E32</f>
        <v>0.23493072060424358</v>
      </c>
      <c r="H32" s="1210"/>
      <c r="I32" s="1210"/>
      <c r="J32" s="1210"/>
      <c r="K32" s="1210"/>
      <c r="L32" s="1210"/>
      <c r="M32" s="1210"/>
      <c r="N32" s="1210"/>
    </row>
    <row r="33" spans="1:7">
      <c r="A33" s="645" t="s">
        <v>1292</v>
      </c>
      <c r="B33" s="1210"/>
      <c r="C33" s="1210"/>
      <c r="D33" s="1210"/>
      <c r="E33" s="1210"/>
      <c r="F33" s="1210"/>
      <c r="G33" s="1210"/>
    </row>
    <row r="34" spans="1:7">
      <c r="A34" s="645" t="s">
        <v>1293</v>
      </c>
      <c r="B34" s="1210"/>
      <c r="C34" s="1210"/>
      <c r="D34" s="1210"/>
      <c r="E34" s="1210"/>
      <c r="F34" s="1210"/>
      <c r="G34" s="1210"/>
    </row>
    <row r="35" spans="1:7">
      <c r="A35" s="645" t="s">
        <v>1294</v>
      </c>
      <c r="B35" s="1210"/>
      <c r="C35" s="1210"/>
      <c r="D35" s="1210"/>
      <c r="E35" s="1210"/>
      <c r="F35" s="1210"/>
      <c r="G35" s="1210"/>
    </row>
    <row r="37" spans="1:7" ht="15.75">
      <c r="A37" s="1213" t="s">
        <v>1295</v>
      </c>
      <c r="B37" s="1210"/>
      <c r="C37" s="1210"/>
      <c r="D37" s="1210"/>
      <c r="E37" s="1210"/>
      <c r="F37" s="1210"/>
      <c r="G37" s="1210"/>
    </row>
    <row r="39" spans="1:7" ht="30">
      <c r="A39" s="647" t="s">
        <v>1256</v>
      </c>
      <c r="B39" s="649" t="s">
        <v>1296</v>
      </c>
      <c r="C39" s="671" t="s">
        <v>1297</v>
      </c>
      <c r="D39" s="649" t="s">
        <v>1298</v>
      </c>
      <c r="E39" s="649" t="s">
        <v>1299</v>
      </c>
      <c r="F39" s="649" t="s">
        <v>1300</v>
      </c>
      <c r="G39" s="672" t="s">
        <v>1301</v>
      </c>
    </row>
    <row r="40" spans="1:7">
      <c r="A40" s="652" t="s">
        <v>1270</v>
      </c>
      <c r="B40" s="655">
        <f>D30</f>
        <v>1.0151717369019899</v>
      </c>
      <c r="C40" s="1203" t="s">
        <v>1302</v>
      </c>
      <c r="D40" s="653">
        <v>0.83</v>
      </c>
      <c r="E40" s="660">
        <v>8</v>
      </c>
      <c r="F40" s="673">
        <f>B40-D40</f>
        <v>0.18517173690198996</v>
      </c>
      <c r="G40" s="674">
        <v>0.4</v>
      </c>
    </row>
    <row r="41" spans="1:7">
      <c r="A41" s="652" t="s">
        <v>1289</v>
      </c>
      <c r="B41" s="655">
        <f>D31</f>
        <v>1.0052018102784355</v>
      </c>
      <c r="C41" s="1203" t="s">
        <v>1303</v>
      </c>
      <c r="D41" s="653">
        <v>1.01</v>
      </c>
      <c r="E41" s="660">
        <v>77</v>
      </c>
      <c r="F41" s="673">
        <f>B41-D41</f>
        <v>-4.7981897215645386E-3</v>
      </c>
      <c r="G41" s="674">
        <v>0.43</v>
      </c>
    </row>
    <row r="42" spans="1:7">
      <c r="A42" s="661" t="s">
        <v>1277</v>
      </c>
      <c r="B42" s="664">
        <f>D32</f>
        <v>0.91935032972388142</v>
      </c>
      <c r="C42" s="1205" t="s">
        <v>1304</v>
      </c>
      <c r="D42" s="662">
        <v>0.99</v>
      </c>
      <c r="E42" s="665">
        <v>115</v>
      </c>
      <c r="F42" s="675">
        <f>B42-D42</f>
        <v>-7.064967027611857E-2</v>
      </c>
      <c r="G42" s="676">
        <v>0.39</v>
      </c>
    </row>
    <row r="43" spans="1:7">
      <c r="A43" s="645" t="s">
        <v>1305</v>
      </c>
      <c r="B43" s="1210"/>
      <c r="C43" s="1210"/>
      <c r="D43" s="1210"/>
      <c r="E43" s="1210"/>
      <c r="F43" s="1210"/>
      <c r="G43" s="1210"/>
    </row>
    <row r="46" spans="1:7" ht="15.75">
      <c r="A46" s="1213" t="s">
        <v>1306</v>
      </c>
      <c r="B46" s="1210"/>
      <c r="C46" s="1210"/>
      <c r="D46" s="1210"/>
      <c r="E46" s="1210"/>
      <c r="F46" s="1210"/>
      <c r="G46" s="1210"/>
    </row>
    <row r="47" spans="1:7">
      <c r="A47" s="645" t="s">
        <v>1307</v>
      </c>
      <c r="B47" s="1210"/>
      <c r="C47" s="1210"/>
      <c r="D47" s="1210"/>
      <c r="E47" s="1210"/>
      <c r="F47" s="1210"/>
      <c r="G47" s="1210"/>
    </row>
    <row r="49" spans="1:11" ht="30">
      <c r="A49" s="647" t="s">
        <v>1034</v>
      </c>
      <c r="B49" s="649" t="s">
        <v>1308</v>
      </c>
      <c r="C49" s="649" t="s">
        <v>1309</v>
      </c>
      <c r="D49" s="649" t="s">
        <v>1310</v>
      </c>
      <c r="E49" s="649" t="s">
        <v>1311</v>
      </c>
      <c r="F49" s="649" t="s">
        <v>1312</v>
      </c>
      <c r="G49" s="649" t="s">
        <v>1313</v>
      </c>
      <c r="H49" s="650" t="s">
        <v>1314</v>
      </c>
      <c r="I49" s="649" t="s">
        <v>1315</v>
      </c>
      <c r="J49" s="649" t="s">
        <v>1300</v>
      </c>
      <c r="K49" s="672" t="s">
        <v>1316</v>
      </c>
    </row>
    <row r="50" spans="1:11">
      <c r="A50" s="677" t="s">
        <v>1317</v>
      </c>
      <c r="B50" s="678">
        <f>Assumptions!C83</f>
        <v>0.4</v>
      </c>
      <c r="C50" s="678">
        <f>Assumptions!C84</f>
        <v>0.4</v>
      </c>
      <c r="D50" s="678">
        <f>Assumptions!C85</f>
        <v>0.2</v>
      </c>
      <c r="E50" s="655">
        <f>$D$30</f>
        <v>1.0151717369019899</v>
      </c>
      <c r="F50" s="655">
        <f>$D$31</f>
        <v>1.0052018102784355</v>
      </c>
      <c r="G50" s="655">
        <f>$D$32</f>
        <v>0.91935032972388142</v>
      </c>
      <c r="H50" s="658">
        <f>B50*E50+C50*F50+D50*G50</f>
        <v>0.99201948481694646</v>
      </c>
      <c r="I50" s="679">
        <f>Assumptions!C70</f>
        <v>0.85</v>
      </c>
      <c r="J50" s="680">
        <f>H50-I50</f>
        <v>0.14201948481694648</v>
      </c>
      <c r="K50" s="659">
        <f>B50*$C$30+C50*$C$31+D50*$C$32</f>
        <v>1.0138323650820784</v>
      </c>
    </row>
    <row r="51" spans="1:11">
      <c r="A51" s="677" t="s">
        <v>1318</v>
      </c>
      <c r="B51" s="678">
        <f>Assumptions!D83</f>
        <v>0.2</v>
      </c>
      <c r="C51" s="678">
        <f>Assumptions!D84</f>
        <v>0.4</v>
      </c>
      <c r="D51" s="678">
        <f>Assumptions!D85</f>
        <v>0.4</v>
      </c>
      <c r="E51" s="655">
        <f>$D$30</f>
        <v>1.0151717369019899</v>
      </c>
      <c r="F51" s="655">
        <f>$D$31</f>
        <v>1.0052018102784355</v>
      </c>
      <c r="G51" s="655">
        <f>$D$32</f>
        <v>0.91935032972388142</v>
      </c>
      <c r="H51" s="658">
        <f>B51*E51+C51*F51+D51*G51</f>
        <v>0.9728552033813247</v>
      </c>
      <c r="I51" s="679">
        <f>Assumptions!D70</f>
        <v>0.83</v>
      </c>
      <c r="J51" s="680">
        <f>H51-I51</f>
        <v>0.14285520338132474</v>
      </c>
      <c r="K51" s="659">
        <f>B51*$C$30+C51*$C$31+D51*$C$32</f>
        <v>0.99466808364645676</v>
      </c>
    </row>
    <row r="52" spans="1:11">
      <c r="A52" s="681" t="s">
        <v>1319</v>
      </c>
      <c r="B52" s="682">
        <f>Assumptions!E83</f>
        <v>0.1</v>
      </c>
      <c r="C52" s="682">
        <f>Assumptions!E84</f>
        <v>0.3</v>
      </c>
      <c r="D52" s="682">
        <f>Assumptions!E85</f>
        <v>0.6</v>
      </c>
      <c r="E52" s="664">
        <f>$D$30</f>
        <v>1.0151717369019899</v>
      </c>
      <c r="F52" s="664">
        <f>$D$31</f>
        <v>1.0052018102784355</v>
      </c>
      <c r="G52" s="664">
        <f>$D$32</f>
        <v>0.91935032972388142</v>
      </c>
      <c r="H52" s="667">
        <f>B52*E52+C52*F52+D52*G52</f>
        <v>0.95468791460805846</v>
      </c>
      <c r="I52" s="683">
        <f>Assumptions!E70</f>
        <v>0.81</v>
      </c>
      <c r="J52" s="684">
        <f>H52-I52</f>
        <v>0.14468791460805841</v>
      </c>
      <c r="K52" s="668">
        <f>B52*$C$30+C52*$C$31+D52*$C$32</f>
        <v>0.97104757480690751</v>
      </c>
    </row>
    <row r="53" spans="1:11">
      <c r="A53" s="645" t="s">
        <v>1320</v>
      </c>
      <c r="B53" s="1210"/>
      <c r="C53" s="1210"/>
      <c r="D53" s="1210"/>
      <c r="E53" s="1210"/>
      <c r="F53" s="1210"/>
      <c r="G53" s="1210"/>
      <c r="H53" s="1210"/>
      <c r="I53" s="1210"/>
      <c r="J53" s="1210"/>
      <c r="K53" s="1210"/>
    </row>
    <row r="54" spans="1:11">
      <c r="A54" s="645" t="s">
        <v>1321</v>
      </c>
      <c r="B54" s="1210"/>
      <c r="C54" s="1210"/>
      <c r="D54" s="1210"/>
      <c r="E54" s="1210"/>
      <c r="F54" s="1210"/>
      <c r="G54" s="1210"/>
      <c r="H54" s="1210"/>
      <c r="I54" s="1210"/>
      <c r="J54" s="1210"/>
      <c r="K54" s="1210"/>
    </row>
    <row r="57" spans="1:11" ht="15.75">
      <c r="A57" s="1213" t="s">
        <v>1322</v>
      </c>
      <c r="B57" s="1210"/>
      <c r="C57" s="1210"/>
      <c r="D57" s="1210"/>
      <c r="E57" s="1210"/>
      <c r="F57" s="1210"/>
      <c r="G57" s="1210"/>
      <c r="H57" s="1210"/>
      <c r="I57" s="1210"/>
      <c r="J57" s="1210"/>
      <c r="K57" s="1210"/>
    </row>
    <row r="58" spans="1:11">
      <c r="A58" s="645" t="s">
        <v>1323</v>
      </c>
      <c r="B58" s="1210"/>
      <c r="C58" s="1210"/>
      <c r="D58" s="1210"/>
      <c r="E58" s="1210"/>
      <c r="F58" s="1210"/>
      <c r="G58" s="1210"/>
      <c r="H58" s="1210"/>
      <c r="I58" s="1210"/>
      <c r="J58" s="1210"/>
      <c r="K58" s="1210"/>
    </row>
    <row r="60" spans="1:11">
      <c r="A60" s="647" t="s">
        <v>1324</v>
      </c>
      <c r="B60" s="685"/>
      <c r="C60" s="651" t="s">
        <v>1325</v>
      </c>
      <c r="D60" s="1210"/>
      <c r="E60" s="1210"/>
      <c r="F60" s="1210"/>
      <c r="G60" s="1210"/>
      <c r="H60" s="1210"/>
      <c r="I60" s="1210"/>
      <c r="J60" s="1210"/>
      <c r="K60" s="1210"/>
    </row>
    <row r="61" spans="1:11">
      <c r="A61" s="652" t="s">
        <v>1326</v>
      </c>
      <c r="B61" s="1203"/>
      <c r="C61" s="686">
        <v>4.4600000000000001E-2</v>
      </c>
      <c r="D61" s="1210"/>
      <c r="E61" s="1210"/>
      <c r="F61" s="1210"/>
      <c r="G61" s="1210"/>
      <c r="H61" s="1210"/>
      <c r="I61" s="1210"/>
      <c r="J61" s="1210"/>
      <c r="K61" s="1210"/>
    </row>
    <row r="62" spans="1:11">
      <c r="A62" s="652" t="s">
        <v>1327</v>
      </c>
      <c r="B62" s="1203"/>
      <c r="C62" s="686">
        <v>4.5999999999999999E-2</v>
      </c>
      <c r="D62" s="1210"/>
      <c r="E62" s="1210"/>
      <c r="F62" s="1210"/>
      <c r="G62" s="1210"/>
      <c r="H62" s="1210"/>
      <c r="I62" s="1210"/>
      <c r="J62" s="1210"/>
      <c r="K62" s="1210"/>
    </row>
    <row r="63" spans="1:11">
      <c r="A63" s="652" t="s">
        <v>1328</v>
      </c>
      <c r="B63" s="1203"/>
      <c r="C63" s="686">
        <v>4.53E-2</v>
      </c>
      <c r="D63" s="1210"/>
      <c r="E63" s="1210"/>
      <c r="F63" s="1210"/>
      <c r="G63" s="1210"/>
      <c r="H63" s="1210"/>
      <c r="I63" s="1210"/>
      <c r="J63" s="1210"/>
      <c r="K63" s="1210"/>
    </row>
    <row r="64" spans="1:11">
      <c r="A64" s="652" t="s">
        <v>1329</v>
      </c>
      <c r="B64" s="1203"/>
      <c r="C64" s="686">
        <v>5.7000000000000002E-2</v>
      </c>
      <c r="D64" s="1210"/>
      <c r="E64" s="1210"/>
      <c r="F64" s="1210"/>
      <c r="G64" s="1210"/>
      <c r="H64" s="1210"/>
      <c r="I64" s="1210"/>
      <c r="J64" s="1210"/>
      <c r="K64" s="1210"/>
    </row>
    <row r="65" spans="1:5">
      <c r="A65" s="652"/>
      <c r="B65" s="1203"/>
      <c r="C65" s="1204"/>
      <c r="D65" s="1210"/>
      <c r="E65" s="1210"/>
    </row>
    <row r="66" spans="1:5">
      <c r="A66" s="681" t="s">
        <v>1330</v>
      </c>
      <c r="B66" s="1205"/>
      <c r="C66" s="687">
        <f>0.5*C62+0.3*C63+0.2*C64</f>
        <v>4.7989999999999998E-2</v>
      </c>
      <c r="D66" s="1210"/>
      <c r="E66" s="1210"/>
    </row>
    <row r="68" spans="1:5">
      <c r="A68" s="647" t="s">
        <v>1331</v>
      </c>
      <c r="B68" s="649" t="s">
        <v>1332</v>
      </c>
      <c r="C68" s="649" t="s">
        <v>1333</v>
      </c>
      <c r="D68" s="649" t="s">
        <v>1334</v>
      </c>
      <c r="E68" s="688" t="s">
        <v>1335</v>
      </c>
    </row>
    <row r="69" spans="1:5">
      <c r="A69" s="652" t="s">
        <v>1336</v>
      </c>
      <c r="B69" s="689">
        <v>0.35</v>
      </c>
      <c r="C69" s="690">
        <f>(1-B69)*$C$61</f>
        <v>2.8990000000000002E-2</v>
      </c>
      <c r="D69" s="690">
        <f>B69*$C$66</f>
        <v>1.6796499999999999E-2</v>
      </c>
      <c r="E69" s="691">
        <f>C69+D69</f>
        <v>4.5786500000000001E-2</v>
      </c>
    </row>
    <row r="70" spans="1:5">
      <c r="A70" s="677" t="s">
        <v>1337</v>
      </c>
      <c r="B70" s="692">
        <v>0.42</v>
      </c>
      <c r="C70" s="690">
        <f>(1-B70)*$C$61</f>
        <v>2.5868000000000002E-2</v>
      </c>
      <c r="D70" s="690">
        <f>B70*$C$66</f>
        <v>2.0155799999999998E-2</v>
      </c>
      <c r="E70" s="693">
        <f>C70+D70</f>
        <v>4.6023800000000004E-2</v>
      </c>
    </row>
    <row r="71" spans="1:5">
      <c r="A71" s="661" t="s">
        <v>1338</v>
      </c>
      <c r="B71" s="694">
        <v>0.5</v>
      </c>
      <c r="C71" s="695">
        <f>(1-B71)*$C$61</f>
        <v>2.23E-2</v>
      </c>
      <c r="D71" s="695">
        <f>B71*$C$66</f>
        <v>2.3994999999999999E-2</v>
      </c>
      <c r="E71" s="696">
        <f>C71+D71</f>
        <v>4.6295000000000003E-2</v>
      </c>
    </row>
    <row r="72" spans="1:5">
      <c r="A72" s="645" t="s">
        <v>1339</v>
      </c>
      <c r="B72" s="1210"/>
      <c r="C72" s="1210"/>
      <c r="D72" s="1210"/>
      <c r="E72" s="1210"/>
    </row>
    <row r="75" spans="1:5" ht="15.75">
      <c r="A75" s="1213" t="s">
        <v>1340</v>
      </c>
      <c r="B75" s="1210"/>
      <c r="C75" s="1210"/>
      <c r="D75" s="1210"/>
      <c r="E75" s="1210"/>
    </row>
    <row r="76" spans="1:5">
      <c r="A76" s="645" t="s">
        <v>1341</v>
      </c>
      <c r="B76" s="1210"/>
      <c r="C76" s="1210"/>
      <c r="D76" s="1210"/>
      <c r="E76" s="1210"/>
    </row>
    <row r="78" spans="1:5">
      <c r="A78" s="647" t="s">
        <v>1342</v>
      </c>
      <c r="B78" s="685"/>
      <c r="C78" s="697"/>
      <c r="D78" s="1210"/>
      <c r="E78" s="1210"/>
    </row>
    <row r="79" spans="1:5">
      <c r="A79" s="652" t="s">
        <v>1343</v>
      </c>
      <c r="B79" s="1203"/>
      <c r="C79" s="698">
        <f>Assumptions!D73-Assumptions!D72</f>
        <v>8.8449999999999987E-2</v>
      </c>
      <c r="D79" s="1210"/>
      <c r="E79" s="1210"/>
    </row>
    <row r="80" spans="1:5">
      <c r="A80" s="652" t="s">
        <v>1344</v>
      </c>
      <c r="B80" s="1203"/>
      <c r="C80" s="698">
        <f>Assumptions!D79</f>
        <v>0.03</v>
      </c>
      <c r="D80" s="1210"/>
      <c r="E80" s="1210"/>
    </row>
    <row r="81" spans="1:6">
      <c r="A81" s="661" t="s">
        <v>1345</v>
      </c>
      <c r="B81" s="1205"/>
      <c r="C81" s="696">
        <f>C79-C80</f>
        <v>5.8449999999999988E-2</v>
      </c>
      <c r="D81" s="1210"/>
      <c r="E81" s="1210"/>
      <c r="F81" s="1210"/>
    </row>
    <row r="83" spans="1:6">
      <c r="A83" s="647" t="s">
        <v>1346</v>
      </c>
      <c r="B83" s="649" t="s">
        <v>1347</v>
      </c>
      <c r="C83" s="649" t="s">
        <v>1348</v>
      </c>
      <c r="D83" s="649" t="s">
        <v>1349</v>
      </c>
      <c r="E83" s="649" t="s">
        <v>1350</v>
      </c>
      <c r="F83" s="688" t="s">
        <v>1351</v>
      </c>
    </row>
    <row r="84" spans="1:6">
      <c r="A84" s="652" t="s">
        <v>1352</v>
      </c>
      <c r="B84" s="689">
        <v>0.15</v>
      </c>
      <c r="C84" s="699">
        <f>-B84</f>
        <v>-0.15</v>
      </c>
      <c r="D84" s="655">
        <f>1/(1-B84)</f>
        <v>1.1764705882352942</v>
      </c>
      <c r="E84" s="690">
        <f>$C$81*D84</f>
        <v>6.8764705882352936E-2</v>
      </c>
      <c r="F84" s="691">
        <f>E84-$C$81</f>
        <v>1.0314705882352948E-2</v>
      </c>
    </row>
    <row r="85" spans="1:6">
      <c r="A85" s="677" t="s">
        <v>1353</v>
      </c>
      <c r="B85" s="692">
        <v>0.25</v>
      </c>
      <c r="C85" s="699">
        <f>-B85</f>
        <v>-0.25</v>
      </c>
      <c r="D85" s="655">
        <f>1/(1-B85)</f>
        <v>1.3333333333333333</v>
      </c>
      <c r="E85" s="690">
        <f>$C$81*D85</f>
        <v>7.7933333333333313E-2</v>
      </c>
      <c r="F85" s="693">
        <f>E85-$C$81</f>
        <v>1.9483333333333325E-2</v>
      </c>
    </row>
    <row r="86" spans="1:6">
      <c r="A86" s="661" t="s">
        <v>1354</v>
      </c>
      <c r="B86" s="694">
        <v>0.35</v>
      </c>
      <c r="C86" s="700">
        <f>-B86</f>
        <v>-0.35</v>
      </c>
      <c r="D86" s="664">
        <f>1/(1-B86)</f>
        <v>1.5384615384615383</v>
      </c>
      <c r="E86" s="695">
        <f>$C$81*D86</f>
        <v>8.9923076923076897E-2</v>
      </c>
      <c r="F86" s="696">
        <f>E86-$C$81</f>
        <v>3.1473076923076909E-2</v>
      </c>
    </row>
    <row r="88" spans="1:6">
      <c r="A88" s="647" t="s">
        <v>1355</v>
      </c>
      <c r="B88" s="649" t="s">
        <v>105</v>
      </c>
      <c r="C88" s="650" t="s">
        <v>106</v>
      </c>
      <c r="D88" s="651" t="s">
        <v>107</v>
      </c>
      <c r="E88" s="1210"/>
      <c r="F88" s="1210"/>
    </row>
    <row r="89" spans="1:6">
      <c r="A89" s="652" t="s">
        <v>1356</v>
      </c>
      <c r="B89" s="656">
        <v>2.5000000000000001E-2</v>
      </c>
      <c r="C89" s="701">
        <v>0.02</v>
      </c>
      <c r="D89" s="702">
        <v>1.4999999999999999E-2</v>
      </c>
      <c r="E89" s="1210"/>
      <c r="F89" s="1210"/>
    </row>
    <row r="90" spans="1:6">
      <c r="A90" s="661" t="s">
        <v>1357</v>
      </c>
      <c r="B90" s="703">
        <f>Assumptions!C72</f>
        <v>0.03</v>
      </c>
      <c r="C90" s="703">
        <f>Assumptions!D72</f>
        <v>0.02</v>
      </c>
      <c r="D90" s="704">
        <f>Assumptions!E72</f>
        <v>0.01</v>
      </c>
      <c r="E90" s="1210"/>
      <c r="F90" s="1210"/>
    </row>
    <row r="91" spans="1:6">
      <c r="A91" s="645" t="s">
        <v>1358</v>
      </c>
      <c r="B91" s="1210"/>
      <c r="C91" s="1210"/>
      <c r="D91" s="1210"/>
      <c r="E91" s="1210"/>
      <c r="F91" s="1210"/>
    </row>
    <row r="92" spans="1:6">
      <c r="A92" s="645" t="s">
        <v>1359</v>
      </c>
      <c r="B92" s="1210"/>
      <c r="C92" s="1210"/>
      <c r="D92" s="1210"/>
      <c r="E92" s="1210"/>
      <c r="F92" s="1210"/>
    </row>
    <row r="95" spans="1:6" ht="15.75">
      <c r="A95" s="1213" t="s">
        <v>1360</v>
      </c>
      <c r="B95" s="1210"/>
      <c r="C95" s="1210"/>
      <c r="D95" s="1210"/>
      <c r="E95" s="1210"/>
      <c r="F95" s="1210"/>
    </row>
    <row r="96" spans="1:6">
      <c r="A96" s="645" t="s">
        <v>1361</v>
      </c>
      <c r="B96" s="1210"/>
      <c r="C96" s="1210"/>
      <c r="D96" s="1210"/>
      <c r="E96" s="1210"/>
      <c r="F96" s="1210"/>
    </row>
    <row r="98" spans="1:8" ht="30">
      <c r="A98" s="647" t="s">
        <v>1064</v>
      </c>
      <c r="B98" s="669" t="s">
        <v>1362</v>
      </c>
      <c r="C98" s="649"/>
      <c r="D98" s="649"/>
      <c r="E98" s="650" t="s">
        <v>1363</v>
      </c>
      <c r="F98" s="650"/>
      <c r="G98" s="650"/>
      <c r="H98" s="651" t="s">
        <v>1364</v>
      </c>
    </row>
    <row r="99" spans="1:8">
      <c r="A99" s="677"/>
      <c r="B99" s="705" t="s">
        <v>105</v>
      </c>
      <c r="C99" s="705" t="s">
        <v>106</v>
      </c>
      <c r="D99" s="705" t="s">
        <v>107</v>
      </c>
      <c r="E99" s="706" t="s">
        <v>105</v>
      </c>
      <c r="F99" s="706" t="s">
        <v>106</v>
      </c>
      <c r="G99" s="706" t="s">
        <v>107</v>
      </c>
      <c r="H99" s="1204"/>
    </row>
    <row r="100" spans="1:8">
      <c r="A100" s="652" t="s">
        <v>1365</v>
      </c>
      <c r="B100" s="707">
        <f>Assumptions!C68</f>
        <v>4.2999999999999997E-2</v>
      </c>
      <c r="C100" s="707">
        <f>Assumptions!D68</f>
        <v>4.2999999999999997E-2</v>
      </c>
      <c r="D100" s="707">
        <f>Assumptions!E68</f>
        <v>4.2999999999999997E-2</v>
      </c>
      <c r="E100" s="707">
        <f>Assumptions!C68</f>
        <v>4.2999999999999997E-2</v>
      </c>
      <c r="F100" s="707">
        <f>Assumptions!D68</f>
        <v>4.2999999999999997E-2</v>
      </c>
      <c r="G100" s="707">
        <f>Assumptions!E68</f>
        <v>4.2999999999999997E-2</v>
      </c>
      <c r="H100" s="708">
        <f>F100-C100</f>
        <v>0</v>
      </c>
    </row>
    <row r="101" spans="1:8">
      <c r="A101" s="652" t="s">
        <v>411</v>
      </c>
      <c r="B101" s="707">
        <f>Assumptions!C69</f>
        <v>4.4999999999999998E-2</v>
      </c>
      <c r="C101" s="707">
        <f>Assumptions!D69</f>
        <v>4.4999999999999998E-2</v>
      </c>
      <c r="D101" s="707">
        <f>Assumptions!E69</f>
        <v>4.4999999999999998E-2</v>
      </c>
      <c r="E101" s="690">
        <f>$E$70</f>
        <v>4.6023800000000004E-2</v>
      </c>
      <c r="F101" s="690">
        <f>$E$70</f>
        <v>4.6023800000000004E-2</v>
      </c>
      <c r="G101" s="690">
        <f>$E$70</f>
        <v>4.6023800000000004E-2</v>
      </c>
      <c r="H101" s="708">
        <f>F101-C101</f>
        <v>1.0238000000000053E-3</v>
      </c>
    </row>
    <row r="102" spans="1:8">
      <c r="A102" s="652" t="s">
        <v>1366</v>
      </c>
      <c r="B102" s="679">
        <f>Assumptions!C70</f>
        <v>0.85</v>
      </c>
      <c r="C102" s="679">
        <f>Assumptions!D70</f>
        <v>0.83</v>
      </c>
      <c r="D102" s="679">
        <f>Assumptions!E70</f>
        <v>0.81</v>
      </c>
      <c r="E102" s="655">
        <f>$H$50</f>
        <v>0.99201948481694646</v>
      </c>
      <c r="F102" s="655">
        <f>$H$51</f>
        <v>0.9728552033813247</v>
      </c>
      <c r="G102" s="655">
        <f>$H$52</f>
        <v>0.95468791460805846</v>
      </c>
      <c r="H102" s="709">
        <f>F102-C102</f>
        <v>0.14285520338132474</v>
      </c>
    </row>
    <row r="103" spans="1:8">
      <c r="A103" s="652" t="s">
        <v>1367</v>
      </c>
      <c r="B103" s="707">
        <f>Assumptions!C71</f>
        <v>8.0999999999999996E-3</v>
      </c>
      <c r="C103" s="707">
        <f>Assumptions!D71</f>
        <v>8.0999999999999996E-3</v>
      </c>
      <c r="D103" s="707">
        <f>Assumptions!E71</f>
        <v>8.0999999999999996E-3</v>
      </c>
      <c r="E103" s="707">
        <f>Assumptions!C71</f>
        <v>8.0999999999999996E-3</v>
      </c>
      <c r="F103" s="707">
        <f>Assumptions!D71</f>
        <v>8.0999999999999996E-3</v>
      </c>
      <c r="G103" s="707">
        <f>Assumptions!E71</f>
        <v>8.0999999999999996E-3</v>
      </c>
      <c r="H103" s="708">
        <f>F103-C103</f>
        <v>0</v>
      </c>
    </row>
    <row r="104" spans="1:8">
      <c r="A104" s="652" t="s">
        <v>1368</v>
      </c>
      <c r="B104" s="707">
        <f>Assumptions!C72</f>
        <v>0.03</v>
      </c>
      <c r="C104" s="707">
        <f>Assumptions!D72</f>
        <v>0.02</v>
      </c>
      <c r="D104" s="707">
        <f>Assumptions!E72</f>
        <v>0.01</v>
      </c>
      <c r="E104" s="690">
        <f>$B$89</f>
        <v>2.5000000000000001E-2</v>
      </c>
      <c r="F104" s="690">
        <f>$C$89</f>
        <v>0.02</v>
      </c>
      <c r="G104" s="690">
        <f>$D$89</f>
        <v>1.4999999999999999E-2</v>
      </c>
      <c r="H104" s="708">
        <f>F104-C104</f>
        <v>0</v>
      </c>
    </row>
    <row r="105" spans="1:8">
      <c r="A105" s="652"/>
      <c r="B105" s="1203"/>
      <c r="C105" s="1203"/>
      <c r="D105" s="1203"/>
      <c r="E105" s="1203"/>
      <c r="F105" s="1203"/>
      <c r="G105" s="1203"/>
      <c r="H105" s="1204"/>
    </row>
    <row r="106" spans="1:8">
      <c r="A106" s="681" t="s">
        <v>1369</v>
      </c>
      <c r="B106" s="710">
        <f t="shared" ref="B106:G106" si="4">B100+B101*B102+B103+B104</f>
        <v>0.11934999999999998</v>
      </c>
      <c r="C106" s="710">
        <f t="shared" si="4"/>
        <v>0.10844999999999999</v>
      </c>
      <c r="D106" s="710">
        <f t="shared" si="4"/>
        <v>9.7549999999999984E-2</v>
      </c>
      <c r="E106" s="711">
        <f t="shared" si="4"/>
        <v>0.12175650636531818</v>
      </c>
      <c r="F106" s="711">
        <f t="shared" si="4"/>
        <v>0.11587449330938142</v>
      </c>
      <c r="G106" s="711">
        <f t="shared" si="4"/>
        <v>0.11003836564433836</v>
      </c>
      <c r="H106" s="712">
        <f>F106-C106</f>
        <v>7.4244933093814275E-3</v>
      </c>
    </row>
    <row r="108" spans="1:8">
      <c r="A108" s="647" t="s">
        <v>1370</v>
      </c>
      <c r="B108" s="685"/>
      <c r="C108" s="651" t="s">
        <v>1065</v>
      </c>
      <c r="D108" s="1210"/>
      <c r="E108" s="1210"/>
      <c r="F108" s="1210"/>
      <c r="G108" s="1210"/>
      <c r="H108" s="1210"/>
    </row>
    <row r="109" spans="1:8">
      <c r="A109" s="652" t="s">
        <v>1371</v>
      </c>
      <c r="B109" s="1203"/>
      <c r="C109" s="708">
        <f>(F102-C102)*F101</f>
        <v>6.5747393093814142E-3</v>
      </c>
      <c r="D109" s="1210"/>
      <c r="E109" s="1210"/>
      <c r="F109" s="1210"/>
      <c r="G109" s="1210"/>
      <c r="H109" s="1210"/>
    </row>
    <row r="110" spans="1:8">
      <c r="A110" s="652" t="s">
        <v>1372</v>
      </c>
      <c r="B110" s="1203"/>
      <c r="C110" s="708">
        <f>(F101-C101)*C102</f>
        <v>8.4975400000000432E-4</v>
      </c>
      <c r="D110" s="1210"/>
      <c r="E110" s="1210"/>
      <c r="F110" s="1210"/>
      <c r="G110" s="1210"/>
      <c r="H110" s="1210"/>
    </row>
    <row r="111" spans="1:8">
      <c r="A111" s="652" t="s">
        <v>1373</v>
      </c>
      <c r="B111" s="1203"/>
      <c r="C111" s="708">
        <f>F104-C104</f>
        <v>0</v>
      </c>
      <c r="D111" s="1210"/>
      <c r="E111" s="1210"/>
      <c r="F111" s="1210"/>
      <c r="G111" s="1210"/>
      <c r="H111" s="1210"/>
    </row>
    <row r="112" spans="1:8">
      <c r="A112" s="681" t="s">
        <v>1374</v>
      </c>
      <c r="B112" s="1205"/>
      <c r="C112" s="712">
        <f>SUM(C109:C111)</f>
        <v>7.4244933093814188E-3</v>
      </c>
      <c r="D112" s="1210"/>
      <c r="E112" s="1210"/>
      <c r="F112" s="1210"/>
      <c r="G112" s="1210"/>
      <c r="H112" s="1210"/>
    </row>
    <row r="114" spans="1:7">
      <c r="A114" s="645" t="s">
        <v>1375</v>
      </c>
      <c r="B114" s="1210"/>
      <c r="C114" s="1210"/>
      <c r="D114" s="1210"/>
      <c r="E114" s="1210"/>
      <c r="F114" s="1210"/>
      <c r="G114" s="1210"/>
    </row>
    <row r="115" spans="1:7" ht="21.75" customHeight="1">
      <c r="A115" s="1405" t="s">
        <v>1376</v>
      </c>
      <c r="B115" s="1280"/>
      <c r="C115" s="1280"/>
      <c r="D115" s="1280"/>
      <c r="E115" s="1280"/>
      <c r="F115" s="1280"/>
      <c r="G115" s="1210"/>
    </row>
    <row r="116" spans="1:7" ht="18" customHeight="1">
      <c r="A116" s="1308" t="s">
        <v>1377</v>
      </c>
      <c r="B116" s="1210"/>
      <c r="C116" s="1210"/>
      <c r="D116" s="1210"/>
      <c r="E116" s="1210"/>
      <c r="F116" s="1210"/>
      <c r="G116" s="1210"/>
    </row>
    <row r="117" spans="1:7" ht="18" customHeight="1">
      <c r="A117" s="1210"/>
      <c r="B117" s="1210"/>
      <c r="C117" s="1210"/>
      <c r="D117" s="1210"/>
      <c r="E117" s="1210"/>
      <c r="F117" s="1210"/>
      <c r="G117" s="1210"/>
    </row>
    <row r="118" spans="1:7" ht="18" customHeight="1">
      <c r="A118" s="1284" t="s">
        <v>1064</v>
      </c>
      <c r="B118" s="1286" t="s">
        <v>105</v>
      </c>
      <c r="C118" s="1286" t="s">
        <v>106</v>
      </c>
      <c r="D118" s="1286" t="s">
        <v>107</v>
      </c>
      <c r="E118" s="1284" t="s">
        <v>1378</v>
      </c>
      <c r="F118" s="1210"/>
      <c r="G118" s="1210"/>
    </row>
    <row r="119" spans="1:7" ht="18" customHeight="1">
      <c r="A119" s="1287" t="s">
        <v>1365</v>
      </c>
      <c r="B119" s="1407">
        <f>F100</f>
        <v>4.2999999999999997E-2</v>
      </c>
      <c r="C119" s="1407">
        <f>F100</f>
        <v>4.2999999999999997E-2</v>
      </c>
      <c r="D119" s="1407">
        <f>F100</f>
        <v>4.2999999999999997E-2</v>
      </c>
      <c r="E119" s="1308" t="s">
        <v>1379</v>
      </c>
      <c r="F119" s="1210"/>
      <c r="G119" s="1210"/>
    </row>
    <row r="120" spans="1:7" ht="18" customHeight="1">
      <c r="A120" s="1408" t="s">
        <v>1380</v>
      </c>
      <c r="B120" s="1409">
        <f>H50</f>
        <v>0.99201948481694646</v>
      </c>
      <c r="C120" s="1410">
        <f>H51</f>
        <v>0.9728552033813247</v>
      </c>
      <c r="D120" s="1409">
        <f>H52</f>
        <v>0.95468791460805846</v>
      </c>
      <c r="E120" s="1411" t="s">
        <v>1381</v>
      </c>
      <c r="F120" s="685"/>
      <c r="G120" s="697"/>
    </row>
    <row r="121" spans="1:7" ht="18" customHeight="1">
      <c r="A121" s="1412" t="s">
        <v>1382</v>
      </c>
      <c r="B121" s="1535">
        <f>E69</f>
        <v>4.5786500000000001E-2</v>
      </c>
      <c r="C121" s="1535"/>
      <c r="D121" s="1535">
        <f>E71</f>
        <v>4.6295000000000003E-2</v>
      </c>
      <c r="E121" s="1536"/>
      <c r="F121" s="1537"/>
      <c r="G121" s="1538"/>
    </row>
    <row r="122" spans="1:7" ht="18" customHeight="1">
      <c r="A122" s="1413" t="s">
        <v>1383</v>
      </c>
      <c r="B122" s="1539">
        <f>B120*B121</f>
        <v>4.5421100141571122E-2</v>
      </c>
      <c r="C122" s="1540"/>
      <c r="D122" s="1539">
        <f>D120*D121</f>
        <v>4.419727700678007E-2</v>
      </c>
      <c r="E122" s="1541"/>
      <c r="F122" s="1537"/>
      <c r="G122" s="1538"/>
    </row>
    <row r="123" spans="1:7" ht="18" customHeight="1">
      <c r="A123" s="1412" t="s">
        <v>1384</v>
      </c>
      <c r="B123" s="1535">
        <f>F103</f>
        <v>8.0999999999999996E-3</v>
      </c>
      <c r="C123" s="1542"/>
      <c r="D123" s="1535">
        <f>F103</f>
        <v>8.0999999999999996E-3</v>
      </c>
      <c r="E123" s="1543"/>
      <c r="F123" s="1537"/>
      <c r="G123" s="1538"/>
    </row>
    <row r="124" spans="1:7" ht="18" customHeight="1">
      <c r="A124" s="1414" t="s">
        <v>1385</v>
      </c>
      <c r="B124" s="1544">
        <f>B89</f>
        <v>2.5000000000000001E-2</v>
      </c>
      <c r="C124" s="1545"/>
      <c r="D124" s="1546">
        <f>D89</f>
        <v>1.4999999999999999E-2</v>
      </c>
      <c r="E124" s="1547"/>
      <c r="F124" s="1548"/>
      <c r="G124" s="1538"/>
    </row>
    <row r="125" spans="1:7" ht="18" customHeight="1">
      <c r="A125" s="1416" t="s">
        <v>1386</v>
      </c>
      <c r="B125" s="1549">
        <f>E106</f>
        <v>0.12175650636531818</v>
      </c>
      <c r="C125" s="1550"/>
      <c r="D125" s="1551">
        <f>G106</f>
        <v>0.11003836564433836</v>
      </c>
      <c r="E125" s="1552"/>
      <c r="F125" s="1548"/>
      <c r="G125" s="1538"/>
    </row>
    <row r="126" spans="1:7" ht="18" customHeight="1">
      <c r="A126" s="1415"/>
      <c r="B126" s="1553"/>
      <c r="C126" s="1553"/>
      <c r="D126" s="1553"/>
      <c r="E126" s="1553"/>
      <c r="F126" s="1537"/>
      <c r="G126" s="1538"/>
    </row>
    <row r="127" spans="1:7" ht="18" customHeight="1">
      <c r="A127" s="713"/>
      <c r="B127" s="1537"/>
      <c r="C127" s="1537"/>
      <c r="D127" s="1537"/>
      <c r="E127" s="1537"/>
      <c r="F127" s="1537"/>
      <c r="G127" s="1538"/>
    </row>
    <row r="128" spans="1:7" ht="18" customHeight="1">
      <c r="A128" s="1417" t="s">
        <v>1387</v>
      </c>
      <c r="B128" s="1556" t="s">
        <v>1388</v>
      </c>
      <c r="C128" s="1556"/>
      <c r="D128" s="1556" t="s">
        <v>1389</v>
      </c>
      <c r="E128" s="1556"/>
      <c r="F128" s="1556"/>
      <c r="G128" s="1538"/>
    </row>
    <row r="129" spans="1:8" ht="18" customHeight="1">
      <c r="A129" s="1418" t="s">
        <v>1390</v>
      </c>
      <c r="B129" s="1537"/>
      <c r="C129" s="1537"/>
      <c r="D129" s="1537"/>
      <c r="E129" s="1537"/>
      <c r="F129" s="1537"/>
      <c r="G129" s="1538"/>
      <c r="H129" s="1210"/>
    </row>
    <row r="130" spans="1:8" ht="18" customHeight="1">
      <c r="A130" s="1419"/>
      <c r="B130" s="1554"/>
      <c r="C130" s="1554"/>
      <c r="D130" s="1554"/>
      <c r="E130" s="1554"/>
      <c r="F130" s="1554"/>
      <c r="G130" s="1555"/>
      <c r="H130" s="1210"/>
    </row>
    <row r="131" spans="1:8" ht="18" customHeight="1">
      <c r="A131" s="1284" t="s">
        <v>1256</v>
      </c>
      <c r="B131" s="1286" t="s">
        <v>1391</v>
      </c>
      <c r="C131" s="1286" t="s">
        <v>1392</v>
      </c>
      <c r="D131" s="1286" t="s">
        <v>1393</v>
      </c>
      <c r="E131" s="1286" t="s">
        <v>1394</v>
      </c>
      <c r="F131" s="1284" t="s">
        <v>1395</v>
      </c>
      <c r="G131" s="1210"/>
      <c r="H131" s="1210"/>
    </row>
    <row r="132" spans="1:8" ht="18" customHeight="1">
      <c r="A132" s="1406" t="s">
        <v>1396</v>
      </c>
      <c r="B132" s="1396">
        <f>D30</f>
        <v>1.0151717369019899</v>
      </c>
      <c r="C132" s="1420">
        <f>Assumptions!C83</f>
        <v>0.4</v>
      </c>
      <c r="D132" s="1420">
        <f>Assumptions!D83</f>
        <v>0.2</v>
      </c>
      <c r="E132" s="1420">
        <f>Assumptions!E83</f>
        <v>0.1</v>
      </c>
      <c r="F132" s="1308" t="s">
        <v>1397</v>
      </c>
      <c r="G132" s="1210"/>
      <c r="H132" s="1210"/>
    </row>
    <row r="133" spans="1:8" ht="18" customHeight="1">
      <c r="A133" s="1378" t="s">
        <v>1398</v>
      </c>
      <c r="B133" s="1421">
        <f>D31</f>
        <v>1.0052018102784355</v>
      </c>
      <c r="C133" s="1422">
        <f>Assumptions!C84</f>
        <v>0.4</v>
      </c>
      <c r="D133" s="1422">
        <f>Assumptions!D84</f>
        <v>0.4</v>
      </c>
      <c r="E133" s="1422">
        <f>Assumptions!E84</f>
        <v>0.3</v>
      </c>
      <c r="F133" s="1374" t="s">
        <v>1399</v>
      </c>
      <c r="G133" s="1210"/>
      <c r="H133" s="1210"/>
    </row>
    <row r="134" spans="1:8" ht="18" customHeight="1">
      <c r="A134" s="1287" t="s">
        <v>1400</v>
      </c>
      <c r="B134" s="1396">
        <f>D32</f>
        <v>0.91935032972388142</v>
      </c>
      <c r="C134" s="1420">
        <f>Assumptions!C85</f>
        <v>0.2</v>
      </c>
      <c r="D134" s="1420">
        <f>Assumptions!D85</f>
        <v>0.4</v>
      </c>
      <c r="E134" s="1420">
        <f>Assumptions!E85</f>
        <v>0.6</v>
      </c>
      <c r="F134" s="1380" t="s">
        <v>1401</v>
      </c>
      <c r="G134" s="1210"/>
      <c r="H134" s="1210"/>
    </row>
    <row r="135" spans="1:8" ht="18" customHeight="1">
      <c r="A135" s="1423" t="s">
        <v>1402</v>
      </c>
      <c r="B135" s="1424" t="s">
        <v>1403</v>
      </c>
      <c r="C135" s="1425">
        <f>B132*C132+B133*C133+B134*C134</f>
        <v>0.99201948481694646</v>
      </c>
      <c r="D135" s="1426">
        <f>B132*D132+B133*D133+B134*D134</f>
        <v>0.9728552033813247</v>
      </c>
      <c r="E135" s="1427">
        <f>B132*E132+B133*E133+B134*E134</f>
        <v>0.95468791460805846</v>
      </c>
      <c r="F135" s="1361" t="s">
        <v>1404</v>
      </c>
      <c r="G135" s="1210"/>
      <c r="H135" s="1210"/>
    </row>
    <row r="136" spans="1:8" ht="18" customHeight="1">
      <c r="A136" s="1210"/>
      <c r="B136" s="1210"/>
      <c r="C136" s="1210"/>
      <c r="D136" s="1210"/>
      <c r="E136" s="1210"/>
      <c r="F136" s="1210"/>
      <c r="G136" s="1210"/>
      <c r="H136" s="1210"/>
    </row>
    <row r="137" spans="1:8" ht="21.75" customHeight="1">
      <c r="A137" s="1278" t="s">
        <v>1405</v>
      </c>
      <c r="B137" s="1280"/>
      <c r="C137" s="1280"/>
      <c r="D137" s="1280"/>
      <c r="E137" s="1280"/>
      <c r="F137" s="1280"/>
      <c r="G137" s="1280"/>
      <c r="H137" s="1210"/>
    </row>
    <row r="138" spans="1:8" ht="18" customHeight="1">
      <c r="A138" s="1282" t="s">
        <v>1406</v>
      </c>
      <c r="B138" s="1210"/>
      <c r="C138" s="1210"/>
      <c r="D138" s="1210"/>
      <c r="E138" s="1210"/>
      <c r="F138" s="1210"/>
      <c r="G138" s="1210"/>
      <c r="H138" s="1210"/>
    </row>
    <row r="139" spans="1:8" ht="18" customHeight="1">
      <c r="A139" s="1210"/>
      <c r="B139" s="1210"/>
      <c r="C139" s="1210"/>
      <c r="D139" s="1210"/>
      <c r="E139" s="1210"/>
      <c r="F139" s="1210"/>
      <c r="G139" s="1210"/>
      <c r="H139" s="1210"/>
    </row>
    <row r="140" spans="1:8" ht="18" customHeight="1">
      <c r="A140" s="1284" t="s">
        <v>1255</v>
      </c>
      <c r="B140" s="1284" t="s">
        <v>1256</v>
      </c>
      <c r="C140" s="1286" t="s">
        <v>1407</v>
      </c>
      <c r="D140" s="1286" t="s">
        <v>1408</v>
      </c>
      <c r="E140" s="1286" t="s">
        <v>1263</v>
      </c>
      <c r="F140" s="1286" t="s">
        <v>1409</v>
      </c>
      <c r="G140" s="1286" t="s">
        <v>1410</v>
      </c>
      <c r="H140" s="1210"/>
    </row>
    <row r="141" spans="1:8" ht="18" customHeight="1">
      <c r="A141" s="1287" t="s">
        <v>1269</v>
      </c>
      <c r="B141" s="1287" t="s">
        <v>1411</v>
      </c>
      <c r="C141" s="1396">
        <f>C17</f>
        <v>1.0289999999999999</v>
      </c>
      <c r="D141" s="1396">
        <f>D17</f>
        <v>1.0189999999999999</v>
      </c>
      <c r="E141" s="1396">
        <f>I17</f>
        <v>4.7734806629834252E-3</v>
      </c>
      <c r="F141" s="1428">
        <f>L17</f>
        <v>0.21</v>
      </c>
      <c r="G141" s="1429">
        <f>M17</f>
        <v>1.0151717369019899</v>
      </c>
      <c r="H141" s="1210"/>
    </row>
    <row r="142" spans="1:8" ht="18" customHeight="1">
      <c r="A142" s="1378" t="s">
        <v>1274</v>
      </c>
      <c r="B142" s="1378" t="s">
        <v>1412</v>
      </c>
      <c r="C142" s="1421">
        <f>C19</f>
        <v>1.014</v>
      </c>
      <c r="D142" s="1421">
        <f>D19</f>
        <v>1.01</v>
      </c>
      <c r="E142" s="1421">
        <f>I19</f>
        <v>6.3644794806399256E-3</v>
      </c>
      <c r="F142" s="1430">
        <f>L19</f>
        <v>0.25</v>
      </c>
      <c r="G142" s="1431">
        <f>M19</f>
        <v>1.0052018102784355</v>
      </c>
      <c r="H142" s="1210"/>
    </row>
    <row r="143" spans="1:8" ht="18" customHeight="1">
      <c r="A143" s="1432" t="s">
        <v>1271</v>
      </c>
      <c r="B143" s="1432" t="s">
        <v>1413</v>
      </c>
      <c r="C143" s="1433">
        <f>C18</f>
        <v>2.2829999999999999</v>
      </c>
      <c r="D143" s="1433">
        <f>D18</f>
        <v>1.855</v>
      </c>
      <c r="E143" s="1433">
        <f>I18</f>
        <v>0.88636363636363635</v>
      </c>
      <c r="F143" s="1434">
        <f>L18</f>
        <v>0.25</v>
      </c>
      <c r="G143" s="1433">
        <f>M18</f>
        <v>1.1142662116040956</v>
      </c>
      <c r="H143" s="1210"/>
    </row>
    <row r="144" spans="1:8" ht="18" customHeight="1">
      <c r="A144" s="1378" t="s">
        <v>1276</v>
      </c>
      <c r="B144" s="1378" t="s">
        <v>1414</v>
      </c>
      <c r="C144" s="1421">
        <f>C20</f>
        <v>1.08</v>
      </c>
      <c r="D144" s="1421">
        <f>D20</f>
        <v>1.054</v>
      </c>
      <c r="E144" s="1421">
        <f>I20</f>
        <v>6.0130718954248367E-2</v>
      </c>
      <c r="F144" s="1430">
        <f>L20</f>
        <v>0.25</v>
      </c>
      <c r="G144" s="1431">
        <f>M20</f>
        <v>1.0085178236397749</v>
      </c>
      <c r="H144" s="1210"/>
    </row>
    <row r="145" spans="1:8" ht="18" customHeight="1">
      <c r="A145" s="1287" t="s">
        <v>1278</v>
      </c>
      <c r="B145" s="1287" t="s">
        <v>1414</v>
      </c>
      <c r="C145" s="1396">
        <f>C21</f>
        <v>0.96199999999999997</v>
      </c>
      <c r="D145" s="1396">
        <f>D21</f>
        <v>0.97399999999999998</v>
      </c>
      <c r="E145" s="1396">
        <f>I21</f>
        <v>2.7960199004975126E-2</v>
      </c>
      <c r="F145" s="1428">
        <f>L21</f>
        <v>0.27</v>
      </c>
      <c r="G145" s="1429">
        <f>M21</f>
        <v>0.95451739763415966</v>
      </c>
      <c r="H145" s="1210"/>
    </row>
    <row r="146" spans="1:8" ht="18" customHeight="1">
      <c r="A146" s="1378" t="s">
        <v>1279</v>
      </c>
      <c r="B146" s="1378" t="s">
        <v>1414</v>
      </c>
      <c r="C146" s="1421">
        <f>C22</f>
        <v>0.88500000000000001</v>
      </c>
      <c r="D146" s="1421">
        <f>D22</f>
        <v>0.92400000000000004</v>
      </c>
      <c r="E146" s="1421">
        <f>I22</f>
        <v>6.0042964554242753E-2</v>
      </c>
      <c r="F146" s="1430">
        <f>L22</f>
        <v>0.25</v>
      </c>
      <c r="G146" s="1431">
        <f>M22</f>
        <v>0.88418326181360329</v>
      </c>
      <c r="H146" s="1210"/>
    </row>
    <row r="147" spans="1:8" ht="18" customHeight="1">
      <c r="A147" s="1287" t="s">
        <v>1280</v>
      </c>
      <c r="B147" s="1287" t="s">
        <v>1414</v>
      </c>
      <c r="C147" s="1396">
        <f>C23</f>
        <v>0.81599999999999995</v>
      </c>
      <c r="D147" s="1396">
        <f>D23</f>
        <v>0.877</v>
      </c>
      <c r="E147" s="1396">
        <f>I23</f>
        <v>0.178239608801956</v>
      </c>
      <c r="F147" s="1428">
        <f>L23</f>
        <v>0.25</v>
      </c>
      <c r="G147" s="1440">
        <f>M23</f>
        <v>0.77358710303553135</v>
      </c>
      <c r="H147" s="1210"/>
    </row>
    <row r="148" spans="1:8" ht="18" customHeight="1">
      <c r="A148" s="1435" t="s">
        <v>1415</v>
      </c>
      <c r="B148" s="1435" t="s">
        <v>1416</v>
      </c>
      <c r="C148" s="1436"/>
      <c r="D148" s="1436"/>
      <c r="E148" s="1436"/>
      <c r="F148" s="1438" t="s">
        <v>1417</v>
      </c>
      <c r="G148" s="1441">
        <f>G141</f>
        <v>1.0151717369019899</v>
      </c>
      <c r="H148" s="1210"/>
    </row>
    <row r="149" spans="1:8" ht="18" customHeight="1">
      <c r="A149" s="328"/>
      <c r="B149" s="328"/>
      <c r="C149" s="328"/>
      <c r="D149" s="328"/>
      <c r="E149" s="328"/>
      <c r="F149" s="1437" t="s">
        <v>1418</v>
      </c>
      <c r="G149" s="1439">
        <f>G142</f>
        <v>1.0052018102784355</v>
      </c>
      <c r="H149" s="1210"/>
    </row>
    <row r="150" spans="1:8" ht="18" customHeight="1">
      <c r="A150" s="1436"/>
      <c r="B150" s="1436"/>
      <c r="C150" s="1436"/>
      <c r="D150" s="1436"/>
      <c r="E150" s="1436"/>
      <c r="F150" s="1438" t="s">
        <v>1419</v>
      </c>
      <c r="G150" s="1442">
        <f>MEDIAN(G144:G147)</f>
        <v>0.91935032972388142</v>
      </c>
      <c r="H150" s="1210"/>
    </row>
    <row r="151" spans="1:8">
      <c r="A151" s="1210"/>
      <c r="B151" s="1210"/>
      <c r="C151" s="1210"/>
      <c r="D151" s="1210"/>
      <c r="E151" s="1210"/>
      <c r="F151" s="1210"/>
      <c r="G151" s="1210"/>
      <c r="H151" s="1210"/>
    </row>
  </sheetData>
  <mergeCells count="20">
    <mergeCell ref="B130:C130"/>
    <mergeCell ref="D130:G130"/>
    <mergeCell ref="B127:C127"/>
    <mergeCell ref="D127:G127"/>
    <mergeCell ref="B128:C128"/>
    <mergeCell ref="D128:G128"/>
    <mergeCell ref="B129:C129"/>
    <mergeCell ref="D129:G129"/>
    <mergeCell ref="B124:C124"/>
    <mergeCell ref="D124:G124"/>
    <mergeCell ref="B125:C125"/>
    <mergeCell ref="D125:G125"/>
    <mergeCell ref="B126:C126"/>
    <mergeCell ref="D126:G126"/>
    <mergeCell ref="B121:C121"/>
    <mergeCell ref="D121:G121"/>
    <mergeCell ref="B122:C122"/>
    <mergeCell ref="D122:G122"/>
    <mergeCell ref="B123:C123"/>
    <mergeCell ref="D123:G123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M74"/>
  <sheetViews>
    <sheetView showGridLines="0" tabSelected="1" topLeftCell="A44" zoomScale="125" zoomScaleNormal="100" workbookViewId="0">
      <selection activeCell="D69" sqref="D65:D69"/>
    </sheetView>
  </sheetViews>
  <sheetFormatPr defaultColWidth="8.85546875" defaultRowHeight="15"/>
  <cols>
    <col min="1" max="1" width="46.7109375" customWidth="1"/>
    <col min="2" max="2" width="8.28515625" customWidth="1"/>
    <col min="3" max="11" width="12.42578125" customWidth="1"/>
    <col min="12" max="13" width="36.7109375" customWidth="1"/>
  </cols>
  <sheetData>
    <row r="1" spans="1:13" ht="27.95" customHeight="1">
      <c r="A1" s="1463" t="s">
        <v>1420</v>
      </c>
      <c r="B1" s="1464"/>
      <c r="C1" s="1464"/>
      <c r="D1" s="1464"/>
      <c r="E1" s="1464"/>
      <c r="F1" s="1464"/>
      <c r="G1" s="1464"/>
      <c r="H1" s="1464"/>
      <c r="I1" s="1464"/>
      <c r="J1" s="1464"/>
      <c r="K1" s="1464"/>
      <c r="L1" s="1464"/>
      <c r="M1" s="1464"/>
    </row>
    <row r="2" spans="1:13" ht="15.75" customHeight="1">
      <c r="A2" s="1465" t="str">
        <f>"$M; Calendar Year; Base case (Assumptions!B3 = "&amp;Assumptions!B3&amp;") — WACC "&amp;TEXT(Assumptions!F74,"0.00%")&amp;" / Exit Mult "&amp;TEXT(Assumptions!F77,"0.0\x")&amp;" / Term g "&amp;TEXT(Assumptions!F79,"0.0%")&amp;" → EV "&amp;TEXT(C32/1000,"$0.00\B")&amp;" / Equity "&amp;TEXT(C38/1000,"$0.00\B")&amp;" / "&amp;TEXT(C40,"$0.00")&amp;"/sh. See Sensitivity tab for ranges."</f>
        <v>$M; Calendar Year; Base case (Assumptions!B3 = Base) — WACC 11.59% / Exit Mult 3.5x / Term g 3.0% → EV $6.60B / Equity $7.32B / $17.86/sh. See Sensitivity tab for ranges.</v>
      </c>
      <c r="B2" s="1466"/>
      <c r="C2" s="1466"/>
      <c r="D2" s="1466"/>
      <c r="E2" s="1466"/>
      <c r="F2" s="1466"/>
      <c r="G2" s="1466"/>
      <c r="H2" s="1466"/>
      <c r="I2" s="1466"/>
      <c r="J2" s="1466"/>
      <c r="K2" s="1466"/>
      <c r="L2" s="1466"/>
      <c r="M2" s="1466"/>
    </row>
    <row r="3" spans="1:13" ht="15.75" customHeight="1">
      <c r="A3" s="1467" t="str">
        <f>"⚠ Integrity flags: TV divergence "&amp;TEXT(C24,"0.0%")&amp;" (threshold 25%) — "&amp;IF(C24&gt;0.25,"OVER","OK")&amp;"; TV % EV "&amp;TEXT(C27,"0.0%")&amp;" (threshold 75%) — "&amp;IF(C27&gt;0.75,"OVER","OK")&amp;". See notes on C24, C27."</f>
        <v>⚠ Integrity flags: TV divergence 34.6% (threshold 25%) — OVER; TV % EV 73.2% (threshold 75%) — OK. See notes on C24, C27.</v>
      </c>
      <c r="B3" s="1468"/>
      <c r="C3" s="1468"/>
      <c r="D3" s="1468"/>
      <c r="E3" s="1468"/>
      <c r="F3" s="1468"/>
      <c r="G3" s="1468"/>
      <c r="H3" s="1468"/>
      <c r="I3" s="1468"/>
      <c r="J3" s="1468"/>
      <c r="K3" s="1468"/>
      <c r="L3" s="1468"/>
      <c r="M3" s="1468"/>
    </row>
    <row r="4" spans="1:13" ht="15.75" customHeight="1">
      <c r="A4" s="1210"/>
      <c r="B4" s="1210"/>
      <c r="C4" s="1210"/>
      <c r="D4" s="1210"/>
      <c r="E4" s="1210"/>
      <c r="F4" s="1210"/>
      <c r="G4" s="1210"/>
      <c r="H4" s="1210"/>
      <c r="I4" s="1210"/>
      <c r="J4" s="1210"/>
      <c r="K4" s="1210"/>
      <c r="L4" s="1210"/>
      <c r="M4" s="1210"/>
    </row>
    <row r="5" spans="1:13" ht="15.75" customHeight="1">
      <c r="A5" s="307"/>
      <c r="B5" s="307" t="s">
        <v>966</v>
      </c>
      <c r="C5" s="307" t="s">
        <v>1120</v>
      </c>
      <c r="D5" s="307" t="s">
        <v>1121</v>
      </c>
      <c r="E5" s="307" t="s">
        <v>1122</v>
      </c>
      <c r="F5" s="307" t="s">
        <v>1123</v>
      </c>
      <c r="G5" s="307" t="s">
        <v>1124</v>
      </c>
      <c r="H5" s="307" t="s">
        <v>1125</v>
      </c>
      <c r="I5" s="307" t="s">
        <v>1126</v>
      </c>
      <c r="J5" s="307" t="s">
        <v>1127</v>
      </c>
      <c r="K5" s="307" t="s">
        <v>1128</v>
      </c>
      <c r="L5" s="47"/>
      <c r="M5" s="1210"/>
    </row>
    <row r="6" spans="1:13" ht="15.75" customHeight="1">
      <c r="A6" s="1210"/>
      <c r="B6" s="1210"/>
      <c r="C6" s="1210"/>
      <c r="D6" s="1210"/>
      <c r="E6" s="1210"/>
      <c r="F6" s="1210"/>
      <c r="G6" s="1210"/>
      <c r="H6" s="1210"/>
      <c r="I6" s="1210"/>
      <c r="J6" s="1210"/>
      <c r="K6" s="1210"/>
      <c r="L6" s="1210"/>
      <c r="M6" s="1210"/>
    </row>
    <row r="7" spans="1:13" ht="21.95" customHeight="1">
      <c r="A7" s="1469" t="s">
        <v>1421</v>
      </c>
      <c r="B7" s="1470"/>
      <c r="C7" s="1470"/>
      <c r="D7" s="1470"/>
      <c r="E7" s="1470"/>
      <c r="F7" s="1470"/>
      <c r="G7" s="1470"/>
      <c r="H7" s="1470"/>
      <c r="I7" s="1470"/>
      <c r="J7" s="1470"/>
      <c r="K7" s="1470"/>
      <c r="L7" s="1470"/>
      <c r="M7" s="1470"/>
    </row>
    <row r="8" spans="1:13" ht="15.75" customHeight="1">
      <c r="A8" s="36" t="s">
        <v>1422</v>
      </c>
      <c r="B8" s="309" t="s">
        <v>733</v>
      </c>
      <c r="C8" s="85">
        <f>'P&amp;L'!D8</f>
        <v>520.6</v>
      </c>
      <c r="D8" s="85">
        <f>'P&amp;L'!E8</f>
        <v>878.05697500000008</v>
      </c>
      <c r="E8" s="85">
        <f>'P&amp;L'!F8</f>
        <v>1283.347910041</v>
      </c>
      <c r="F8" s="85">
        <f>'P&amp;L'!G8</f>
        <v>1723.3558819459013</v>
      </c>
      <c r="G8" s="85">
        <f>'P&amp;L'!H8</f>
        <v>2158.7680303400075</v>
      </c>
      <c r="H8" s="85">
        <f>'P&amp;L'!I8</f>
        <v>2577.9961008803157</v>
      </c>
      <c r="I8" s="85">
        <f>'P&amp;L'!J8</f>
        <v>2978.146310193591</v>
      </c>
      <c r="J8" s="85">
        <f>'P&amp;L'!K8</f>
        <v>3350.4099650399448</v>
      </c>
      <c r="K8" s="85">
        <f>'P&amp;L'!L8</f>
        <v>3686.0798647734691</v>
      </c>
      <c r="L8" s="1199"/>
      <c r="M8" s="1195" t="s">
        <v>1423</v>
      </c>
    </row>
    <row r="9" spans="1:13" ht="15.75" customHeight="1">
      <c r="A9" s="310" t="s">
        <v>1208</v>
      </c>
      <c r="B9" s="311" t="s">
        <v>733</v>
      </c>
      <c r="C9" s="312">
        <f>FCF!D18</f>
        <v>-11.499424657534263</v>
      </c>
      <c r="D9" s="312">
        <f>FCF!E18</f>
        <v>90.117058068493293</v>
      </c>
      <c r="E9" s="312">
        <f>FCF!F18</f>
        <v>110.22980418112837</v>
      </c>
      <c r="F9" s="312">
        <f>FCF!G18</f>
        <v>210.37793005137729</v>
      </c>
      <c r="G9" s="312">
        <f>FCF!H18</f>
        <v>350.41433324859065</v>
      </c>
      <c r="H9" s="312">
        <f>FCF!I18</f>
        <v>424.25439349765486</v>
      </c>
      <c r="I9" s="312">
        <f>FCF!J18</f>
        <v>523.47953077735906</v>
      </c>
      <c r="J9" s="312">
        <f>FCF!K18</f>
        <v>638.72412992824809</v>
      </c>
      <c r="K9" s="312">
        <f>FCF!L18</f>
        <v>758.18440983360006</v>
      </c>
      <c r="L9" s="349"/>
      <c r="M9" s="349" t="s">
        <v>1424</v>
      </c>
    </row>
    <row r="10" spans="1:13" ht="15.75" customHeight="1">
      <c r="A10" s="36" t="s">
        <v>1211</v>
      </c>
      <c r="B10" s="309" t="s">
        <v>746</v>
      </c>
      <c r="C10" s="308">
        <f t="shared" ref="C10:K10" si="0">IFERROR(C9/C8,0)</f>
        <v>-2.2088791120887942E-2</v>
      </c>
      <c r="D10" s="308">
        <f t="shared" si="0"/>
        <v>0.10263235830282344</v>
      </c>
      <c r="E10" s="308">
        <f t="shared" si="0"/>
        <v>8.5892378301069411E-2</v>
      </c>
      <c r="F10" s="308">
        <f t="shared" si="0"/>
        <v>0.12207457104787447</v>
      </c>
      <c r="G10" s="308">
        <f t="shared" si="0"/>
        <v>0.16232143904475005</v>
      </c>
      <c r="H10" s="308">
        <f t="shared" si="0"/>
        <v>0.16456750782236773</v>
      </c>
      <c r="I10" s="308">
        <f t="shared" si="0"/>
        <v>0.17577361091548618</v>
      </c>
      <c r="J10" s="308">
        <f t="shared" si="0"/>
        <v>0.19064058923924343</v>
      </c>
      <c r="K10" s="308">
        <f t="shared" si="0"/>
        <v>0.20568854654487928</v>
      </c>
      <c r="L10" s="1195"/>
      <c r="M10" s="1195"/>
    </row>
    <row r="11" spans="1:13" ht="15.75" customHeight="1">
      <c r="A11" s="3"/>
      <c r="B11" s="309"/>
      <c r="C11" s="13"/>
      <c r="D11" s="13"/>
      <c r="E11" s="13"/>
      <c r="F11" s="13"/>
      <c r="G11" s="13"/>
      <c r="H11" s="13"/>
      <c r="I11" s="13"/>
      <c r="J11" s="13"/>
      <c r="K11" s="13"/>
      <c r="L11" s="1195"/>
      <c r="M11" s="1195"/>
    </row>
    <row r="12" spans="1:13" ht="15.75" customHeight="1">
      <c r="A12" s="36" t="s">
        <v>1386</v>
      </c>
      <c r="B12" s="309" t="s">
        <v>746</v>
      </c>
      <c r="C12" s="43" t="s">
        <v>70</v>
      </c>
      <c r="D12" s="44">
        <f>Assumptions!$F$74</f>
        <v>0.115874493309381</v>
      </c>
      <c r="E12" s="44">
        <f>Assumptions!$F$74</f>
        <v>0.115874493309381</v>
      </c>
      <c r="F12" s="44">
        <f>Assumptions!$F$74</f>
        <v>0.115874493309381</v>
      </c>
      <c r="G12" s="44">
        <f>Assumptions!$F$74</f>
        <v>0.115874493309381</v>
      </c>
      <c r="H12" s="44">
        <f>Assumptions!$F$74</f>
        <v>0.115874493309381</v>
      </c>
      <c r="I12" s="44">
        <f>Assumptions!$F$74</f>
        <v>0.115874493309381</v>
      </c>
      <c r="J12" s="44">
        <f>Assumptions!$F$74</f>
        <v>0.115874493309381</v>
      </c>
      <c r="K12" s="44">
        <f>Assumptions!$F$74</f>
        <v>0.115874493309381</v>
      </c>
      <c r="L12" s="1195"/>
      <c r="M12" s="1195" t="s">
        <v>1425</v>
      </c>
    </row>
    <row r="13" spans="1:13" ht="15.75" customHeight="1">
      <c r="A13" s="36" t="s">
        <v>1426</v>
      </c>
      <c r="B13" s="309" t="s">
        <v>1427</v>
      </c>
      <c r="C13" s="43" t="s">
        <v>70</v>
      </c>
      <c r="D13" s="9">
        <v>0.5</v>
      </c>
      <c r="E13" s="9">
        <v>1.5</v>
      </c>
      <c r="F13" s="9">
        <v>2.5</v>
      </c>
      <c r="G13" s="9">
        <v>3.5</v>
      </c>
      <c r="H13" s="9">
        <v>4.5</v>
      </c>
      <c r="I13" s="9">
        <v>5.5</v>
      </c>
      <c r="J13" s="9">
        <v>6.5</v>
      </c>
      <c r="K13" s="9">
        <v>7.5</v>
      </c>
      <c r="L13" s="1195"/>
      <c r="M13" s="1195" t="s">
        <v>1428</v>
      </c>
    </row>
    <row r="14" spans="1:13" ht="15.75" customHeight="1">
      <c r="A14" s="313" t="s">
        <v>1429</v>
      </c>
      <c r="B14" s="311" t="s">
        <v>334</v>
      </c>
      <c r="C14" s="314" t="s">
        <v>70</v>
      </c>
      <c r="D14" s="315">
        <f t="shared" ref="D14:K14" si="1">1/(1+D12)^D13</f>
        <v>0.94665628962265214</v>
      </c>
      <c r="E14" s="315">
        <f t="shared" si="1"/>
        <v>0.84835373090671373</v>
      </c>
      <c r="F14" s="315">
        <f t="shared" si="1"/>
        <v>0.76025909364656841</v>
      </c>
      <c r="G14" s="315">
        <f t="shared" si="1"/>
        <v>0.68131236819639662</v>
      </c>
      <c r="H14" s="315">
        <f t="shared" si="1"/>
        <v>0.61056361829349559</v>
      </c>
      <c r="I14" s="315">
        <f t="shared" si="1"/>
        <v>0.54716155083241436</v>
      </c>
      <c r="J14" s="315">
        <f t="shared" si="1"/>
        <v>0.4903432725751099</v>
      </c>
      <c r="K14" s="315">
        <f t="shared" si="1"/>
        <v>0.43942511054346695</v>
      </c>
      <c r="L14" s="350"/>
      <c r="M14" s="349"/>
    </row>
    <row r="15" spans="1:13" ht="15.75" customHeight="1">
      <c r="A15" s="1" t="s">
        <v>1430</v>
      </c>
      <c r="B15" s="309" t="s">
        <v>733</v>
      </c>
      <c r="C15" s="43" t="s">
        <v>70</v>
      </c>
      <c r="D15" s="77">
        <f t="shared" ref="D15:K15" si="2">D9*D14</f>
        <v>85.309879822828947</v>
      </c>
      <c r="E15" s="77">
        <f t="shared" si="2"/>
        <v>93.513865634176724</v>
      </c>
      <c r="F15" s="77">
        <f t="shared" si="2"/>
        <v>159.94173442410127</v>
      </c>
      <c r="G15" s="77">
        <f t="shared" si="2"/>
        <v>238.74161923555863</v>
      </c>
      <c r="H15" s="77">
        <f t="shared" si="2"/>
        <v>259.03429757084064</v>
      </c>
      <c r="I15" s="77">
        <f t="shared" si="2"/>
        <v>286.42787188916435</v>
      </c>
      <c r="J15" s="77">
        <f t="shared" si="2"/>
        <v>313.19408014170688</v>
      </c>
      <c r="K15" s="77">
        <f t="shared" si="2"/>
        <v>333.16526810346295</v>
      </c>
      <c r="L15" s="1195"/>
      <c r="M15" s="351" t="s">
        <v>1431</v>
      </c>
    </row>
    <row r="16" spans="1:13" ht="15.75" customHeight="1">
      <c r="A16" s="1210"/>
      <c r="B16" s="1210"/>
      <c r="C16" s="1210"/>
      <c r="D16" s="1210"/>
      <c r="E16" s="1210"/>
      <c r="F16" s="1210"/>
      <c r="G16" s="1210"/>
      <c r="H16" s="1210"/>
      <c r="I16" s="1210"/>
      <c r="J16" s="1210"/>
      <c r="K16" s="1210"/>
      <c r="L16" s="1195"/>
      <c r="M16" s="1195"/>
    </row>
    <row r="17" spans="1:13" ht="15.75" customHeight="1">
      <c r="A17" s="1469" t="s">
        <v>1432</v>
      </c>
      <c r="B17" s="1470"/>
      <c r="C17" s="1470"/>
      <c r="D17" s="1470"/>
      <c r="E17" s="1470"/>
      <c r="F17" s="1470"/>
      <c r="G17" s="1470"/>
      <c r="H17" s="1470"/>
      <c r="I17" s="1470"/>
      <c r="J17" s="1470"/>
      <c r="K17" s="1470"/>
      <c r="L17" s="1471"/>
      <c r="M17" s="1471"/>
    </row>
    <row r="18" spans="1:13" ht="15.75" customHeight="1">
      <c r="A18" s="3" t="s">
        <v>1433</v>
      </c>
      <c r="B18" s="309" t="s">
        <v>733</v>
      </c>
      <c r="C18" s="85">
        <f>K8</f>
        <v>3686.0798647734691</v>
      </c>
      <c r="D18" s="14"/>
      <c r="E18" s="14"/>
      <c r="F18" s="14"/>
      <c r="G18" s="14"/>
      <c r="H18" s="14"/>
      <c r="I18" s="14"/>
      <c r="J18" s="14"/>
      <c r="K18" s="14"/>
      <c r="L18" s="1195"/>
      <c r="M18" s="1195"/>
    </row>
    <row r="19" spans="1:13" ht="15.75" customHeight="1">
      <c r="A19" s="201" t="s">
        <v>1434</v>
      </c>
      <c r="B19" s="311" t="s">
        <v>733</v>
      </c>
      <c r="C19" s="312">
        <f>'P&amp;L'!L32</f>
        <v>1246.1917721274867</v>
      </c>
      <c r="D19" s="321"/>
      <c r="E19" s="321"/>
      <c r="F19" s="321"/>
      <c r="G19" s="321"/>
      <c r="H19" s="321"/>
      <c r="I19" s="321"/>
      <c r="J19" s="321"/>
      <c r="K19" s="321"/>
      <c r="L19" s="349"/>
      <c r="M19" s="349"/>
    </row>
    <row r="20" spans="1:13" ht="15.75" customHeight="1">
      <c r="A20" s="3" t="s">
        <v>1435</v>
      </c>
      <c r="B20" s="309" t="s">
        <v>733</v>
      </c>
      <c r="C20" s="85">
        <f>K9</f>
        <v>758.18440983360006</v>
      </c>
      <c r="D20" s="14"/>
      <c r="E20" s="14"/>
      <c r="F20" s="14"/>
      <c r="G20" s="14"/>
      <c r="H20" s="14"/>
      <c r="I20" s="14"/>
      <c r="J20" s="14"/>
      <c r="K20" s="14"/>
      <c r="L20" s="1195"/>
      <c r="M20" s="1195"/>
    </row>
    <row r="21" spans="1:13" ht="15.75" customHeight="1">
      <c r="A21" s="201" t="s">
        <v>1436</v>
      </c>
      <c r="B21" s="311" t="s">
        <v>334</v>
      </c>
      <c r="C21" s="322">
        <f>Assumptions!$F$77</f>
        <v>3.5</v>
      </c>
      <c r="D21" s="323"/>
      <c r="E21" s="323"/>
      <c r="F21" s="323"/>
      <c r="G21" s="323"/>
      <c r="H21" s="323"/>
      <c r="I21" s="323"/>
      <c r="J21" s="323"/>
      <c r="K21" s="323"/>
      <c r="L21" s="350" t="s">
        <v>1437</v>
      </c>
      <c r="M21" s="349"/>
    </row>
    <row r="22" spans="1:13" ht="21.95" customHeight="1">
      <c r="A22" s="1" t="s">
        <v>1438</v>
      </c>
      <c r="B22" s="318" t="s">
        <v>733</v>
      </c>
      <c r="C22" s="77">
        <f>C18*C21</f>
        <v>12901.279526707141</v>
      </c>
      <c r="D22" s="319"/>
      <c r="E22" s="319"/>
      <c r="F22" s="319"/>
      <c r="G22" s="319"/>
      <c r="H22" s="319"/>
      <c r="I22" s="319"/>
      <c r="J22" s="319"/>
      <c r="K22" s="319"/>
      <c r="L22" s="1215"/>
      <c r="M22" s="1215"/>
    </row>
    <row r="23" spans="1:13" ht="15.75" customHeight="1">
      <c r="A23" s="310" t="s">
        <v>1439</v>
      </c>
      <c r="B23" s="311" t="s">
        <v>733</v>
      </c>
      <c r="C23" s="324">
        <f>C20*(1+Assumptions!$F$79)/(D12-Assumptions!$F$79)</f>
        <v>9093.8521094400294</v>
      </c>
      <c r="D23" s="325"/>
      <c r="E23" s="325"/>
      <c r="F23" s="325"/>
      <c r="G23" s="325"/>
      <c r="H23" s="325"/>
      <c r="I23" s="325"/>
      <c r="J23" s="325"/>
      <c r="K23" s="325"/>
      <c r="L23" s="350" t="s">
        <v>1440</v>
      </c>
      <c r="M23" s="349"/>
    </row>
    <row r="24" spans="1:13" ht="15.75" customHeight="1">
      <c r="A24" s="36" t="s">
        <v>1441</v>
      </c>
      <c r="B24" s="309" t="s">
        <v>746</v>
      </c>
      <c r="C24" s="316">
        <f>ABS(C22-C23)/((C22+C23)/2)</f>
        <v>0.34620637696115641</v>
      </c>
      <c r="D24" s="10"/>
      <c r="E24" s="10"/>
      <c r="F24" s="10"/>
      <c r="G24" s="10"/>
      <c r="H24" s="10"/>
      <c r="I24" s="10"/>
      <c r="J24" s="10"/>
      <c r="K24" s="10"/>
      <c r="L24" s="1199" t="s">
        <v>1442</v>
      </c>
      <c r="M24" s="1195"/>
    </row>
    <row r="25" spans="1:13" ht="15.75" customHeight="1">
      <c r="A25" s="1" t="s">
        <v>1443</v>
      </c>
      <c r="B25" s="318" t="s">
        <v>733</v>
      </c>
      <c r="C25" s="317">
        <f>(C23+C22) / 2</f>
        <v>10997.565818073585</v>
      </c>
      <c r="D25" s="320"/>
      <c r="E25" s="320"/>
      <c r="F25" s="320"/>
      <c r="G25" s="320"/>
      <c r="H25" s="320"/>
      <c r="I25" s="320"/>
      <c r="J25" s="320"/>
      <c r="K25" s="320"/>
      <c r="L25" s="1215"/>
      <c r="M25" s="1215"/>
    </row>
    <row r="26" spans="1:13" ht="15.75" customHeight="1">
      <c r="A26" s="310" t="s">
        <v>127</v>
      </c>
      <c r="B26" s="311" t="s">
        <v>733</v>
      </c>
      <c r="C26" s="324">
        <f>C25*K14</f>
        <v>4832.6065753160383</v>
      </c>
      <c r="D26" s="325"/>
      <c r="E26" s="325"/>
      <c r="F26" s="325"/>
      <c r="G26" s="325"/>
      <c r="H26" s="325"/>
      <c r="I26" s="325"/>
      <c r="J26" s="325"/>
      <c r="K26" s="325"/>
      <c r="L26" s="349"/>
      <c r="M26" s="349"/>
    </row>
    <row r="27" spans="1:13" ht="15.75" customHeight="1">
      <c r="A27" s="36" t="s">
        <v>1444</v>
      </c>
      <c r="B27" s="309" t="s">
        <v>746</v>
      </c>
      <c r="C27" s="316">
        <f>C26/(C26+SUM(D15:K15))</f>
        <v>0.73199848751485763</v>
      </c>
      <c r="D27" s="10"/>
      <c r="E27" s="10"/>
      <c r="F27" s="10"/>
      <c r="G27" s="10"/>
      <c r="H27" s="10"/>
      <c r="I27" s="10"/>
      <c r="J27" s="10"/>
      <c r="K27" s="10"/>
      <c r="L27" s="1199" t="s">
        <v>1445</v>
      </c>
      <c r="M27" s="1195"/>
    </row>
    <row r="28" spans="1:13" ht="15.75" customHeight="1">
      <c r="A28" s="1210"/>
      <c r="B28" s="1210"/>
      <c r="C28" s="1210"/>
      <c r="D28" s="1210"/>
      <c r="E28" s="1210"/>
      <c r="F28" s="1210"/>
      <c r="G28" s="1210"/>
      <c r="H28" s="1210"/>
      <c r="I28" s="1210"/>
      <c r="J28" s="1210"/>
      <c r="K28" s="1210"/>
      <c r="L28" s="1195"/>
      <c r="M28" s="1195"/>
    </row>
    <row r="29" spans="1:13" ht="15.75" customHeight="1" thickBot="1">
      <c r="A29" s="1469" t="s">
        <v>1446</v>
      </c>
      <c r="B29" s="1470"/>
      <c r="C29" s="1470"/>
      <c r="D29" s="1470"/>
      <c r="E29" s="1470"/>
      <c r="F29" s="1470"/>
      <c r="G29" s="1470"/>
      <c r="H29" s="1470"/>
      <c r="I29" s="1470"/>
      <c r="J29" s="1470"/>
      <c r="K29" s="1470"/>
      <c r="L29" s="1471"/>
      <c r="M29" s="1471"/>
    </row>
    <row r="30" spans="1:13" ht="15.75" customHeight="1">
      <c r="A30" s="332" t="s">
        <v>1447</v>
      </c>
      <c r="B30" s="333" t="s">
        <v>733</v>
      </c>
      <c r="C30" s="334">
        <f>SUM(D15:K15)</f>
        <v>1769.3286168218406</v>
      </c>
      <c r="D30" s="335"/>
      <c r="E30" s="335"/>
      <c r="F30" s="335"/>
      <c r="G30" s="335"/>
      <c r="H30" s="335"/>
      <c r="I30" s="335"/>
      <c r="J30" s="335"/>
      <c r="K30" s="335"/>
      <c r="L30" s="352"/>
      <c r="M30" s="352"/>
    </row>
    <row r="31" spans="1:13" ht="15.75" customHeight="1">
      <c r="A31" s="3" t="s">
        <v>127</v>
      </c>
      <c r="B31" s="7" t="s">
        <v>733</v>
      </c>
      <c r="C31" s="331">
        <f>C26</f>
        <v>4832.6065753160383</v>
      </c>
      <c r="D31" s="13"/>
      <c r="E31" s="13"/>
      <c r="F31" s="13"/>
      <c r="G31" s="13"/>
      <c r="H31" s="13"/>
      <c r="I31" s="13"/>
      <c r="J31" s="13"/>
      <c r="K31" s="13"/>
      <c r="L31" s="1195"/>
      <c r="M31" s="1195"/>
    </row>
    <row r="32" spans="1:13" ht="15.75" customHeight="1" thickBot="1">
      <c r="A32" s="336" t="s">
        <v>1448</v>
      </c>
      <c r="B32" s="337" t="s">
        <v>733</v>
      </c>
      <c r="C32" s="338">
        <f>C30+C31</f>
        <v>6601.9351921378784</v>
      </c>
      <c r="D32" s="339"/>
      <c r="E32" s="339"/>
      <c r="F32" s="339"/>
      <c r="G32" s="339"/>
      <c r="H32" s="339"/>
      <c r="I32" s="339"/>
      <c r="J32" s="339"/>
      <c r="K32" s="339"/>
      <c r="L32" s="353"/>
      <c r="M32" s="353"/>
    </row>
    <row r="33" spans="1:13" ht="15.75" customHeight="1">
      <c r="A33" s="1210"/>
      <c r="B33" s="1210"/>
      <c r="C33" s="1210"/>
      <c r="D33" s="1210"/>
      <c r="E33" s="1210"/>
      <c r="F33" s="1210"/>
      <c r="G33" s="1210"/>
      <c r="H33" s="1210"/>
      <c r="I33" s="1210"/>
      <c r="J33" s="1210"/>
      <c r="K33" s="1210"/>
      <c r="L33" s="1195"/>
      <c r="M33" s="1195"/>
    </row>
    <row r="34" spans="1:13" ht="21.95" customHeight="1" thickBot="1">
      <c r="A34" s="1469" t="s">
        <v>1449</v>
      </c>
      <c r="B34" s="1470"/>
      <c r="C34" s="1470"/>
      <c r="D34" s="1470"/>
      <c r="E34" s="1470"/>
      <c r="F34" s="1470"/>
      <c r="G34" s="1470"/>
      <c r="H34" s="1470"/>
      <c r="I34" s="1470"/>
      <c r="J34" s="1470"/>
      <c r="K34" s="1470"/>
      <c r="L34" s="1471"/>
      <c r="M34" s="1471"/>
    </row>
    <row r="35" spans="1:13" ht="15.75" customHeight="1">
      <c r="A35" s="332" t="s">
        <v>128</v>
      </c>
      <c r="B35" s="333" t="s">
        <v>733</v>
      </c>
      <c r="C35" s="340">
        <f>C32</f>
        <v>6601.9351921378784</v>
      </c>
      <c r="D35" s="335"/>
      <c r="E35" s="335"/>
      <c r="F35" s="335"/>
      <c r="G35" s="335"/>
      <c r="H35" s="335"/>
      <c r="I35" s="335"/>
      <c r="J35" s="335"/>
      <c r="K35" s="335"/>
      <c r="L35" s="352"/>
      <c r="M35" s="352"/>
    </row>
    <row r="36" spans="1:13" ht="15.75" customHeight="1">
      <c r="A36" s="3" t="s">
        <v>129</v>
      </c>
      <c r="B36" s="7" t="s">
        <v>733</v>
      </c>
      <c r="C36" s="85">
        <f>-Assumptions!$F$61</f>
        <v>-10</v>
      </c>
      <c r="D36" s="8"/>
      <c r="E36" s="8"/>
      <c r="F36" s="8"/>
      <c r="G36" s="8"/>
      <c r="H36" s="8"/>
      <c r="I36" s="8"/>
      <c r="J36" s="8"/>
      <c r="K36" s="8"/>
      <c r="L36" s="1199" t="s">
        <v>1450</v>
      </c>
      <c r="M36" s="1195"/>
    </row>
    <row r="37" spans="1:13" ht="15.75" customHeight="1">
      <c r="A37" s="3" t="s">
        <v>130</v>
      </c>
      <c r="B37" s="7" t="s">
        <v>733</v>
      </c>
      <c r="C37" s="85">
        <f>'WC &amp; Cash'!E34</f>
        <v>728.617633410959</v>
      </c>
      <c r="D37" s="8"/>
      <c r="E37" s="8"/>
      <c r="F37" s="8"/>
      <c r="G37" s="8"/>
      <c r="H37" s="8"/>
      <c r="I37" s="8"/>
      <c r="J37" s="8"/>
      <c r="K37" s="8"/>
      <c r="L37" s="1199" t="s">
        <v>1451</v>
      </c>
      <c r="M37" s="1195"/>
    </row>
    <row r="38" spans="1:13" ht="15.75" customHeight="1">
      <c r="A38" s="326" t="s">
        <v>738</v>
      </c>
      <c r="B38" s="329" t="s">
        <v>733</v>
      </c>
      <c r="C38" s="327">
        <f>C35+C36+C37</f>
        <v>7320.5528255488371</v>
      </c>
      <c r="D38" s="330"/>
      <c r="E38" s="330"/>
      <c r="F38" s="330"/>
      <c r="G38" s="330"/>
      <c r="H38" s="330"/>
      <c r="I38" s="330"/>
      <c r="J38" s="330"/>
      <c r="K38" s="330"/>
      <c r="L38" s="354"/>
      <c r="M38" s="354"/>
    </row>
    <row r="39" spans="1:13" ht="21.95" customHeight="1">
      <c r="A39" s="3" t="s">
        <v>1452</v>
      </c>
      <c r="B39" s="7" t="s">
        <v>741</v>
      </c>
      <c r="C39" s="14">
        <f>Assumptions!$F$54</f>
        <v>410</v>
      </c>
      <c r="D39" s="2"/>
      <c r="E39" s="2"/>
      <c r="F39" s="2"/>
      <c r="G39" s="2"/>
      <c r="H39" s="2"/>
      <c r="I39" s="2"/>
      <c r="J39" s="2"/>
      <c r="K39" s="2"/>
      <c r="L39" s="1199" t="s">
        <v>1453</v>
      </c>
      <c r="M39" s="1195"/>
    </row>
    <row r="40" spans="1:13" ht="15.75" customHeight="1" thickBot="1">
      <c r="A40" s="336" t="s">
        <v>1454</v>
      </c>
      <c r="B40" s="337" t="s">
        <v>743</v>
      </c>
      <c r="C40" s="341">
        <f>C38/C39</f>
        <v>17.85500689158253</v>
      </c>
      <c r="D40" s="342"/>
      <c r="E40" s="342"/>
      <c r="F40" s="342"/>
      <c r="G40" s="342"/>
      <c r="H40" s="342"/>
      <c r="I40" s="342"/>
      <c r="J40" s="342"/>
      <c r="K40" s="342"/>
      <c r="L40" s="353"/>
      <c r="M40" s="353"/>
    </row>
    <row r="41" spans="1:13" ht="15.75" customHeight="1">
      <c r="A41" s="1210"/>
      <c r="B41" s="1210"/>
      <c r="C41" s="1210"/>
      <c r="D41" s="1210"/>
      <c r="E41" s="1210"/>
      <c r="F41" s="1210"/>
      <c r="G41" s="1210"/>
      <c r="H41" s="1210"/>
      <c r="I41" s="1210"/>
      <c r="J41" s="1210"/>
      <c r="K41" s="1210"/>
      <c r="L41" s="1195"/>
      <c r="M41" s="1195"/>
    </row>
    <row r="42" spans="1:13" ht="15.75" customHeight="1">
      <c r="A42" s="1469" t="s">
        <v>1455</v>
      </c>
      <c r="B42" s="1470"/>
      <c r="C42" s="1470"/>
      <c r="D42" s="1470"/>
      <c r="E42" s="1470"/>
      <c r="F42" s="1470"/>
      <c r="G42" s="1470"/>
      <c r="H42" s="1470"/>
      <c r="I42" s="1470"/>
      <c r="J42" s="1470"/>
      <c r="K42" s="1470"/>
      <c r="L42" s="1471"/>
      <c r="M42" s="1471"/>
    </row>
    <row r="43" spans="1:13" ht="15.75" customHeight="1">
      <c r="A43" s="344" t="s">
        <v>1456</v>
      </c>
      <c r="B43" s="344" t="s">
        <v>733</v>
      </c>
      <c r="C43" s="345">
        <f>RealOptions!B31</f>
        <v>164.15584362704715</v>
      </c>
      <c r="D43" s="346"/>
      <c r="E43" s="346"/>
      <c r="F43" s="346"/>
      <c r="G43" s="346"/>
      <c r="H43" s="346"/>
      <c r="I43" s="346"/>
      <c r="J43" s="346"/>
      <c r="K43" s="346"/>
      <c r="L43" s="1199" t="s">
        <v>1457</v>
      </c>
      <c r="M43" s="1195"/>
    </row>
    <row r="44" spans="1:13" ht="15.75" customHeight="1">
      <c r="A44" s="344" t="s">
        <v>1458</v>
      </c>
      <c r="B44" s="344" t="s">
        <v>733</v>
      </c>
      <c r="C44" s="345">
        <f>RealOptions!D31</f>
        <v>2833.6519267161198</v>
      </c>
      <c r="D44" s="346"/>
      <c r="E44" s="346"/>
      <c r="F44" s="346"/>
      <c r="G44" s="346"/>
      <c r="H44" s="346"/>
      <c r="I44" s="346"/>
      <c r="J44" s="346"/>
      <c r="K44" s="346"/>
      <c r="L44" s="1195"/>
      <c r="M44" s="1195"/>
    </row>
    <row r="45" spans="1:13" ht="15.75" customHeight="1">
      <c r="A45" s="1" t="s">
        <v>1459</v>
      </c>
      <c r="B45" s="7" t="s">
        <v>733</v>
      </c>
      <c r="C45" s="86">
        <f>RealOptions!B36</f>
        <v>940.08677436003336</v>
      </c>
      <c r="D45" s="13"/>
      <c r="E45" s="13"/>
      <c r="F45" s="13"/>
      <c r="G45" s="13"/>
      <c r="H45" s="13"/>
      <c r="I45" s="13"/>
      <c r="J45" s="13"/>
      <c r="K45" s="13"/>
      <c r="L45" s="1195"/>
      <c r="M45" s="1195"/>
    </row>
    <row r="46" spans="1:13" ht="15.75" customHeight="1">
      <c r="A46" s="1" t="s">
        <v>1460</v>
      </c>
      <c r="B46" s="343" t="s">
        <v>733</v>
      </c>
      <c r="C46" s="77" t="s">
        <v>70</v>
      </c>
      <c r="D46" s="319"/>
      <c r="E46" s="319"/>
      <c r="F46" s="319"/>
      <c r="G46" s="319"/>
      <c r="H46" s="319"/>
      <c r="I46" s="319"/>
      <c r="J46" s="319"/>
      <c r="K46" s="319"/>
      <c r="L46" s="1215"/>
      <c r="M46" s="1215"/>
    </row>
    <row r="47" spans="1:13" ht="21.95" customHeight="1">
      <c r="A47" s="326" t="s">
        <v>1461</v>
      </c>
      <c r="B47" s="329" t="s">
        <v>733</v>
      </c>
      <c r="C47" s="327" t="s">
        <v>70</v>
      </c>
      <c r="D47" s="330"/>
      <c r="E47" s="330"/>
      <c r="F47" s="330"/>
      <c r="G47" s="330"/>
      <c r="H47" s="330"/>
      <c r="I47" s="330"/>
      <c r="J47" s="330"/>
      <c r="K47" s="330"/>
      <c r="L47" s="354"/>
      <c r="M47" s="354"/>
    </row>
    <row r="48" spans="1:13" ht="15.75" customHeight="1">
      <c r="A48" s="1210"/>
      <c r="B48" s="1210"/>
      <c r="C48" s="1210"/>
      <c r="D48" s="1210"/>
      <c r="E48" s="1210"/>
      <c r="F48" s="1210"/>
      <c r="G48" s="1210"/>
      <c r="H48" s="1210"/>
      <c r="I48" s="1210"/>
      <c r="J48" s="1210"/>
      <c r="K48" s="1210"/>
      <c r="L48" s="1195"/>
      <c r="M48" s="1195"/>
    </row>
    <row r="49" spans="1:13" ht="15.75" customHeight="1">
      <c r="A49" s="1469" t="s">
        <v>1462</v>
      </c>
      <c r="B49" s="1470"/>
      <c r="C49" s="1470"/>
      <c r="D49" s="1470"/>
      <c r="E49" s="1470"/>
      <c r="F49" s="1470"/>
      <c r="G49" s="1470"/>
      <c r="H49" s="1470"/>
      <c r="I49" s="1470"/>
      <c r="J49" s="1470"/>
      <c r="K49" s="1470"/>
      <c r="L49" s="1471"/>
      <c r="M49" s="1471"/>
    </row>
    <row r="50" spans="1:13">
      <c r="A50" s="1" t="s">
        <v>1463</v>
      </c>
      <c r="B50" s="318" t="s">
        <v>733</v>
      </c>
      <c r="C50" s="77">
        <f>C38</f>
        <v>7320.5528255488371</v>
      </c>
      <c r="D50" s="319"/>
      <c r="E50" s="319"/>
      <c r="F50" s="319"/>
      <c r="G50" s="319"/>
      <c r="H50" s="319"/>
      <c r="I50" s="319"/>
      <c r="J50" s="319"/>
      <c r="K50" s="319"/>
      <c r="L50" s="1215"/>
      <c r="M50" s="1215"/>
    </row>
    <row r="51" spans="1:13">
      <c r="A51" s="1" t="s">
        <v>1464</v>
      </c>
      <c r="B51" s="318" t="s">
        <v>733</v>
      </c>
      <c r="C51" s="77" t="s">
        <v>70</v>
      </c>
      <c r="D51" s="319"/>
      <c r="E51" s="319"/>
      <c r="F51" s="319"/>
      <c r="G51" s="319"/>
      <c r="H51" s="319"/>
      <c r="I51" s="319"/>
      <c r="J51" s="319"/>
      <c r="K51" s="319"/>
      <c r="L51" s="1215"/>
      <c r="M51" s="1215"/>
    </row>
    <row r="52" spans="1:13">
      <c r="A52" s="3" t="s">
        <v>72</v>
      </c>
      <c r="B52" s="309" t="s">
        <v>733</v>
      </c>
      <c r="C52" s="76">
        <v>10100</v>
      </c>
      <c r="D52" s="8"/>
      <c r="E52" s="8"/>
      <c r="F52" s="8"/>
      <c r="G52" s="8"/>
      <c r="H52" s="8"/>
      <c r="I52" s="8"/>
      <c r="J52" s="8"/>
      <c r="K52" s="8"/>
      <c r="L52" s="1199"/>
      <c r="M52" s="1195"/>
    </row>
    <row r="53" spans="1:13">
      <c r="A53" s="1" t="s">
        <v>1465</v>
      </c>
      <c r="B53" s="309" t="s">
        <v>746</v>
      </c>
      <c r="C53" s="78">
        <f>C50/C52-1</f>
        <v>-0.27519278954962012</v>
      </c>
      <c r="D53" s="10"/>
      <c r="E53" s="10"/>
      <c r="F53" s="10"/>
      <c r="G53" s="10"/>
      <c r="H53" s="10"/>
      <c r="I53" s="10"/>
      <c r="J53" s="10"/>
      <c r="K53" s="10"/>
      <c r="L53" s="1195"/>
      <c r="M53" s="1195" t="s">
        <v>1466</v>
      </c>
    </row>
    <row r="54" spans="1:13" ht="21.95" customHeight="1">
      <c r="A54" s="1211" t="s">
        <v>1467</v>
      </c>
      <c r="B54" s="75" t="s">
        <v>746</v>
      </c>
      <c r="C54" s="347" t="s">
        <v>70</v>
      </c>
      <c r="D54" s="1194"/>
      <c r="E54" s="1194"/>
      <c r="F54" s="1194"/>
      <c r="G54" s="1194"/>
      <c r="H54" s="1194"/>
      <c r="I54" s="1194"/>
      <c r="J54" s="1194"/>
      <c r="K54" s="1194"/>
      <c r="L54" s="1195"/>
      <c r="M54" s="1195" t="s">
        <v>1468</v>
      </c>
    </row>
    <row r="56" spans="1:13">
      <c r="A56" s="1472" t="s">
        <v>1469</v>
      </c>
      <c r="B56" s="1472"/>
      <c r="C56" s="1472"/>
      <c r="D56" s="1472"/>
      <c r="E56" s="1472"/>
      <c r="F56" s="1472"/>
      <c r="G56" s="1210"/>
      <c r="H56" s="1210"/>
      <c r="I56" s="1210"/>
      <c r="J56" s="1210"/>
      <c r="K56" s="1210"/>
      <c r="L56" s="1210"/>
      <c r="M56" s="1210"/>
    </row>
    <row r="57" spans="1:13">
      <c r="A57" s="1201" t="s">
        <v>1470</v>
      </c>
      <c r="B57" s="1210"/>
      <c r="C57" s="1210"/>
      <c r="D57" s="1210"/>
      <c r="E57" s="1210"/>
      <c r="F57" s="1210"/>
      <c r="G57" s="1210"/>
      <c r="H57" s="1210"/>
      <c r="I57" s="1210"/>
      <c r="J57" s="1210"/>
      <c r="K57" s="1210"/>
      <c r="L57" s="1210"/>
      <c r="M57" s="1210"/>
    </row>
    <row r="59" spans="1:13" ht="30.75">
      <c r="A59" s="788" t="s">
        <v>1034</v>
      </c>
      <c r="B59" s="961" t="s">
        <v>1471</v>
      </c>
      <c r="C59" s="961" t="s">
        <v>89</v>
      </c>
      <c r="D59" s="961" t="s">
        <v>197</v>
      </c>
      <c r="E59" s="961"/>
      <c r="F59" s="1210"/>
      <c r="G59" s="1210"/>
      <c r="H59" s="1210"/>
      <c r="I59" s="1210"/>
      <c r="J59" s="1210"/>
      <c r="K59" s="1210"/>
      <c r="L59" s="1210"/>
      <c r="M59" s="1210"/>
    </row>
    <row r="60" spans="1:13">
      <c r="A60" s="1210" t="s">
        <v>1472</v>
      </c>
      <c r="B60" s="1240">
        <v>2048.89</v>
      </c>
      <c r="C60" s="1240">
        <v>2496.75</v>
      </c>
      <c r="D60" s="983">
        <f>C60/$C$52-1</f>
        <v>-0.75279702970297024</v>
      </c>
      <c r="E60" s="1241"/>
      <c r="F60" s="1210"/>
      <c r="G60" s="1210"/>
      <c r="H60" s="1210"/>
      <c r="I60" s="1210"/>
      <c r="J60" s="1210"/>
      <c r="K60" s="1210"/>
      <c r="L60" s="1210"/>
      <c r="M60" s="1210"/>
    </row>
    <row r="61" spans="1:13">
      <c r="A61" s="1210" t="s">
        <v>106</v>
      </c>
      <c r="B61" s="1240">
        <v>6601.94</v>
      </c>
      <c r="C61" s="1240">
        <v>7320.55</v>
      </c>
      <c r="D61" s="983">
        <f>C61/$C$52-1</f>
        <v>-0.27519306930693066</v>
      </c>
      <c r="E61" s="1241"/>
      <c r="F61" s="1210"/>
      <c r="G61" s="1210"/>
      <c r="H61" s="1210"/>
      <c r="I61" s="1210"/>
      <c r="J61" s="1210"/>
      <c r="K61" s="1210"/>
      <c r="L61" s="1210"/>
      <c r="M61" s="1210"/>
    </row>
    <row r="62" spans="1:13">
      <c r="A62" s="1210" t="s">
        <v>107</v>
      </c>
      <c r="B62" s="1240">
        <v>23635.53</v>
      </c>
      <c r="C62" s="1240">
        <v>24657.67</v>
      </c>
      <c r="D62" s="983">
        <f>C62/$C$52-1</f>
        <v>1.4413534653465345</v>
      </c>
      <c r="E62" s="1241"/>
      <c r="F62" s="1210"/>
      <c r="G62" s="1210"/>
      <c r="H62" s="1210"/>
      <c r="I62" s="1210"/>
      <c r="J62" s="1210"/>
      <c r="K62" s="1210"/>
      <c r="L62" s="1210"/>
      <c r="M62" s="1210"/>
    </row>
    <row r="63" spans="1:13">
      <c r="A63" s="1198" t="s">
        <v>1473</v>
      </c>
      <c r="B63" s="1242">
        <v>7458.63</v>
      </c>
      <c r="C63" s="1242">
        <v>8185.67</v>
      </c>
      <c r="D63" s="984">
        <f>C63/$C$52-1</f>
        <v>-0.18953762376237626</v>
      </c>
      <c r="E63" s="1243"/>
      <c r="F63" s="1210"/>
      <c r="G63" s="1210"/>
      <c r="H63" s="1210"/>
      <c r="I63" s="1210"/>
      <c r="J63" s="1210"/>
      <c r="K63" s="1210"/>
      <c r="L63" s="1210"/>
      <c r="M63" s="1210"/>
    </row>
    <row r="64" spans="1:13">
      <c r="A64" s="1210"/>
      <c r="B64" s="1210"/>
      <c r="C64" s="1210"/>
      <c r="D64" s="1210"/>
      <c r="E64" s="1210"/>
      <c r="F64" s="1210"/>
      <c r="G64" s="1210"/>
      <c r="H64" s="1210"/>
      <c r="I64" s="1210"/>
      <c r="J64" s="1210"/>
      <c r="K64" s="1210"/>
      <c r="L64" s="1210"/>
      <c r="M64" s="1210"/>
    </row>
    <row r="65" spans="1:6">
      <c r="A65" s="792" t="s">
        <v>1474</v>
      </c>
      <c r="B65" s="917">
        <f>0.2*B60+0.5*B61+0.3*B62</f>
        <v>10801.406999999999</v>
      </c>
      <c r="C65" s="917">
        <f>0.2*C60+0.5*C61+0.3*C62</f>
        <v>11556.925999999999</v>
      </c>
      <c r="D65" s="918"/>
      <c r="E65" s="917"/>
      <c r="F65" s="1210"/>
    </row>
    <row r="67" spans="1:6">
      <c r="A67" s="919" t="s">
        <v>1475</v>
      </c>
      <c r="B67" s="1210"/>
      <c r="C67" s="1210"/>
      <c r="D67" s="1210"/>
      <c r="E67" s="1210"/>
      <c r="F67" s="1210"/>
    </row>
    <row r="68" spans="1:6">
      <c r="A68" s="1210" t="s">
        <v>1476</v>
      </c>
      <c r="B68" s="39">
        <f>B65-B63</f>
        <v>3342.7769999999991</v>
      </c>
      <c r="C68" s="39">
        <f>C65-C63</f>
        <v>3371.2559999999994</v>
      </c>
      <c r="D68" s="39"/>
      <c r="E68" s="1210"/>
      <c r="F68" s="1210"/>
    </row>
    <row r="69" spans="1:6">
      <c r="A69" s="1210" t="s">
        <v>1477</v>
      </c>
      <c r="B69" s="355">
        <f>B65/B63-1</f>
        <v>0.44817573736731808</v>
      </c>
      <c r="C69" s="355">
        <f>C65/C63-1</f>
        <v>0.4118485108732699</v>
      </c>
      <c r="D69" s="355"/>
      <c r="E69" s="1210"/>
      <c r="F69" s="1210"/>
    </row>
    <row r="70" spans="1:6">
      <c r="A70" s="793" t="s">
        <v>1478</v>
      </c>
      <c r="B70" s="1210"/>
      <c r="C70" s="1210"/>
      <c r="D70" s="1210"/>
      <c r="E70" s="1210"/>
      <c r="F70" s="1210"/>
    </row>
    <row r="71" spans="1:6">
      <c r="A71" s="920" t="s">
        <v>1479</v>
      </c>
      <c r="B71" s="1210"/>
      <c r="C71" s="1210"/>
      <c r="D71" s="1210"/>
      <c r="E71" s="1210"/>
      <c r="F71" s="1210"/>
    </row>
    <row r="72" spans="1:6">
      <c r="A72" s="920" t="s">
        <v>1480</v>
      </c>
      <c r="B72" s="1210"/>
      <c r="C72" s="1210"/>
      <c r="D72" s="1210"/>
      <c r="E72" s="1210"/>
      <c r="F72" s="1210"/>
    </row>
    <row r="73" spans="1:6">
      <c r="A73" s="920" t="s">
        <v>1481</v>
      </c>
      <c r="B73" s="1210"/>
      <c r="C73" s="1210"/>
      <c r="D73" s="1210"/>
      <c r="E73" s="1210"/>
      <c r="F73" s="1210"/>
    </row>
    <row r="74" spans="1:6">
      <c r="A74" s="920" t="s">
        <v>1482</v>
      </c>
      <c r="B74" s="1210"/>
      <c r="C74" s="1210"/>
      <c r="D74" s="1210"/>
      <c r="E74" s="1210"/>
      <c r="F74" s="1210"/>
    </row>
  </sheetData>
  <mergeCells count="10">
    <mergeCell ref="A56:F56"/>
    <mergeCell ref="A29:M29"/>
    <mergeCell ref="A34:M34"/>
    <mergeCell ref="A42:M42"/>
    <mergeCell ref="A49:M49"/>
    <mergeCell ref="A1:M1"/>
    <mergeCell ref="A2:M2"/>
    <mergeCell ref="A3:M3"/>
    <mergeCell ref="A7:M7"/>
    <mergeCell ref="A17:M17"/>
  </mergeCells>
  <pageMargins left="0.75" right="0.75" top="1" bottom="1" header="0.5" footer="0.5"/>
  <pageSetup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F109"/>
  <sheetViews>
    <sheetView showGridLines="0" topLeftCell="A3" zoomScale="125" zoomScaleNormal="100" workbookViewId="0">
      <selection activeCell="C15" sqref="C15"/>
    </sheetView>
  </sheetViews>
  <sheetFormatPr defaultColWidth="8.85546875" defaultRowHeight="15"/>
  <cols>
    <col min="1" max="1" width="60" customWidth="1"/>
    <col min="2" max="4" width="18.28515625" customWidth="1"/>
    <col min="5" max="5" width="16" customWidth="1"/>
  </cols>
  <sheetData>
    <row r="1" spans="1:4" ht="27.95" customHeight="1">
      <c r="A1" s="1558" t="s">
        <v>1483</v>
      </c>
      <c r="B1" s="1559"/>
      <c r="C1" s="1559"/>
      <c r="D1" s="1559"/>
    </row>
    <row r="2" spans="1:4" ht="36" customHeight="1">
      <c r="A2" s="1560" t="s">
        <v>1484</v>
      </c>
      <c r="B2" s="1561"/>
      <c r="C2" s="1561"/>
      <c r="D2" s="1561"/>
    </row>
    <row r="4" spans="1:4" ht="21.95" customHeight="1">
      <c r="A4" s="1486" t="s">
        <v>1485</v>
      </c>
      <c r="B4" s="1557"/>
      <c r="C4" s="1557"/>
      <c r="D4" s="1557"/>
    </row>
    <row r="5" spans="1:4">
      <c r="A5" s="1210" t="s">
        <v>1486</v>
      </c>
      <c r="B5" s="1210"/>
      <c r="C5" s="1210"/>
      <c r="D5" s="1210"/>
    </row>
    <row r="6" spans="1:4">
      <c r="A6" s="1210"/>
      <c r="B6" s="157" t="s">
        <v>105</v>
      </c>
      <c r="C6" s="157" t="s">
        <v>106</v>
      </c>
      <c r="D6" s="157" t="s">
        <v>107</v>
      </c>
    </row>
    <row r="7" spans="1:4">
      <c r="A7" s="1210" t="s">
        <v>1487</v>
      </c>
      <c r="B7" s="355">
        <f>Assumptions!$C$155</f>
        <v>0.15</v>
      </c>
      <c r="C7" s="355">
        <f>Assumptions!$D$155</f>
        <v>0.2</v>
      </c>
      <c r="D7" s="355">
        <f>Assumptions!$E$155</f>
        <v>0.25</v>
      </c>
    </row>
    <row r="8" spans="1:4">
      <c r="A8" s="1210" t="s">
        <v>1488</v>
      </c>
      <c r="B8" s="355">
        <f>1-B7</f>
        <v>0.85</v>
      </c>
      <c r="C8" s="355">
        <f>1-C7</f>
        <v>0.8</v>
      </c>
      <c r="D8" s="355">
        <f>1-D7</f>
        <v>0.75</v>
      </c>
    </row>
    <row r="10" spans="1:4" ht="21.95" customHeight="1">
      <c r="A10" s="1486" t="s">
        <v>1489</v>
      </c>
      <c r="B10" s="1557"/>
      <c r="C10" s="1557"/>
      <c r="D10" s="1557"/>
    </row>
    <row r="11" spans="1:4" ht="20.100000000000001" customHeight="1">
      <c r="A11" s="79" t="s">
        <v>1490</v>
      </c>
      <c r="B11" s="1210"/>
      <c r="C11" s="1210"/>
      <c r="D11" s="1210"/>
    </row>
    <row r="13" spans="1:4">
      <c r="A13" s="74" t="s">
        <v>1491</v>
      </c>
      <c r="B13" s="102">
        <f>Assumptions!C176</f>
        <v>7.4999192533200016</v>
      </c>
      <c r="C13" s="102">
        <f>Assumptions!D176</f>
        <v>10.924108107214609</v>
      </c>
      <c r="D13" s="102">
        <f>Assumptions!E176</f>
        <v>18.106692079161522</v>
      </c>
    </row>
    <row r="14" spans="1:4">
      <c r="A14" s="1210" t="s">
        <v>1492</v>
      </c>
      <c r="B14" s="355">
        <f>Assumptions!$C$156</f>
        <v>0.3</v>
      </c>
      <c r="C14" s="355">
        <f>Assumptions!$D$156</f>
        <v>0.4</v>
      </c>
      <c r="D14" s="355">
        <f>Assumptions!$E$156</f>
        <v>0.45</v>
      </c>
    </row>
    <row r="15" spans="1:4">
      <c r="A15" s="46" t="s">
        <v>1493</v>
      </c>
      <c r="B15" s="80">
        <f>B13*B14</f>
        <v>2.2499757759960004</v>
      </c>
      <c r="C15" s="80">
        <f>C13*C14</f>
        <v>4.3696432428858438</v>
      </c>
      <c r="D15" s="80">
        <f>D13*D14</f>
        <v>8.1480114356226849</v>
      </c>
    </row>
    <row r="17" spans="1:4">
      <c r="A17" s="74" t="s">
        <v>1494</v>
      </c>
      <c r="B17" s="358">
        <f>Assumptions!$C$157</f>
        <v>200</v>
      </c>
      <c r="C17" s="358">
        <f>Assumptions!$D$157</f>
        <v>300</v>
      </c>
      <c r="D17" s="358">
        <f>Assumptions!$E$157</f>
        <v>350</v>
      </c>
    </row>
    <row r="18" spans="1:4">
      <c r="A18" s="46" t="s">
        <v>1495</v>
      </c>
      <c r="B18" s="34">
        <f>B15*B17</f>
        <v>449.9951551992001</v>
      </c>
      <c r="C18" s="34">
        <f>C15*C17</f>
        <v>1310.8929728657531</v>
      </c>
      <c r="D18" s="34">
        <f>D15*D17</f>
        <v>2851.8040024679399</v>
      </c>
    </row>
    <row r="20" spans="1:4">
      <c r="A20" s="1210" t="s">
        <v>1496</v>
      </c>
      <c r="B20" s="87">
        <f>Assumptions!$C$158</f>
        <v>5</v>
      </c>
      <c r="C20" s="87">
        <f>Assumptions!$D$158</f>
        <v>6</v>
      </c>
      <c r="D20" s="87">
        <f>Assumptions!$E$158</f>
        <v>6</v>
      </c>
    </row>
    <row r="21" spans="1:4">
      <c r="A21" s="46" t="s">
        <v>1497</v>
      </c>
      <c r="B21" s="34">
        <f>B18*B20</f>
        <v>2249.9757759960003</v>
      </c>
      <c r="C21" s="34">
        <f>C18*C20</f>
        <v>7865.3578371945187</v>
      </c>
      <c r="D21" s="34">
        <f>D18*D20</f>
        <v>17110.82401480764</v>
      </c>
    </row>
    <row r="24" spans="1:4" ht="21.95" customHeight="1">
      <c r="A24" s="1486" t="s">
        <v>1498</v>
      </c>
      <c r="B24" s="1557"/>
      <c r="C24" s="1557"/>
      <c r="D24" s="1557"/>
    </row>
    <row r="25" spans="1:4">
      <c r="A25" s="74" t="s">
        <v>1499</v>
      </c>
      <c r="B25" s="359">
        <f>Assumptions!$C$159</f>
        <v>7</v>
      </c>
      <c r="C25" s="359">
        <f>Assumptions!$D$159</f>
        <v>5</v>
      </c>
      <c r="D25" s="359">
        <f>Assumptions!$E$159</f>
        <v>4</v>
      </c>
    </row>
    <row r="26" spans="1:4">
      <c r="A26" s="1210" t="s">
        <v>1386</v>
      </c>
      <c r="B26" s="356">
        <f>Assumptions!$F$73</f>
        <v>0.10844999999999999</v>
      </c>
      <c r="C26" s="356">
        <f>Assumptions!$F$73</f>
        <v>0.10844999999999999</v>
      </c>
      <c r="D26" s="356">
        <f>Assumptions!$F$73</f>
        <v>0.10844999999999999</v>
      </c>
    </row>
    <row r="27" spans="1:4">
      <c r="A27" s="1210" t="s">
        <v>1500</v>
      </c>
      <c r="B27" s="357">
        <f>1/(1+B26)^B25</f>
        <v>0.48639292143602458</v>
      </c>
      <c r="C27" s="357">
        <f>1/(1+C26)^C25</f>
        <v>0.5976122090176581</v>
      </c>
      <c r="D27" s="357">
        <f>1/(1+D26)^D25</f>
        <v>0.66242325308562311</v>
      </c>
    </row>
    <row r="28" spans="1:4">
      <c r="A28" s="1212" t="s">
        <v>1501</v>
      </c>
      <c r="B28" s="35">
        <f>B21*B27</f>
        <v>1094.3722908469811</v>
      </c>
      <c r="C28" s="35">
        <f>C21*C27</f>
        <v>4700.4338718001663</v>
      </c>
      <c r="D28" s="35">
        <f>D21*D27</f>
        <v>11334.607706864479</v>
      </c>
    </row>
    <row r="30" spans="1:4">
      <c r="A30" s="74" t="s">
        <v>1502</v>
      </c>
      <c r="B30" s="360">
        <f>B7</f>
        <v>0.15</v>
      </c>
      <c r="C30" s="360">
        <f>C7</f>
        <v>0.2</v>
      </c>
      <c r="D30" s="360">
        <f>D7</f>
        <v>0.25</v>
      </c>
    </row>
    <row r="31" spans="1:4">
      <c r="A31" s="82" t="s">
        <v>1503</v>
      </c>
      <c r="B31" s="83">
        <f>B28*B30</f>
        <v>164.15584362704715</v>
      </c>
      <c r="C31" s="83">
        <f>C28*C30</f>
        <v>940.08677436003336</v>
      </c>
      <c r="D31" s="83">
        <f>D28*D30</f>
        <v>2833.6519267161198</v>
      </c>
    </row>
    <row r="32" spans="1:4">
      <c r="A32" s="82" t="s">
        <v>1504</v>
      </c>
      <c r="B32" s="84">
        <f>B31/1000</f>
        <v>0.16415584362704716</v>
      </c>
      <c r="C32" s="84">
        <f>C31/1000</f>
        <v>0.94008677436003341</v>
      </c>
      <c r="D32" s="84">
        <f>D31/1000</f>
        <v>2.8336519267161195</v>
      </c>
    </row>
    <row r="34" spans="1:4" ht="21.95" customHeight="1">
      <c r="A34" s="1486" t="s">
        <v>1505</v>
      </c>
      <c r="B34" s="1557"/>
      <c r="C34" s="1557"/>
      <c r="D34" s="1557"/>
    </row>
    <row r="35" spans="1:4">
      <c r="A35" s="328" t="s">
        <v>1506</v>
      </c>
      <c r="B35" s="1198" t="str">
        <f>Assumptions!$B$3</f>
        <v>Base</v>
      </c>
      <c r="C35" s="1210"/>
      <c r="D35" s="1210"/>
    </row>
    <row r="36" spans="1:4">
      <c r="A36" s="1198" t="s">
        <v>1507</v>
      </c>
      <c r="B36" s="83">
        <f>IF($B$35="Bear",B31,IF($B$35="Bull",D31,C31))</f>
        <v>940.08677436003336</v>
      </c>
      <c r="C36" s="1210"/>
      <c r="D36" s="1210"/>
    </row>
    <row r="37" spans="1:4">
      <c r="A37" s="1198" t="s">
        <v>1508</v>
      </c>
      <c r="B37" s="84">
        <f>B36/1000</f>
        <v>0.94008677436003341</v>
      </c>
      <c r="C37" s="1210"/>
      <c r="D37" s="1210"/>
    </row>
    <row r="38" spans="1:4">
      <c r="A38" s="792" t="s">
        <v>1509</v>
      </c>
      <c r="B38" s="995">
        <f>Assumptions!$C$2*B31+Assumptions!$E$2*C31+Assumptions!$G$2*D31</f>
        <v>1352.970133920262</v>
      </c>
      <c r="C38" s="351" t="s">
        <v>1510</v>
      </c>
      <c r="D38" s="1210"/>
    </row>
    <row r="39" spans="1:4">
      <c r="A39" s="792" t="s">
        <v>1511</v>
      </c>
      <c r="B39" s="996">
        <f>B38/1000</f>
        <v>1.352970133920262</v>
      </c>
      <c r="C39" s="1210"/>
      <c r="D39" s="1210"/>
    </row>
    <row r="40" spans="1:4" ht="21.95" customHeight="1">
      <c r="A40" s="1486" t="s">
        <v>1512</v>
      </c>
      <c r="B40" s="1557"/>
      <c r="C40" s="1557"/>
      <c r="D40" s="1557"/>
    </row>
    <row r="41" spans="1:4">
      <c r="A41" s="361" t="s">
        <v>1513</v>
      </c>
      <c r="B41" s="1194"/>
      <c r="C41" s="1194"/>
      <c r="D41" s="1194"/>
    </row>
    <row r="42" spans="1:4">
      <c r="A42" s="192"/>
      <c r="B42" s="1194"/>
      <c r="C42" s="1194"/>
      <c r="D42" s="1194"/>
    </row>
    <row r="43" spans="1:4">
      <c r="A43" s="191" t="s">
        <v>1514</v>
      </c>
      <c r="B43" s="1194"/>
      <c r="C43" s="1194"/>
      <c r="D43" s="1194"/>
    </row>
    <row r="44" spans="1:4">
      <c r="A44" s="192" t="s">
        <v>1515</v>
      </c>
      <c r="B44" s="1194"/>
      <c r="C44" s="1194"/>
      <c r="D44" s="1194"/>
    </row>
    <row r="45" spans="1:4">
      <c r="A45" s="192" t="s">
        <v>1516</v>
      </c>
      <c r="B45" s="1194"/>
      <c r="C45" s="1194"/>
      <c r="D45" s="1194"/>
    </row>
    <row r="46" spans="1:4">
      <c r="A46" s="192" t="s">
        <v>1517</v>
      </c>
      <c r="B46" s="1194"/>
      <c r="C46" s="1194"/>
      <c r="D46" s="1194"/>
    </row>
    <row r="47" spans="1:4">
      <c r="A47" s="192" t="s">
        <v>1518</v>
      </c>
      <c r="B47" s="1194"/>
      <c r="C47" s="1194"/>
      <c r="D47" s="1194"/>
    </row>
    <row r="48" spans="1:4">
      <c r="A48" s="192" t="s">
        <v>1519</v>
      </c>
      <c r="B48" s="1194"/>
      <c r="C48" s="1194"/>
      <c r="D48" s="1194"/>
    </row>
    <row r="49" spans="1:4">
      <c r="A49" s="192"/>
      <c r="B49" s="1194"/>
      <c r="C49" s="1194"/>
      <c r="D49" s="1194"/>
    </row>
    <row r="50" spans="1:4">
      <c r="A50" s="191" t="s">
        <v>1520</v>
      </c>
      <c r="B50" s="1194"/>
      <c r="C50" s="1194"/>
      <c r="D50" s="1194"/>
    </row>
    <row r="51" spans="1:4">
      <c r="A51" s="192" t="s">
        <v>1521</v>
      </c>
      <c r="B51" s="1194"/>
      <c r="C51" s="1194"/>
      <c r="D51" s="1194"/>
    </row>
    <row r="52" spans="1:4">
      <c r="A52" s="192" t="s">
        <v>1522</v>
      </c>
      <c r="B52" s="1194"/>
      <c r="C52" s="1194"/>
      <c r="D52" s="1194"/>
    </row>
    <row r="53" spans="1:4">
      <c r="A53" s="192" t="s">
        <v>1523</v>
      </c>
      <c r="B53" s="1194"/>
      <c r="C53" s="1194"/>
      <c r="D53" s="1194"/>
    </row>
    <row r="54" spans="1:4">
      <c r="A54" s="192"/>
      <c r="B54" s="1194"/>
      <c r="C54" s="1194"/>
      <c r="D54" s="1194"/>
    </row>
    <row r="55" spans="1:4">
      <c r="A55" s="191" t="s">
        <v>1524</v>
      </c>
      <c r="B55" s="1194"/>
      <c r="C55" s="1194"/>
      <c r="D55" s="1194"/>
    </row>
    <row r="56" spans="1:4">
      <c r="A56" s="192" t="s">
        <v>1525</v>
      </c>
      <c r="B56" s="1194"/>
      <c r="C56" s="1194"/>
      <c r="D56" s="1194"/>
    </row>
    <row r="57" spans="1:4">
      <c r="A57" s="192" t="s">
        <v>1526</v>
      </c>
      <c r="B57" s="1194"/>
      <c r="C57" s="1194"/>
      <c r="D57" s="1194"/>
    </row>
    <row r="58" spans="1:4">
      <c r="A58" s="192" t="s">
        <v>1527</v>
      </c>
      <c r="B58" s="1194"/>
      <c r="C58" s="1194"/>
      <c r="D58" s="1194"/>
    </row>
    <row r="59" spans="1:4">
      <c r="A59" s="192"/>
      <c r="B59" s="1194"/>
      <c r="C59" s="1194"/>
      <c r="D59" s="1194"/>
    </row>
    <row r="60" spans="1:4">
      <c r="A60" s="191" t="s">
        <v>1528</v>
      </c>
      <c r="B60" s="1194"/>
      <c r="C60" s="1194"/>
      <c r="D60" s="1194"/>
    </row>
    <row r="61" spans="1:4">
      <c r="A61" s="192" t="s">
        <v>1529</v>
      </c>
      <c r="B61" s="1194"/>
      <c r="C61" s="1194"/>
      <c r="D61" s="1194"/>
    </row>
    <row r="62" spans="1:4">
      <c r="A62" s="192" t="s">
        <v>1530</v>
      </c>
      <c r="B62" s="1194"/>
      <c r="C62" s="1194"/>
      <c r="D62" s="1194"/>
    </row>
    <row r="63" spans="1:4">
      <c r="A63" s="192"/>
      <c r="B63" s="1194"/>
      <c r="C63" s="1194"/>
      <c r="D63" s="1194"/>
    </row>
    <row r="64" spans="1:4">
      <c r="A64" s="191" t="s">
        <v>1531</v>
      </c>
      <c r="B64" s="1194"/>
      <c r="C64" s="1194"/>
      <c r="D64" s="1194"/>
    </row>
    <row r="65" spans="1:4">
      <c r="A65" s="192" t="s">
        <v>1532</v>
      </c>
      <c r="B65" s="1194"/>
      <c r="C65" s="1194"/>
      <c r="D65" s="1194"/>
    </row>
    <row r="66" spans="1:4">
      <c r="A66" s="192" t="s">
        <v>1533</v>
      </c>
      <c r="B66" s="1194"/>
      <c r="C66" s="1194"/>
      <c r="D66" s="1194"/>
    </row>
    <row r="67" spans="1:4">
      <c r="A67" s="192" t="s">
        <v>1534</v>
      </c>
      <c r="B67" s="1194"/>
      <c r="C67" s="1194"/>
      <c r="D67" s="1194"/>
    </row>
    <row r="68" spans="1:4">
      <c r="A68" s="1002" t="s">
        <v>1535</v>
      </c>
      <c r="B68" s="1210"/>
      <c r="C68" s="1210"/>
      <c r="D68" s="1210"/>
    </row>
    <row r="70" spans="1:4" ht="21.95" customHeight="1">
      <c r="A70" s="1486" t="s">
        <v>1536</v>
      </c>
      <c r="B70" s="1557"/>
      <c r="C70" s="1557"/>
      <c r="D70" s="1557"/>
    </row>
    <row r="71" spans="1:4">
      <c r="A71" s="361" t="s">
        <v>1537</v>
      </c>
      <c r="B71" s="1194"/>
      <c r="C71" s="1194"/>
      <c r="D71" s="1194"/>
    </row>
    <row r="72" spans="1:4">
      <c r="A72" s="192"/>
      <c r="B72" s="1194"/>
      <c r="C72" s="1194"/>
      <c r="D72" s="1194"/>
    </row>
    <row r="73" spans="1:4">
      <c r="A73" s="192" t="s">
        <v>1538</v>
      </c>
      <c r="B73" s="1194"/>
      <c r="C73" s="1194"/>
      <c r="D73" s="1194"/>
    </row>
    <row r="74" spans="1:4">
      <c r="A74" s="192" t="s">
        <v>1539</v>
      </c>
      <c r="B74" s="1194"/>
      <c r="C74" s="1194"/>
      <c r="D74" s="1194"/>
    </row>
    <row r="75" spans="1:4">
      <c r="A75" s="192" t="s">
        <v>1540</v>
      </c>
      <c r="B75" s="1194"/>
      <c r="C75" s="1194"/>
      <c r="D75" s="1194"/>
    </row>
    <row r="76" spans="1:4">
      <c r="A76" s="192" t="s">
        <v>1541</v>
      </c>
      <c r="B76" s="1194"/>
      <c r="C76" s="1194"/>
      <c r="D76" s="1194"/>
    </row>
    <row r="77" spans="1:4">
      <c r="A77" s="192"/>
      <c r="B77" s="1194"/>
      <c r="C77" s="1194"/>
      <c r="D77" s="1194"/>
    </row>
    <row r="78" spans="1:4">
      <c r="A78" s="192" t="s">
        <v>1542</v>
      </c>
      <c r="B78" s="1194"/>
      <c r="C78" s="1194"/>
      <c r="D78" s="1194"/>
    </row>
    <row r="80" spans="1:4" ht="15.75">
      <c r="A80" s="1213" t="s">
        <v>1543</v>
      </c>
      <c r="B80" s="1210"/>
      <c r="C80" s="1210"/>
      <c r="D80" s="1210"/>
    </row>
    <row r="81" spans="1:6">
      <c r="A81" s="716" t="s">
        <v>1544</v>
      </c>
      <c r="B81" s="1210"/>
      <c r="C81" s="1210"/>
      <c r="D81" s="1210"/>
      <c r="E81" s="1210"/>
      <c r="F81" s="1210"/>
    </row>
    <row r="83" spans="1:6">
      <c r="A83" s="1191" t="s">
        <v>1545</v>
      </c>
      <c r="B83" s="1210"/>
      <c r="C83" s="1210"/>
      <c r="D83" s="1210"/>
      <c r="E83" s="1210"/>
      <c r="F83" s="1210"/>
    </row>
    <row r="84" spans="1:6" ht="141">
      <c r="A84" s="1003" t="s">
        <v>1546</v>
      </c>
      <c r="B84" s="994" t="s">
        <v>1547</v>
      </c>
      <c r="C84" s="994" t="s">
        <v>1548</v>
      </c>
      <c r="D84" s="994" t="s">
        <v>1549</v>
      </c>
      <c r="E84" s="994" t="s">
        <v>1550</v>
      </c>
      <c r="F84" s="1210"/>
    </row>
    <row r="85" spans="1:6">
      <c r="A85" s="33" t="s">
        <v>105</v>
      </c>
      <c r="B85" s="988">
        <f>B31</f>
        <v>164.15584362704715</v>
      </c>
      <c r="C85" s="998">
        <f>Assumptions!$C$2</f>
        <v>0.2</v>
      </c>
      <c r="D85" s="988">
        <f>B85*C85</f>
        <v>32.831168725409434</v>
      </c>
      <c r="E85" s="355">
        <f>D85/$D$88</f>
        <v>2.4265996641241717E-2</v>
      </c>
      <c r="F85" s="1210"/>
    </row>
    <row r="86" spans="1:6">
      <c r="A86" s="33" t="s">
        <v>1551</v>
      </c>
      <c r="B86" s="988">
        <f>C31</f>
        <v>940.08677436003336</v>
      </c>
      <c r="C86" s="998">
        <f>Assumptions!$E$2</f>
        <v>0.5</v>
      </c>
      <c r="D86" s="988">
        <f>B86*C86</f>
        <v>470.04338718001668</v>
      </c>
      <c r="E86" s="355">
        <f>D86/$D$88</f>
        <v>0.34741593727428055</v>
      </c>
      <c r="F86" s="1210"/>
    </row>
    <row r="87" spans="1:6">
      <c r="A87" s="1211" t="s">
        <v>1552</v>
      </c>
      <c r="B87" s="988">
        <f>D31</f>
        <v>2833.6519267161198</v>
      </c>
      <c r="C87" s="998">
        <f>Assumptions!$G$2</f>
        <v>0.3</v>
      </c>
      <c r="D87" s="988">
        <f>B87*C87</f>
        <v>850.09557801483595</v>
      </c>
      <c r="E87" s="355">
        <f>D87/$D$88</f>
        <v>0.62831806608447782</v>
      </c>
      <c r="F87" s="1210"/>
    </row>
    <row r="88" spans="1:6">
      <c r="A88" s="1198" t="s">
        <v>1553</v>
      </c>
      <c r="B88" s="328"/>
      <c r="C88" s="999">
        <f>SUM(C85:C87)</f>
        <v>1</v>
      </c>
      <c r="D88" s="83">
        <f>SUM(D85:D87)</f>
        <v>1352.970133920262</v>
      </c>
      <c r="E88" s="910">
        <f>SUM(E85:E87)</f>
        <v>1</v>
      </c>
      <c r="F88" s="1210"/>
    </row>
    <row r="89" spans="1:6">
      <c r="A89" s="33" t="s">
        <v>1554</v>
      </c>
      <c r="B89" s="1210"/>
      <c r="C89" s="1210"/>
      <c r="D89" s="1210"/>
      <c r="E89" s="1210"/>
      <c r="F89" s="1210"/>
    </row>
    <row r="90" spans="1:6">
      <c r="A90" s="1211" t="s">
        <v>1555</v>
      </c>
      <c r="B90" s="1210"/>
      <c r="C90" s="1210"/>
      <c r="D90" s="1210"/>
      <c r="E90" s="1210"/>
      <c r="F90" s="1210"/>
    </row>
    <row r="91" spans="1:6" ht="15.75">
      <c r="A91" s="997" t="s">
        <v>1556</v>
      </c>
      <c r="B91" s="1210"/>
      <c r="C91" s="1210"/>
      <c r="D91" s="1210"/>
      <c r="E91" s="1210"/>
      <c r="F91" s="1210"/>
    </row>
    <row r="92" spans="1:6">
      <c r="A92" s="716" t="s">
        <v>1557</v>
      </c>
      <c r="B92" s="1210"/>
      <c r="C92" s="1210"/>
      <c r="D92" s="1210"/>
      <c r="E92" s="1210"/>
      <c r="F92" s="1210"/>
    </row>
    <row r="94" spans="1:6">
      <c r="A94" s="788" t="s">
        <v>1558</v>
      </c>
      <c r="B94" s="1000">
        <v>0.1</v>
      </c>
      <c r="C94" s="1000">
        <v>0.2</v>
      </c>
      <c r="D94" s="1001">
        <v>0.3</v>
      </c>
      <c r="E94" s="1000">
        <v>0.4</v>
      </c>
      <c r="F94" s="1000">
        <v>0.5</v>
      </c>
    </row>
    <row r="95" spans="1:6">
      <c r="A95" s="1000">
        <v>0.1</v>
      </c>
      <c r="B95" s="982">
        <f t="shared" ref="B95:F99" si="0">IF($A95+B$94&gt;=1,NA(),$A95*$B$31+(1-$A95-B$94)*$C$31+B$94*$D$31)</f>
        <v>1051.8501965223434</v>
      </c>
      <c r="C95" s="982">
        <f t="shared" si="0"/>
        <v>1241.206711757952</v>
      </c>
      <c r="D95" s="982">
        <f t="shared" si="0"/>
        <v>1430.5632269935609</v>
      </c>
      <c r="E95" s="982">
        <f t="shared" si="0"/>
        <v>1619.9197422291693</v>
      </c>
      <c r="F95" s="982">
        <f t="shared" si="0"/>
        <v>1809.2762574647779</v>
      </c>
    </row>
    <row r="96" spans="1:6">
      <c r="A96" s="1000">
        <v>0.15</v>
      </c>
      <c r="B96" s="982">
        <f t="shared" si="0"/>
        <v>1013.0536499856942</v>
      </c>
      <c r="C96" s="982">
        <f t="shared" si="0"/>
        <v>1202.4101652213026</v>
      </c>
      <c r="D96" s="982">
        <f t="shared" si="0"/>
        <v>1391.7666804569114</v>
      </c>
      <c r="E96" s="982">
        <f t="shared" si="0"/>
        <v>1581.1231956925199</v>
      </c>
      <c r="F96" s="982">
        <f t="shared" si="0"/>
        <v>1770.4797109281285</v>
      </c>
    </row>
    <row r="97" spans="1:6">
      <c r="A97" s="1001">
        <v>0.2</v>
      </c>
      <c r="B97" s="982">
        <f t="shared" si="0"/>
        <v>974.25710344904473</v>
      </c>
      <c r="C97" s="982">
        <f t="shared" si="0"/>
        <v>1163.6136186846534</v>
      </c>
      <c r="D97" s="986">
        <f t="shared" si="0"/>
        <v>1352.970133920262</v>
      </c>
      <c r="E97" s="982">
        <f t="shared" si="0"/>
        <v>1542.3266491558707</v>
      </c>
      <c r="F97" s="982">
        <f t="shared" si="0"/>
        <v>1731.6831643914793</v>
      </c>
    </row>
    <row r="98" spans="1:6">
      <c r="A98" s="1000">
        <v>0.25</v>
      </c>
      <c r="B98" s="982">
        <f t="shared" si="0"/>
        <v>935.46055691239553</v>
      </c>
      <c r="C98" s="982">
        <f t="shared" si="0"/>
        <v>1124.8170721480042</v>
      </c>
      <c r="D98" s="982">
        <f t="shared" si="0"/>
        <v>1314.1735873836128</v>
      </c>
      <c r="E98" s="982">
        <f t="shared" si="0"/>
        <v>1503.5301026192215</v>
      </c>
      <c r="F98" s="982">
        <f t="shared" si="0"/>
        <v>1692.8866178548301</v>
      </c>
    </row>
    <row r="99" spans="1:6">
      <c r="A99" s="1000">
        <v>0.3</v>
      </c>
      <c r="B99" s="982">
        <f t="shared" si="0"/>
        <v>896.6640103757461</v>
      </c>
      <c r="C99" s="982">
        <f t="shared" si="0"/>
        <v>1086.0205256113547</v>
      </c>
      <c r="D99" s="982">
        <f t="shared" si="0"/>
        <v>1275.3770408469634</v>
      </c>
      <c r="E99" s="982">
        <f t="shared" si="0"/>
        <v>1464.7335560825718</v>
      </c>
      <c r="F99" s="982">
        <f t="shared" si="0"/>
        <v>1654.0900713181807</v>
      </c>
    </row>
    <row r="101" spans="1:6">
      <c r="A101" s="1191" t="s">
        <v>1559</v>
      </c>
      <c r="B101" s="1210"/>
      <c r="C101" s="1210"/>
      <c r="D101" s="1210"/>
      <c r="E101" s="1210"/>
      <c r="F101" s="1210"/>
    </row>
    <row r="102" spans="1:6">
      <c r="A102" s="33" t="s">
        <v>1560</v>
      </c>
      <c r="B102" s="985">
        <f>B99</f>
        <v>896.6640103757461</v>
      </c>
      <c r="C102" s="1195" t="s">
        <v>1561</v>
      </c>
      <c r="D102" s="1210"/>
      <c r="E102" s="1210"/>
      <c r="F102" s="1210"/>
    </row>
    <row r="103" spans="1:6">
      <c r="A103" s="33" t="s">
        <v>1562</v>
      </c>
      <c r="B103" s="985">
        <f>F95</f>
        <v>1809.2762574647779</v>
      </c>
      <c r="C103" s="1195" t="s">
        <v>1563</v>
      </c>
      <c r="D103" s="1210"/>
      <c r="E103" s="1210"/>
      <c r="F103" s="1210"/>
    </row>
    <row r="104" spans="1:6">
      <c r="A104" s="33" t="s">
        <v>1564</v>
      </c>
      <c r="B104" s="985">
        <f>B103-B102</f>
        <v>912.61224708903183</v>
      </c>
      <c r="C104" s="1195" t="str">
        <f>"Total swing across reasonable bounds = $"&amp;TEXT(B104/1000,"0.00")&amp;"B"</f>
        <v>Total swing across reasonable bounds = $0.91B</v>
      </c>
      <c r="D104" s="1210"/>
      <c r="E104" s="1210"/>
      <c r="F104" s="1210"/>
    </row>
    <row r="105" spans="1:6">
      <c r="A105" s="33" t="s">
        <v>1565</v>
      </c>
      <c r="B105" s="985">
        <f>(F97-B97)/4</f>
        <v>189.35651523560864</v>
      </c>
      <c r="C105" s="1195" t="s">
        <v>1566</v>
      </c>
      <c r="D105" s="1210"/>
      <c r="E105" s="1210"/>
      <c r="F105" s="1210"/>
    </row>
    <row r="106" spans="1:6">
      <c r="A106" s="33" t="s">
        <v>1567</v>
      </c>
      <c r="B106" s="985">
        <f>(D95-D99)/4</f>
        <v>38.796546536649373</v>
      </c>
      <c r="C106" s="1195" t="s">
        <v>1568</v>
      </c>
      <c r="D106" s="1210"/>
      <c r="E106" s="1210"/>
      <c r="F106" s="1210"/>
    </row>
    <row r="108" spans="1:6">
      <c r="A108" s="1191" t="s">
        <v>1569</v>
      </c>
      <c r="B108" s="1210"/>
      <c r="C108" s="1210"/>
      <c r="D108" s="1210"/>
      <c r="E108" s="1210"/>
      <c r="F108" s="1210"/>
    </row>
    <row r="109" spans="1:6">
      <c r="A109" s="641" t="str">
        <f>"At 20/50/30 base weights, scenario-weighted option value is $"&amp;TEXT(D97/1000,"0.00")&amp;"B (yellow center) — "&amp;TEXT(D97/C31-1,"+0%;-0%")&amp;" vs Base DCF active scenario ($"&amp;TEXT(C31/1000,"0.00")&amp;"B). Across the full grid, option value spans $"&amp;TEXT(B102/1000,"0.00")&amp;"B (max-bear: 30% Bear / 10% Bull) to $"&amp;TEXT(B103/1000,"0.00")&amp;"B (max-bull: 10% Bear / 50% Bull) — a $"&amp;TEXT(B104/1000,"0.00")&amp;"B range. P_Bull is the dominant lever ($"&amp;TEXT(B105,"#,##0")&amp;"M per 10pp shift — 4x larger than P_Bear at $"&amp;TEXT(B106,"#,##0")&amp;"M). Under any plausible weighting where P_Bull ≥ 20% AND P_Bear ≤ 25%, option value sits comfortably ABOVE Base DCF $"&amp;TEXT(C31,"#,##0")&amp;"M. Only the extreme bearish corner (30%/10%, $"&amp;TEXT(B102,"#,##0")&amp;"M) drops below — and that scenario implies probabilities materially out of line with management's stated ambition."</f>
        <v>At 20/50/30 base weights, scenario-weighted option value is $1.35B (yellow center) — +44% vs Base DCF active scenario ($0.94B). Across the full grid, option value spans $0.90B (max-bear: 30% Bear / 10% Bull) to $1.81B (max-bull: 10% Bear / 50% Bull) — a $0.91B range. P_Bull is the dominant lever ($189M per 10pp shift — 4x larger than P_Bear at $39M). Under any plausible weighting where P_Bull ≥ 20% AND P_Bear ≤ 25%, option value sits comfortably ABOVE Base DCF $940M. Only the extreme bearish corner (30%/10%, $897M) drops below — and that scenario implies probabilities materially out of line with management's stated ambition.</v>
      </c>
      <c r="B109" s="1210"/>
      <c r="C109" s="1210"/>
      <c r="D109" s="1210"/>
      <c r="E109" s="1210"/>
      <c r="F109" s="1210"/>
    </row>
  </sheetData>
  <mergeCells count="8">
    <mergeCell ref="A24:D24"/>
    <mergeCell ref="A34:D34"/>
    <mergeCell ref="A40:D40"/>
    <mergeCell ref="A70:D70"/>
    <mergeCell ref="A1:D1"/>
    <mergeCell ref="A2:D2"/>
    <mergeCell ref="A4:D4"/>
    <mergeCell ref="A10:D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N171"/>
  <sheetViews>
    <sheetView showGridLines="0" topLeftCell="A147" zoomScale="131" workbookViewId="0">
      <selection activeCell="A151" sqref="A151"/>
    </sheetView>
  </sheetViews>
  <sheetFormatPr defaultColWidth="8.85546875" defaultRowHeight="15"/>
  <cols>
    <col min="1" max="1" width="121.28515625" bestFit="1" customWidth="1"/>
    <col min="2" max="2" width="31.85546875" bestFit="1" customWidth="1"/>
    <col min="3" max="3" width="12.140625" bestFit="1" customWidth="1"/>
    <col min="4" max="4" width="24.7109375" bestFit="1" customWidth="1"/>
    <col min="5" max="5" width="10.7109375" bestFit="1" customWidth="1"/>
    <col min="6" max="6" width="16.7109375" bestFit="1" customWidth="1"/>
    <col min="7" max="7" width="51.85546875" bestFit="1" customWidth="1"/>
    <col min="8" max="8" width="12.42578125" customWidth="1"/>
    <col min="9" max="9" width="15" customWidth="1"/>
    <col min="10" max="10" width="63.28515625" customWidth="1"/>
    <col min="11" max="14" width="12.42578125" customWidth="1"/>
  </cols>
  <sheetData>
    <row r="1" spans="1:6" ht="27.95" customHeight="1">
      <c r="A1" s="1576" t="s">
        <v>1570</v>
      </c>
      <c r="B1" s="1576"/>
      <c r="C1" s="1576"/>
      <c r="D1" s="1576"/>
      <c r="E1" s="1576"/>
      <c r="F1" s="1576"/>
    </row>
    <row r="2" spans="1:6" ht="36" customHeight="1">
      <c r="A2" s="1560" t="s">
        <v>1571</v>
      </c>
      <c r="B2" s="1560"/>
      <c r="C2" s="1560"/>
      <c r="D2" s="1560"/>
      <c r="E2" s="1560"/>
      <c r="F2" s="1560"/>
    </row>
    <row r="4" spans="1:6" ht="21.95" customHeight="1">
      <c r="A4" s="1562" t="s">
        <v>1572</v>
      </c>
      <c r="B4" s="1562"/>
      <c r="C4" s="1562"/>
      <c r="D4" s="1562"/>
      <c r="E4" s="1562"/>
      <c r="F4" s="1562"/>
    </row>
    <row r="6" spans="1:6">
      <c r="A6" s="93" t="s">
        <v>1573</v>
      </c>
      <c r="B6" s="96">
        <f>'Revenue Build'!D20</f>
        <v>520.6</v>
      </c>
      <c r="C6" s="1210"/>
      <c r="D6" s="1210"/>
      <c r="E6" s="1210"/>
      <c r="F6" s="1210"/>
    </row>
    <row r="7" spans="1:6">
      <c r="A7" s="94" t="s">
        <v>1574</v>
      </c>
      <c r="B7" s="97">
        <v>1100</v>
      </c>
      <c r="C7" s="1210"/>
      <c r="D7" s="1210"/>
      <c r="E7" s="1210"/>
      <c r="F7" s="1210"/>
    </row>
    <row r="8" spans="1:6">
      <c r="A8" s="94" t="s">
        <v>1575</v>
      </c>
      <c r="B8" s="98">
        <f>'P&amp;L'!E16</f>
        <v>0.75</v>
      </c>
      <c r="C8" s="1210"/>
      <c r="D8" s="1210"/>
      <c r="E8" s="1210"/>
      <c r="F8" s="1210"/>
    </row>
    <row r="9" spans="1:6">
      <c r="A9" s="94" t="s">
        <v>1576</v>
      </c>
      <c r="B9" s="99">
        <f>B6*B8</f>
        <v>390.45000000000005</v>
      </c>
      <c r="C9" s="1210"/>
      <c r="D9" s="1210"/>
      <c r="E9" s="1210"/>
      <c r="F9" s="1210"/>
    </row>
    <row r="10" spans="1:6">
      <c r="A10" s="94" t="s">
        <v>1577</v>
      </c>
      <c r="B10" s="99">
        <f>B7*B8</f>
        <v>825</v>
      </c>
      <c r="C10" s="1210"/>
      <c r="D10" s="1210"/>
      <c r="E10" s="1210"/>
      <c r="F10" s="1210"/>
    </row>
    <row r="11" spans="1:6">
      <c r="A11" s="94" t="s">
        <v>1578</v>
      </c>
      <c r="B11" s="100">
        <v>1.03</v>
      </c>
      <c r="C11" s="1210"/>
      <c r="D11" s="1210"/>
      <c r="E11" s="1210"/>
      <c r="F11" s="1210"/>
    </row>
    <row r="12" spans="1:6">
      <c r="A12" s="94" t="s">
        <v>1579</v>
      </c>
      <c r="B12" s="100">
        <v>0.7</v>
      </c>
      <c r="C12" s="1210"/>
      <c r="D12" s="1210"/>
      <c r="E12" s="1210"/>
      <c r="F12" s="1210"/>
    </row>
    <row r="13" spans="1:6">
      <c r="A13" s="95" t="s">
        <v>1580</v>
      </c>
      <c r="B13" s="101">
        <v>10100</v>
      </c>
      <c r="C13" s="1210"/>
      <c r="D13" s="1210"/>
      <c r="E13" s="1210"/>
      <c r="F13" s="1210"/>
    </row>
    <row r="15" spans="1:6" ht="21.95" customHeight="1">
      <c r="A15" s="1562" t="s">
        <v>1581</v>
      </c>
      <c r="B15" s="1562"/>
      <c r="C15" s="1562"/>
      <c r="D15" s="1562"/>
      <c r="E15" s="1562"/>
      <c r="F15" s="1562"/>
    </row>
    <row r="16" spans="1:6" ht="30" customHeight="1">
      <c r="A16" s="1560" t="s">
        <v>1582</v>
      </c>
      <c r="B16" s="1560"/>
      <c r="C16" s="1560"/>
      <c r="D16" s="1560"/>
      <c r="E16" s="1560"/>
      <c r="F16" s="1560"/>
    </row>
    <row r="17" spans="1:10" ht="15.75" thickBot="1">
      <c r="A17" s="1210"/>
      <c r="B17" s="1210"/>
      <c r="C17" s="1210"/>
      <c r="D17" s="1210"/>
      <c r="E17" s="1210"/>
      <c r="F17" s="1210"/>
      <c r="G17" s="1210"/>
      <c r="H17" s="1210"/>
      <c r="I17" s="1210"/>
      <c r="J17" s="1210"/>
    </row>
    <row r="18" spans="1:10" ht="21.95" customHeight="1">
      <c r="A18" s="107" t="s">
        <v>1255</v>
      </c>
      <c r="B18" s="108" t="s">
        <v>1583</v>
      </c>
      <c r="C18" s="109" t="s">
        <v>222</v>
      </c>
      <c r="D18" s="108" t="s">
        <v>1584</v>
      </c>
      <c r="E18" s="109" t="s">
        <v>1585</v>
      </c>
      <c r="F18" s="109" t="s">
        <v>1586</v>
      </c>
      <c r="G18" s="109" t="s">
        <v>1587</v>
      </c>
      <c r="H18" s="109" t="s">
        <v>1157</v>
      </c>
      <c r="I18" s="109" t="s">
        <v>1588</v>
      </c>
      <c r="J18" s="110" t="s">
        <v>198</v>
      </c>
    </row>
    <row r="19" spans="1:10">
      <c r="A19" s="105" t="s">
        <v>1589</v>
      </c>
      <c r="B19" s="103" t="s">
        <v>1590</v>
      </c>
      <c r="C19" s="122" t="s">
        <v>1591</v>
      </c>
      <c r="D19" s="103" t="s">
        <v>1592</v>
      </c>
      <c r="E19" s="128">
        <v>1.22</v>
      </c>
      <c r="F19" s="129">
        <v>2.9</v>
      </c>
      <c r="G19" s="130">
        <v>-0.05</v>
      </c>
      <c r="H19" s="130">
        <v>0.42</v>
      </c>
      <c r="I19" s="131">
        <f t="shared" ref="I19:I29" si="0">IFERROR(E19/(G19*100),"n/m")</f>
        <v>-0.24399999999999999</v>
      </c>
      <c r="J19" s="151" t="s">
        <v>1593</v>
      </c>
    </row>
    <row r="20" spans="1:10">
      <c r="A20" s="106" t="s">
        <v>1594</v>
      </c>
      <c r="B20" s="1194" t="s">
        <v>1595</v>
      </c>
      <c r="C20" s="123" t="s">
        <v>1591</v>
      </c>
      <c r="D20" s="1194" t="s">
        <v>1592</v>
      </c>
      <c r="E20" s="132">
        <v>1.07</v>
      </c>
      <c r="F20" s="133">
        <v>2.4</v>
      </c>
      <c r="G20" s="134">
        <v>-0.02</v>
      </c>
      <c r="H20" s="134">
        <v>0.45</v>
      </c>
      <c r="I20" s="135">
        <f t="shared" si="0"/>
        <v>-0.53500000000000003</v>
      </c>
      <c r="J20" s="152" t="s">
        <v>1596</v>
      </c>
    </row>
    <row r="21" spans="1:10">
      <c r="A21" s="114" t="s">
        <v>1597</v>
      </c>
      <c r="B21" s="115" t="s">
        <v>1598</v>
      </c>
      <c r="C21" s="124" t="s">
        <v>1591</v>
      </c>
      <c r="D21" s="115" t="s">
        <v>1592</v>
      </c>
      <c r="E21" s="136">
        <v>0.4</v>
      </c>
      <c r="F21" s="137">
        <v>1.2</v>
      </c>
      <c r="G21" s="138">
        <v>-0.08</v>
      </c>
      <c r="H21" s="138">
        <v>0.33</v>
      </c>
      <c r="I21" s="139">
        <f t="shared" si="0"/>
        <v>-0.05</v>
      </c>
      <c r="J21" s="153" t="s">
        <v>1599</v>
      </c>
    </row>
    <row r="22" spans="1:10">
      <c r="A22" s="106" t="s">
        <v>1600</v>
      </c>
      <c r="B22" s="1194" t="s">
        <v>1601</v>
      </c>
      <c r="C22" s="123" t="s">
        <v>1602</v>
      </c>
      <c r="D22" s="1194" t="s">
        <v>1603</v>
      </c>
      <c r="E22" s="132">
        <v>3.66</v>
      </c>
      <c r="F22" s="133">
        <v>11.4</v>
      </c>
      <c r="G22" s="134">
        <v>0.13</v>
      </c>
      <c r="H22" s="134">
        <v>0.32</v>
      </c>
      <c r="I22" s="135">
        <f t="shared" si="0"/>
        <v>0.28153846153846157</v>
      </c>
      <c r="J22" s="152" t="s">
        <v>1604</v>
      </c>
    </row>
    <row r="23" spans="1:10">
      <c r="A23" s="114" t="s">
        <v>1605</v>
      </c>
      <c r="B23" s="115" t="s">
        <v>1606</v>
      </c>
      <c r="C23" s="124" t="s">
        <v>1602</v>
      </c>
      <c r="D23" s="115" t="s">
        <v>1603</v>
      </c>
      <c r="E23" s="136">
        <v>3.02</v>
      </c>
      <c r="F23" s="137">
        <v>6.9</v>
      </c>
      <c r="G23" s="138">
        <v>0.12</v>
      </c>
      <c r="H23" s="138">
        <v>0.44</v>
      </c>
      <c r="I23" s="139">
        <f t="shared" si="0"/>
        <v>0.25166666666666665</v>
      </c>
      <c r="J23" s="153" t="s">
        <v>1607</v>
      </c>
    </row>
    <row r="24" spans="1:10">
      <c r="A24" s="106" t="s">
        <v>1608</v>
      </c>
      <c r="B24" s="1194" t="s">
        <v>1609</v>
      </c>
      <c r="C24" s="123" t="s">
        <v>1602</v>
      </c>
      <c r="D24" s="1194" t="s">
        <v>1610</v>
      </c>
      <c r="E24" s="132">
        <v>4.24</v>
      </c>
      <c r="F24" s="133">
        <v>7.1</v>
      </c>
      <c r="G24" s="134">
        <v>0.11</v>
      </c>
      <c r="H24" s="134">
        <v>0.6</v>
      </c>
      <c r="I24" s="135">
        <f t="shared" si="0"/>
        <v>0.38545454545454549</v>
      </c>
      <c r="J24" s="152" t="s">
        <v>1611</v>
      </c>
    </row>
    <row r="25" spans="1:10" ht="24.75">
      <c r="A25" s="105" t="s">
        <v>1612</v>
      </c>
      <c r="B25" s="103" t="s">
        <v>1613</v>
      </c>
      <c r="C25" s="122" t="s">
        <v>1602</v>
      </c>
      <c r="D25" s="103" t="s">
        <v>1610</v>
      </c>
      <c r="E25" s="128">
        <v>4.6500000000000004</v>
      </c>
      <c r="F25" s="129">
        <v>6.5</v>
      </c>
      <c r="G25" s="130">
        <v>0.18</v>
      </c>
      <c r="H25" s="130">
        <v>0.7</v>
      </c>
      <c r="I25" s="131">
        <f t="shared" si="0"/>
        <v>0.25833333333333336</v>
      </c>
      <c r="J25" s="151" t="s">
        <v>1614</v>
      </c>
    </row>
    <row r="26" spans="1:10">
      <c r="A26" s="106" t="s">
        <v>1615</v>
      </c>
      <c r="B26" s="1194" t="s">
        <v>1616</v>
      </c>
      <c r="C26" s="123" t="s">
        <v>1591</v>
      </c>
      <c r="D26" s="1194" t="s">
        <v>1610</v>
      </c>
      <c r="E26" s="132">
        <v>5.23</v>
      </c>
      <c r="F26" s="133">
        <v>8.9</v>
      </c>
      <c r="G26" s="134">
        <v>0.08</v>
      </c>
      <c r="H26" s="134">
        <v>0.59</v>
      </c>
      <c r="I26" s="135">
        <f t="shared" si="0"/>
        <v>0.65375000000000005</v>
      </c>
      <c r="J26" s="152" t="s">
        <v>1617</v>
      </c>
    </row>
    <row r="27" spans="1:10">
      <c r="A27" s="105" t="s">
        <v>1618</v>
      </c>
      <c r="B27" s="103" t="s">
        <v>1619</v>
      </c>
      <c r="C27" s="122" t="s">
        <v>1591</v>
      </c>
      <c r="D27" s="103" t="s">
        <v>1610</v>
      </c>
      <c r="E27" s="128">
        <v>5.96</v>
      </c>
      <c r="F27" s="129">
        <v>9.5</v>
      </c>
      <c r="G27" s="130">
        <v>0.1</v>
      </c>
      <c r="H27" s="130">
        <v>0.63</v>
      </c>
      <c r="I27" s="131">
        <f t="shared" si="0"/>
        <v>0.59599999999999997</v>
      </c>
      <c r="J27" s="151" t="s">
        <v>1620</v>
      </c>
    </row>
    <row r="28" spans="1:10" ht="24.75">
      <c r="A28" s="116" t="s">
        <v>872</v>
      </c>
      <c r="B28" s="117" t="s">
        <v>1288</v>
      </c>
      <c r="C28" s="125" t="s">
        <v>1602</v>
      </c>
      <c r="D28" s="118" t="s">
        <v>1621</v>
      </c>
      <c r="E28" s="140">
        <v>5.25</v>
      </c>
      <c r="F28" s="141">
        <v>9.8000000000000007</v>
      </c>
      <c r="G28" s="142">
        <v>0.06</v>
      </c>
      <c r="H28" s="142">
        <v>0.59</v>
      </c>
      <c r="I28" s="143">
        <f t="shared" si="0"/>
        <v>0.875</v>
      </c>
      <c r="J28" s="154" t="s">
        <v>1622</v>
      </c>
    </row>
    <row r="29" spans="1:10">
      <c r="A29" s="119" t="s">
        <v>871</v>
      </c>
      <c r="B29" s="120" t="s">
        <v>1623</v>
      </c>
      <c r="C29" s="126" t="s">
        <v>1624</v>
      </c>
      <c r="D29" s="121" t="s">
        <v>1625</v>
      </c>
      <c r="E29" s="144">
        <v>13</v>
      </c>
      <c r="F29" s="145">
        <v>26</v>
      </c>
      <c r="G29" s="146">
        <v>1.29</v>
      </c>
      <c r="H29" s="146">
        <v>0.5</v>
      </c>
      <c r="I29" s="147">
        <f t="shared" si="0"/>
        <v>0.10077519379844961</v>
      </c>
      <c r="J29" s="155" t="s">
        <v>1626</v>
      </c>
    </row>
    <row r="30" spans="1:10">
      <c r="A30" s="106" t="s">
        <v>1627</v>
      </c>
      <c r="B30" s="1194" t="s">
        <v>1628</v>
      </c>
      <c r="C30" s="123" t="s">
        <v>1629</v>
      </c>
      <c r="D30" s="104" t="s">
        <v>1630</v>
      </c>
      <c r="E30" s="132">
        <v>2.2000000000000002</v>
      </c>
      <c r="F30" s="148"/>
      <c r="G30" s="148"/>
      <c r="H30" s="148"/>
      <c r="I30" s="148"/>
      <c r="J30" s="152" t="s">
        <v>1631</v>
      </c>
    </row>
    <row r="31" spans="1:10" ht="15.75" thickBot="1">
      <c r="A31" s="111" t="s">
        <v>1632</v>
      </c>
      <c r="B31" s="112" t="s">
        <v>1628</v>
      </c>
      <c r="C31" s="127" t="s">
        <v>1629</v>
      </c>
      <c r="D31" s="113" t="s">
        <v>1630</v>
      </c>
      <c r="E31" s="149">
        <v>1.5</v>
      </c>
      <c r="F31" s="150"/>
      <c r="G31" s="150"/>
      <c r="H31" s="150"/>
      <c r="I31" s="150"/>
      <c r="J31" s="156" t="s">
        <v>1633</v>
      </c>
    </row>
    <row r="33" spans="1:6" ht="21.95" customHeight="1">
      <c r="A33" s="1562" t="s">
        <v>1634</v>
      </c>
      <c r="B33" s="1562"/>
      <c r="C33" s="1562"/>
      <c r="D33" s="1562"/>
      <c r="E33" s="1562"/>
      <c r="F33" s="1562"/>
    </row>
    <row r="34" spans="1:6" ht="30" customHeight="1">
      <c r="A34" s="1560" t="s">
        <v>1635</v>
      </c>
      <c r="B34" s="1560"/>
      <c r="C34" s="1560"/>
      <c r="D34" s="1560"/>
      <c r="E34" s="1560"/>
      <c r="F34" s="1560"/>
    </row>
    <row r="35" spans="1:6" ht="15.75" thickBot="1">
      <c r="A35" s="1210"/>
      <c r="B35" s="1210"/>
      <c r="C35" s="1210"/>
      <c r="D35" s="1210"/>
      <c r="E35" s="1210"/>
      <c r="F35" s="1210"/>
    </row>
    <row r="36" spans="1:6" ht="21.95" customHeight="1" thickBot="1">
      <c r="A36" s="1564" t="s">
        <v>1636</v>
      </c>
      <c r="B36" s="1565"/>
      <c r="C36" s="1565"/>
      <c r="D36" s="1566"/>
      <c r="E36" s="1210"/>
      <c r="F36" s="1210"/>
    </row>
    <row r="37" spans="1:6" ht="30" customHeight="1">
      <c r="A37" s="1567" t="s">
        <v>1637</v>
      </c>
      <c r="B37" s="1568"/>
      <c r="C37" s="1568"/>
      <c r="D37" s="1569"/>
      <c r="E37" s="1210"/>
      <c r="F37" s="1210"/>
    </row>
    <row r="38" spans="1:6">
      <c r="A38" s="106"/>
      <c r="B38" s="160" t="s">
        <v>388</v>
      </c>
      <c r="C38" s="160" t="s">
        <v>228</v>
      </c>
      <c r="D38" s="165" t="s">
        <v>873</v>
      </c>
      <c r="E38" s="1210"/>
      <c r="F38" s="1210"/>
    </row>
    <row r="39" spans="1:6">
      <c r="A39" s="106" t="s">
        <v>1585</v>
      </c>
      <c r="B39" s="161">
        <f>MIN(E19:E21)</f>
        <v>0.4</v>
      </c>
      <c r="C39" s="161">
        <f>MAX(E19:E21)</f>
        <v>1.22</v>
      </c>
      <c r="D39" s="166">
        <f>MEDIAN(E19:E21)</f>
        <v>1.07</v>
      </c>
      <c r="E39" s="1210"/>
      <c r="F39" s="1210"/>
    </row>
    <row r="40" spans="1:6">
      <c r="A40" s="106" t="s">
        <v>1586</v>
      </c>
      <c r="B40" s="162">
        <f>MIN(F19:F21)</f>
        <v>1.2</v>
      </c>
      <c r="C40" s="162">
        <f>MAX(F19:F21)</f>
        <v>2.9</v>
      </c>
      <c r="D40" s="167">
        <f>MEDIAN(F19:F21)</f>
        <v>2.4</v>
      </c>
      <c r="E40" s="1210"/>
      <c r="F40" s="1210"/>
    </row>
    <row r="41" spans="1:6">
      <c r="A41" s="172" t="s">
        <v>1638</v>
      </c>
      <c r="B41" s="173"/>
      <c r="C41" s="173"/>
      <c r="D41" s="174"/>
      <c r="E41" s="1210"/>
      <c r="F41" s="1210"/>
    </row>
    <row r="42" spans="1:6">
      <c r="A42" s="106" t="s">
        <v>1639</v>
      </c>
      <c r="B42" s="163">
        <f>B39*$B$6</f>
        <v>208.24</v>
      </c>
      <c r="C42" s="163">
        <f>C39*$B$6</f>
        <v>635.13200000000006</v>
      </c>
      <c r="D42" s="168">
        <f>D39*$B$6</f>
        <v>557.04200000000003</v>
      </c>
      <c r="E42" s="1210"/>
      <c r="F42" s="1210"/>
    </row>
    <row r="43" spans="1:6">
      <c r="A43" s="106" t="s">
        <v>1640</v>
      </c>
      <c r="B43" s="163">
        <f>B39*$B$7</f>
        <v>440</v>
      </c>
      <c r="C43" s="163">
        <f>C39*$B$7</f>
        <v>1342</v>
      </c>
      <c r="D43" s="168">
        <f>D39*$B$7</f>
        <v>1177</v>
      </c>
      <c r="E43" s="1210"/>
      <c r="F43" s="1210"/>
    </row>
    <row r="44" spans="1:6">
      <c r="A44" s="106" t="s">
        <v>1641</v>
      </c>
      <c r="B44" s="163">
        <f>B40*$B$9</f>
        <v>468.54</v>
      </c>
      <c r="C44" s="163">
        <f>C40*$B$9</f>
        <v>1132.3050000000001</v>
      </c>
      <c r="D44" s="168">
        <f>D40*$B$9</f>
        <v>937.08</v>
      </c>
      <c r="E44" s="1210"/>
      <c r="F44" s="1210"/>
    </row>
    <row r="45" spans="1:6" ht="15.75" thickBot="1">
      <c r="A45" s="169" t="s">
        <v>1642</v>
      </c>
      <c r="B45" s="170">
        <f>B40*$B$10</f>
        <v>990</v>
      </c>
      <c r="C45" s="170">
        <f>C40*$B$10</f>
        <v>2392.5</v>
      </c>
      <c r="D45" s="171">
        <f>D40*$B$10</f>
        <v>1980</v>
      </c>
      <c r="E45" s="1210"/>
      <c r="F45" s="1210"/>
    </row>
    <row r="46" spans="1:6" ht="15.75" thickBot="1">
      <c r="A46" s="1210"/>
      <c r="B46" s="158"/>
      <c r="C46" s="158"/>
      <c r="D46" s="159"/>
      <c r="E46" s="1210"/>
      <c r="F46" s="1210"/>
    </row>
    <row r="47" spans="1:6" ht="21.95" customHeight="1" thickBot="1">
      <c r="A47" s="1570" t="s">
        <v>1643</v>
      </c>
      <c r="B47" s="1571"/>
      <c r="C47" s="1571"/>
      <c r="D47" s="1572"/>
      <c r="E47" s="1210"/>
      <c r="F47" s="1210"/>
    </row>
    <row r="48" spans="1:6" ht="30" customHeight="1">
      <c r="A48" s="1567" t="s">
        <v>1644</v>
      </c>
      <c r="B48" s="1568"/>
      <c r="C48" s="1568"/>
      <c r="D48" s="1569"/>
      <c r="E48" s="1210"/>
      <c r="F48" s="1210"/>
    </row>
    <row r="49" spans="1:4">
      <c r="A49" s="106"/>
      <c r="B49" s="160" t="s">
        <v>388</v>
      </c>
      <c r="C49" s="160" t="s">
        <v>228</v>
      </c>
      <c r="D49" s="165" t="s">
        <v>873</v>
      </c>
    </row>
    <row r="50" spans="1:4">
      <c r="A50" s="106" t="s">
        <v>1585</v>
      </c>
      <c r="B50" s="161">
        <f>MIN(E22:E23)</f>
        <v>3.02</v>
      </c>
      <c r="C50" s="161">
        <f>MAX(E22:E23)</f>
        <v>3.66</v>
      </c>
      <c r="D50" s="166">
        <f>MEDIAN(E22:E23)</f>
        <v>3.34</v>
      </c>
    </row>
    <row r="51" spans="1:4">
      <c r="A51" s="106" t="s">
        <v>1586</v>
      </c>
      <c r="B51" s="162">
        <f>MIN(F22:F23)</f>
        <v>6.9</v>
      </c>
      <c r="C51" s="162">
        <f>MAX(F22:F23)</f>
        <v>11.4</v>
      </c>
      <c r="D51" s="167">
        <f>MEDIAN(F22:F23)</f>
        <v>9.15</v>
      </c>
    </row>
    <row r="52" spans="1:4">
      <c r="A52" s="172" t="s">
        <v>1638</v>
      </c>
      <c r="B52" s="173"/>
      <c r="C52" s="173"/>
      <c r="D52" s="174"/>
    </row>
    <row r="53" spans="1:4">
      <c r="A53" s="106" t="s">
        <v>1639</v>
      </c>
      <c r="B53" s="163">
        <f>B50*$B$6</f>
        <v>1572.212</v>
      </c>
      <c r="C53" s="163">
        <f>C50*$B$6</f>
        <v>1905.3960000000002</v>
      </c>
      <c r="D53" s="168">
        <f>D50*$B$6</f>
        <v>1738.8040000000001</v>
      </c>
    </row>
    <row r="54" spans="1:4">
      <c r="A54" s="106" t="s">
        <v>1640</v>
      </c>
      <c r="B54" s="163">
        <f>B50*$B$7</f>
        <v>3322</v>
      </c>
      <c r="C54" s="163">
        <f>C50*$B$7</f>
        <v>4026</v>
      </c>
      <c r="D54" s="168">
        <f>D50*$B$7</f>
        <v>3674</v>
      </c>
    </row>
    <row r="55" spans="1:4">
      <c r="A55" s="106" t="s">
        <v>1641</v>
      </c>
      <c r="B55" s="163">
        <f>B51*$B$9</f>
        <v>2694.1050000000005</v>
      </c>
      <c r="C55" s="163">
        <f>C51*$B$9</f>
        <v>4451.130000000001</v>
      </c>
      <c r="D55" s="168">
        <f>D51*$B$9</f>
        <v>3572.6175000000007</v>
      </c>
    </row>
    <row r="56" spans="1:4" ht="15.75" thickBot="1">
      <c r="A56" s="169" t="s">
        <v>1642</v>
      </c>
      <c r="B56" s="170">
        <f>B51*$B$10</f>
        <v>5692.5</v>
      </c>
      <c r="C56" s="170">
        <f>C51*$B$10</f>
        <v>9405</v>
      </c>
      <c r="D56" s="171">
        <f>D51*$B$10</f>
        <v>7548.75</v>
      </c>
    </row>
    <row r="57" spans="1:4" ht="15.75" thickBot="1">
      <c r="A57" s="1210"/>
      <c r="B57" s="158"/>
      <c r="C57" s="158"/>
      <c r="D57" s="159"/>
    </row>
    <row r="58" spans="1:4" ht="21.95" customHeight="1" thickBot="1">
      <c r="A58" s="1573" t="s">
        <v>1645</v>
      </c>
      <c r="B58" s="1574"/>
      <c r="C58" s="1574"/>
      <c r="D58" s="1575"/>
    </row>
    <row r="59" spans="1:4" ht="30" customHeight="1">
      <c r="A59" s="1567" t="s">
        <v>1646</v>
      </c>
      <c r="B59" s="1568"/>
      <c r="C59" s="1568"/>
      <c r="D59" s="1569"/>
    </row>
    <row r="60" spans="1:4">
      <c r="A60" s="106"/>
      <c r="B60" s="160" t="s">
        <v>388</v>
      </c>
      <c r="C60" s="160" t="s">
        <v>228</v>
      </c>
      <c r="D60" s="165" t="s">
        <v>873</v>
      </c>
    </row>
    <row r="61" spans="1:4">
      <c r="A61" s="106" t="s">
        <v>1585</v>
      </c>
      <c r="B61" s="161">
        <f>MIN(E24:E27)</f>
        <v>4.24</v>
      </c>
      <c r="C61" s="161">
        <f>MAX(E24:E27)</f>
        <v>5.96</v>
      </c>
      <c r="D61" s="166">
        <f>MEDIAN(E24:E27)</f>
        <v>4.9400000000000004</v>
      </c>
    </row>
    <row r="62" spans="1:4">
      <c r="A62" s="106" t="s">
        <v>1586</v>
      </c>
      <c r="B62" s="162">
        <f>MIN(F24:F27)</f>
        <v>6.5</v>
      </c>
      <c r="C62" s="162">
        <f>MAX(F24:F27)</f>
        <v>9.5</v>
      </c>
      <c r="D62" s="167">
        <f>MEDIAN(F24:F27)</f>
        <v>8</v>
      </c>
    </row>
    <row r="63" spans="1:4">
      <c r="A63" s="172" t="s">
        <v>1638</v>
      </c>
      <c r="B63" s="173"/>
      <c r="C63" s="173"/>
      <c r="D63" s="174"/>
    </row>
    <row r="64" spans="1:4">
      <c r="A64" s="106" t="s">
        <v>1639</v>
      </c>
      <c r="B64" s="163">
        <f>B61*$B$6</f>
        <v>2207.3440000000001</v>
      </c>
      <c r="C64" s="163">
        <f>C61*$B$6</f>
        <v>3102.7760000000003</v>
      </c>
      <c r="D64" s="168">
        <f>D61*$B$6</f>
        <v>2571.7640000000001</v>
      </c>
    </row>
    <row r="65" spans="1:6">
      <c r="A65" s="106" t="s">
        <v>1640</v>
      </c>
      <c r="B65" s="163">
        <f>B61*$B$7</f>
        <v>4664</v>
      </c>
      <c r="C65" s="163">
        <f>C61*$B$7</f>
        <v>6556</v>
      </c>
      <c r="D65" s="168">
        <f>D61*$B$7</f>
        <v>5434</v>
      </c>
      <c r="E65" s="1210"/>
      <c r="F65" s="1210"/>
    </row>
    <row r="66" spans="1:6">
      <c r="A66" s="106" t="s">
        <v>1641</v>
      </c>
      <c r="B66" s="163">
        <f>B62*$B$9</f>
        <v>2537.9250000000002</v>
      </c>
      <c r="C66" s="163">
        <f>C62*$B$9</f>
        <v>3709.2750000000005</v>
      </c>
      <c r="D66" s="168">
        <f>D62*$B$9</f>
        <v>3123.6000000000004</v>
      </c>
      <c r="E66" s="1210"/>
      <c r="F66" s="1210"/>
    </row>
    <row r="67" spans="1:6" ht="15.75" thickBot="1">
      <c r="A67" s="169" t="s">
        <v>1642</v>
      </c>
      <c r="B67" s="170">
        <f>B62*$B$10</f>
        <v>5362.5</v>
      </c>
      <c r="C67" s="170">
        <f>C62*$B$10</f>
        <v>7837.5</v>
      </c>
      <c r="D67" s="171">
        <f>D62*$B$10</f>
        <v>6600</v>
      </c>
      <c r="E67" s="1210"/>
      <c r="F67" s="1210"/>
    </row>
    <row r="68" spans="1:6">
      <c r="A68" s="1210"/>
      <c r="B68" s="158"/>
      <c r="C68" s="158"/>
      <c r="D68" s="159"/>
      <c r="E68" s="1210"/>
      <c r="F68" s="1210"/>
    </row>
    <row r="69" spans="1:6" ht="21.95" customHeight="1">
      <c r="A69" s="1562" t="s">
        <v>1647</v>
      </c>
      <c r="B69" s="1563"/>
      <c r="C69" s="1563"/>
      <c r="D69" s="1563"/>
      <c r="E69" s="1562"/>
      <c r="F69" s="1562"/>
    </row>
    <row r="70" spans="1:6" ht="15.75" thickBot="1">
      <c r="A70" s="1210"/>
      <c r="B70" s="1210"/>
      <c r="C70" s="1210"/>
      <c r="D70" s="1210"/>
      <c r="E70" s="1210"/>
      <c r="F70" s="1210"/>
    </row>
    <row r="71" spans="1:6">
      <c r="A71" s="175" t="s">
        <v>1648</v>
      </c>
      <c r="B71" s="176">
        <f>MIN(B42:B45)</f>
        <v>208.24</v>
      </c>
      <c r="C71" s="1210"/>
      <c r="D71" s="1210"/>
      <c r="E71" s="1210"/>
      <c r="F71" s="1210"/>
    </row>
    <row r="72" spans="1:6" ht="15.75" thickBot="1">
      <c r="A72" s="177" t="s">
        <v>1649</v>
      </c>
      <c r="B72" s="178">
        <f>MAX(C56,C67)</f>
        <v>9405</v>
      </c>
      <c r="C72" s="1210"/>
      <c r="D72" s="1210"/>
      <c r="E72" s="1210"/>
      <c r="F72" s="1210"/>
    </row>
    <row r="73" spans="1:6" ht="15.75" thickBot="1">
      <c r="A73" s="179" t="s">
        <v>1650</v>
      </c>
      <c r="B73" s="180">
        <f>D55</f>
        <v>3572.6175000000007</v>
      </c>
      <c r="C73" s="1210"/>
      <c r="D73" s="1210"/>
      <c r="E73" s="1210"/>
      <c r="F73" s="1210"/>
    </row>
    <row r="74" spans="1:6" ht="15.75" thickBot="1">
      <c r="A74" s="169" t="s">
        <v>1651</v>
      </c>
      <c r="B74" s="171">
        <f>B13</f>
        <v>10100</v>
      </c>
      <c r="C74" s="1210"/>
      <c r="D74" s="1210"/>
      <c r="E74" s="1210"/>
      <c r="F74" s="1210"/>
    </row>
    <row r="76" spans="1:6" ht="21.95" customHeight="1">
      <c r="A76" s="1562" t="s">
        <v>1652</v>
      </c>
      <c r="B76" s="1562"/>
      <c r="C76" s="1562"/>
      <c r="D76" s="1562"/>
      <c r="E76" s="1562"/>
      <c r="F76" s="1562"/>
    </row>
    <row r="77" spans="1:6" ht="30" customHeight="1">
      <c r="A77" s="1560" t="s">
        <v>1653</v>
      </c>
      <c r="B77" s="1560"/>
      <c r="C77" s="1560"/>
      <c r="D77" s="1560"/>
      <c r="E77" s="1560"/>
      <c r="F77" s="1560"/>
    </row>
    <row r="79" spans="1:6">
      <c r="A79" s="91" t="s">
        <v>1654</v>
      </c>
      <c r="B79" s="181">
        <v>12060</v>
      </c>
      <c r="C79" s="1210"/>
      <c r="D79" s="1210"/>
      <c r="E79" s="1210"/>
      <c r="F79" s="1210"/>
    </row>
    <row r="80" spans="1:6">
      <c r="A80" s="92" t="s">
        <v>1655</v>
      </c>
      <c r="B80" s="97">
        <v>927</v>
      </c>
      <c r="C80" s="1210"/>
      <c r="D80" s="1210"/>
      <c r="E80" s="1210"/>
      <c r="F80" s="1210"/>
    </row>
    <row r="81" spans="1:14">
      <c r="A81" s="92" t="s">
        <v>1656</v>
      </c>
      <c r="B81" s="182">
        <f>B79/B80</f>
        <v>13.009708737864077</v>
      </c>
      <c r="C81" s="1210"/>
      <c r="D81" s="1210"/>
      <c r="E81" s="1210"/>
      <c r="F81" s="1210"/>
      <c r="G81" s="1210"/>
      <c r="H81" s="1210"/>
      <c r="I81" s="1210"/>
      <c r="J81" s="1210"/>
      <c r="K81" s="1210"/>
      <c r="L81" s="1210"/>
      <c r="M81" s="1210"/>
      <c r="N81" s="1210"/>
    </row>
    <row r="82" spans="1:14">
      <c r="A82" s="92" t="s">
        <v>1657</v>
      </c>
      <c r="B82" s="183">
        <f>B79/(B80*0.5)</f>
        <v>26.019417475728154</v>
      </c>
      <c r="C82" s="1210"/>
      <c r="D82" s="1210"/>
      <c r="E82" s="1210"/>
      <c r="F82" s="1210"/>
      <c r="G82" s="1210"/>
      <c r="H82" s="1210"/>
      <c r="I82" s="1210"/>
      <c r="J82" s="1210"/>
      <c r="K82" s="1210"/>
      <c r="L82" s="1210"/>
      <c r="M82" s="1210"/>
      <c r="N82" s="1210"/>
    </row>
    <row r="83" spans="1:14">
      <c r="A83" s="92" t="s">
        <v>1658</v>
      </c>
      <c r="B83" s="182">
        <f>B13/B6</f>
        <v>19.400691509796388</v>
      </c>
      <c r="C83" s="1210"/>
      <c r="D83" s="1210"/>
      <c r="E83" s="1210"/>
      <c r="F83" s="1210"/>
      <c r="G83" s="1210"/>
      <c r="H83" s="1210"/>
      <c r="I83" s="1210"/>
      <c r="J83" s="1210"/>
      <c r="K83" s="1210"/>
      <c r="L83" s="1210"/>
      <c r="M83" s="1210"/>
      <c r="N83" s="1210"/>
    </row>
    <row r="84" spans="1:14">
      <c r="A84" s="92" t="s">
        <v>1659</v>
      </c>
      <c r="B84" s="183">
        <f>B13/B9</f>
        <v>25.867588679728517</v>
      </c>
      <c r="C84" s="1210"/>
      <c r="D84" s="1210"/>
      <c r="E84" s="1210"/>
      <c r="F84" s="1210"/>
      <c r="G84" s="1210"/>
      <c r="H84" s="1210"/>
      <c r="I84" s="1210"/>
      <c r="J84" s="1210"/>
      <c r="K84" s="1210"/>
      <c r="L84" s="1210"/>
      <c r="M84" s="1210"/>
      <c r="N84" s="1210"/>
    </row>
    <row r="85" spans="1:14" ht="84.75">
      <c r="A85" s="184" t="s">
        <v>1569</v>
      </c>
      <c r="B85" s="185" t="s">
        <v>1660</v>
      </c>
      <c r="C85" s="1210"/>
      <c r="D85" s="1210"/>
      <c r="E85" s="1210"/>
      <c r="F85" s="1210"/>
      <c r="G85" s="1210"/>
      <c r="H85" s="1210"/>
      <c r="I85" s="1210"/>
      <c r="J85" s="1210"/>
      <c r="K85" s="1210"/>
      <c r="L85" s="1210"/>
      <c r="M85" s="1210"/>
      <c r="N85" s="1210"/>
    </row>
    <row r="87" spans="1:14" ht="21.95" customHeight="1">
      <c r="A87" s="1562" t="s">
        <v>1661</v>
      </c>
      <c r="B87" s="1562"/>
      <c r="C87" s="1562"/>
      <c r="D87" s="1562"/>
      <c r="E87" s="1562"/>
      <c r="F87" s="1562"/>
      <c r="G87" s="1210"/>
      <c r="H87" s="1210"/>
      <c r="I87" s="1210"/>
      <c r="J87" s="1210"/>
      <c r="K87" s="1210"/>
      <c r="L87" s="1210"/>
      <c r="M87" s="1210"/>
      <c r="N87" s="1210"/>
    </row>
    <row r="88" spans="1:14" ht="30" customHeight="1" thickBot="1">
      <c r="A88" s="1560" t="s">
        <v>1662</v>
      </c>
      <c r="B88" s="1560"/>
      <c r="C88" s="1560"/>
      <c r="D88" s="1560"/>
      <c r="E88" s="1560"/>
      <c r="F88" s="1560"/>
      <c r="G88" s="1210"/>
      <c r="H88" s="1210"/>
      <c r="I88" s="1210"/>
      <c r="J88" s="1210"/>
      <c r="K88" s="1210"/>
      <c r="L88" s="1210"/>
      <c r="M88" s="1210"/>
      <c r="N88" s="1210"/>
    </row>
    <row r="89" spans="1:14" ht="27">
      <c r="A89" s="186"/>
      <c r="B89" s="187" t="s">
        <v>1663</v>
      </c>
      <c r="C89" s="187" t="s">
        <v>1664</v>
      </c>
      <c r="D89" s="187" t="s">
        <v>1665</v>
      </c>
      <c r="E89" s="187" t="s">
        <v>1666</v>
      </c>
      <c r="F89" s="643" t="s">
        <v>1667</v>
      </c>
      <c r="G89" s="1210"/>
      <c r="H89" s="1210"/>
      <c r="I89" s="1210"/>
      <c r="J89" s="1210"/>
      <c r="K89" s="1210"/>
      <c r="L89" s="1210"/>
      <c r="M89" s="1210"/>
      <c r="N89" s="1210"/>
    </row>
    <row r="90" spans="1:14">
      <c r="A90" s="1210"/>
      <c r="B90" s="1210"/>
      <c r="C90" s="1210"/>
      <c r="D90" s="1210"/>
      <c r="E90" s="1210"/>
      <c r="F90" s="1210"/>
      <c r="G90" s="1210"/>
      <c r="H90" s="1210"/>
      <c r="I90" s="1210"/>
      <c r="J90" s="1210"/>
      <c r="K90" s="1210"/>
      <c r="L90" s="1210"/>
      <c r="M90" s="1210"/>
      <c r="N90" s="1210"/>
    </row>
    <row r="91" spans="1:14">
      <c r="A91" s="1210"/>
      <c r="B91" s="1210"/>
      <c r="C91" s="1210"/>
      <c r="D91" s="1210"/>
      <c r="E91" s="1210"/>
      <c r="F91" s="1210"/>
      <c r="G91" s="1210"/>
      <c r="H91" s="1210"/>
      <c r="I91" s="1210"/>
      <c r="J91" s="1210"/>
      <c r="K91" s="1210"/>
      <c r="L91" s="1210"/>
      <c r="M91" s="1210"/>
      <c r="N91" s="1210"/>
    </row>
    <row r="92" spans="1:14">
      <c r="A92" s="1210"/>
      <c r="B92" s="1210"/>
      <c r="C92" s="1210"/>
      <c r="D92" s="1210"/>
      <c r="E92" s="1210"/>
      <c r="F92" s="1210"/>
      <c r="G92" s="1210"/>
      <c r="H92" s="1210"/>
      <c r="I92" s="1210"/>
      <c r="J92" s="1210"/>
      <c r="K92" s="1210"/>
      <c r="L92" s="1210"/>
      <c r="M92" s="1210"/>
      <c r="N92" s="1210"/>
    </row>
    <row r="93" spans="1:14">
      <c r="A93" s="1210"/>
      <c r="B93" s="1210"/>
      <c r="C93" s="1210"/>
      <c r="D93" s="1210"/>
      <c r="E93" s="1210"/>
      <c r="F93" s="1210"/>
      <c r="G93" s="1210"/>
      <c r="H93" s="1210"/>
      <c r="I93" s="1210"/>
      <c r="J93" s="1210"/>
      <c r="K93" s="1210"/>
      <c r="L93" s="1210"/>
      <c r="M93" s="1210"/>
      <c r="N93" s="1210"/>
    </row>
    <row r="94" spans="1:14">
      <c r="A94" s="1210"/>
      <c r="B94" s="1210"/>
      <c r="C94" s="1210"/>
      <c r="D94" s="1210"/>
      <c r="E94" s="1210"/>
      <c r="F94" s="1210"/>
      <c r="G94" s="1210"/>
      <c r="H94" s="1210"/>
      <c r="I94" s="1210"/>
      <c r="J94" s="1210"/>
      <c r="K94" s="1210"/>
      <c r="L94" s="1210"/>
      <c r="M94" s="1210"/>
      <c r="N94" s="1210"/>
    </row>
    <row r="95" spans="1:14" ht="21.95" customHeight="1">
      <c r="A95" s="1210"/>
      <c r="B95" s="1210"/>
      <c r="C95" s="1210"/>
      <c r="D95" s="1210"/>
      <c r="E95" s="1210"/>
      <c r="F95" s="1210"/>
      <c r="G95" s="1210"/>
      <c r="H95" s="1210"/>
      <c r="I95" s="1210"/>
      <c r="J95" s="1210"/>
      <c r="K95" s="1210"/>
      <c r="L95" s="1210"/>
      <c r="M95" s="1210"/>
      <c r="N95" s="1210"/>
    </row>
    <row r="96" spans="1:14" ht="30" customHeight="1">
      <c r="A96" s="1210"/>
      <c r="B96" s="1210"/>
      <c r="C96" s="1210"/>
      <c r="D96" s="1210"/>
      <c r="E96" s="1210"/>
      <c r="F96" s="1210"/>
      <c r="G96" s="1210"/>
      <c r="H96" s="1210"/>
      <c r="I96" s="1210"/>
      <c r="J96" s="1210"/>
      <c r="K96" s="1210"/>
      <c r="L96" s="1210"/>
      <c r="M96" s="1210"/>
      <c r="N96" s="1210"/>
    </row>
    <row r="97" spans="1:14">
      <c r="A97" s="1210"/>
      <c r="B97" s="1210"/>
      <c r="C97" s="1210"/>
      <c r="D97" s="1210"/>
      <c r="E97" s="1210"/>
      <c r="F97" s="1210"/>
      <c r="G97" s="1210"/>
      <c r="H97" s="1210"/>
      <c r="I97" s="1210"/>
      <c r="J97" s="1210"/>
      <c r="K97" s="1210"/>
      <c r="L97" s="1210"/>
      <c r="M97" s="1210"/>
      <c r="N97" s="1210"/>
    </row>
    <row r="98" spans="1:14">
      <c r="A98" s="1210"/>
      <c r="B98" s="1210"/>
      <c r="C98" s="1210"/>
      <c r="D98" s="1210"/>
      <c r="E98" s="1210"/>
      <c r="F98" s="1210"/>
      <c r="G98" s="1210"/>
      <c r="H98" s="1210"/>
      <c r="I98" s="1210"/>
      <c r="J98" s="1210"/>
      <c r="K98" s="1210"/>
      <c r="L98" s="1210"/>
      <c r="M98" s="1210"/>
      <c r="N98" s="1210"/>
    </row>
    <row r="99" spans="1:14">
      <c r="A99" s="1210"/>
      <c r="B99" s="1210"/>
      <c r="C99" s="1210"/>
      <c r="D99" s="1210"/>
      <c r="E99" s="1210"/>
      <c r="F99" s="1210"/>
      <c r="G99" s="1210"/>
      <c r="H99" s="1210"/>
      <c r="I99" s="1210"/>
      <c r="J99" s="1210"/>
      <c r="K99" s="1210"/>
      <c r="L99" s="1210"/>
      <c r="M99" s="1210"/>
      <c r="N99" s="1210"/>
    </row>
    <row r="100" spans="1:14">
      <c r="A100" s="1210"/>
      <c r="B100" s="1210"/>
      <c r="C100" s="1210"/>
      <c r="D100" s="1210"/>
      <c r="E100" s="1210"/>
      <c r="F100" s="1210"/>
      <c r="G100" s="1210"/>
      <c r="H100" s="1210"/>
      <c r="I100" s="1210"/>
      <c r="J100" s="1210"/>
      <c r="K100" s="1210"/>
      <c r="L100" s="1210"/>
      <c r="M100" s="1210"/>
      <c r="N100" s="1210"/>
    </row>
    <row r="101" spans="1:14">
      <c r="A101" s="1210"/>
      <c r="B101" s="1210"/>
      <c r="C101" s="1210"/>
      <c r="D101" s="1210"/>
      <c r="E101" s="1210"/>
      <c r="F101" s="1210"/>
      <c r="G101" s="1210"/>
      <c r="H101" s="1210"/>
      <c r="I101" s="1210"/>
      <c r="J101" s="1210"/>
      <c r="K101" s="1210"/>
      <c r="L101" s="1210"/>
      <c r="M101" s="1210"/>
      <c r="N101" s="1210"/>
    </row>
    <row r="102" spans="1:14">
      <c r="A102" s="1210"/>
      <c r="B102" s="1210"/>
      <c r="C102" s="1210"/>
      <c r="D102" s="1210"/>
      <c r="E102" s="1210"/>
      <c r="F102" s="1210"/>
      <c r="G102" s="1210"/>
      <c r="H102" s="1210"/>
      <c r="I102" s="1210"/>
      <c r="J102" s="1210"/>
      <c r="K102" s="1210"/>
      <c r="L102" s="1210"/>
      <c r="M102" s="1210"/>
      <c r="N102" s="1210"/>
    </row>
    <row r="103" spans="1:14">
      <c r="A103" s="1210"/>
      <c r="B103" s="1210"/>
      <c r="C103" s="1210"/>
      <c r="D103" s="1210"/>
      <c r="E103" s="1210"/>
      <c r="F103" s="1210"/>
      <c r="G103" s="1210"/>
      <c r="H103" s="1210"/>
      <c r="I103" s="1210"/>
      <c r="J103" s="1210"/>
      <c r="K103" s="1210"/>
      <c r="L103" s="1210"/>
      <c r="M103" s="1210"/>
      <c r="N103" s="1210"/>
    </row>
    <row r="104" spans="1:14" ht="21.95" customHeight="1">
      <c r="A104" s="1210"/>
      <c r="B104" s="1210"/>
      <c r="C104" s="1210"/>
      <c r="D104" s="1210"/>
      <c r="E104" s="1210"/>
      <c r="F104" s="1210"/>
      <c r="G104" s="1210"/>
      <c r="H104" s="1210"/>
      <c r="I104" s="1210"/>
      <c r="J104" s="1210"/>
      <c r="K104" s="1210"/>
      <c r="L104" s="1210"/>
      <c r="M104" s="1210"/>
      <c r="N104" s="1210"/>
    </row>
    <row r="105" spans="1:14" ht="30" customHeight="1">
      <c r="A105" s="1210"/>
      <c r="B105" s="1210"/>
      <c r="C105" s="1210"/>
      <c r="D105" s="1210"/>
      <c r="E105" s="1210"/>
      <c r="F105" s="1210"/>
      <c r="G105" s="1210"/>
      <c r="H105" s="1210"/>
      <c r="I105" s="1210"/>
      <c r="J105" s="1210"/>
      <c r="K105" s="1210"/>
      <c r="L105" s="1210"/>
      <c r="M105" s="1210"/>
      <c r="N105" s="1210"/>
    </row>
    <row r="106" spans="1:14">
      <c r="A106" s="1210"/>
      <c r="B106" s="1210"/>
      <c r="C106" s="1210"/>
      <c r="D106" s="1210"/>
      <c r="E106" s="1210"/>
      <c r="F106" s="1210"/>
      <c r="G106" s="1210"/>
      <c r="H106" s="1210"/>
      <c r="I106" s="1210"/>
      <c r="J106" s="1210"/>
      <c r="K106" s="1210"/>
      <c r="L106" s="1210"/>
      <c r="M106" s="1210"/>
      <c r="N106" s="1210"/>
    </row>
    <row r="107" spans="1:14">
      <c r="A107" s="1210"/>
      <c r="B107" s="1210"/>
      <c r="C107" s="1210"/>
      <c r="D107" s="1210"/>
      <c r="E107" s="1210"/>
      <c r="F107" s="1210"/>
      <c r="G107" s="1210"/>
      <c r="H107" s="1210"/>
      <c r="I107" s="1210"/>
      <c r="J107" s="1210"/>
      <c r="K107" s="1210"/>
      <c r="L107" s="1210"/>
      <c r="M107" s="1210"/>
      <c r="N107" s="1210"/>
    </row>
    <row r="108" spans="1:14">
      <c r="A108" s="1210"/>
      <c r="B108" s="1210"/>
      <c r="C108" s="1210"/>
      <c r="D108" s="1210"/>
      <c r="E108" s="1210"/>
      <c r="F108" s="1210"/>
      <c r="G108" s="1210"/>
      <c r="H108" s="1210"/>
      <c r="I108" s="1210"/>
      <c r="J108" s="1210"/>
      <c r="K108" s="1210"/>
      <c r="L108" s="1210"/>
      <c r="M108" s="1210"/>
      <c r="N108" s="1210"/>
    </row>
    <row r="109" spans="1:14">
      <c r="A109" s="1210"/>
      <c r="B109" s="1210"/>
      <c r="C109" s="1210"/>
      <c r="D109" s="1210"/>
      <c r="E109" s="1210"/>
      <c r="F109" s="1210"/>
      <c r="G109" s="1210"/>
      <c r="H109" s="1210"/>
      <c r="I109" s="1210"/>
      <c r="J109" s="1210"/>
      <c r="K109" s="1210"/>
      <c r="L109" s="1210"/>
      <c r="M109" s="1210"/>
      <c r="N109" s="1210"/>
    </row>
    <row r="110" spans="1:14">
      <c r="A110" s="1210"/>
      <c r="B110" s="1210"/>
      <c r="C110" s="1210"/>
      <c r="D110" s="1210"/>
      <c r="E110" s="1210"/>
      <c r="F110" s="1210"/>
      <c r="G110" s="1210"/>
      <c r="H110" s="1210"/>
      <c r="I110" s="1210"/>
      <c r="J110" s="1210"/>
      <c r="K110" s="1210"/>
      <c r="L110" s="1210"/>
      <c r="M110" s="1210"/>
      <c r="N110" s="1210"/>
    </row>
    <row r="111" spans="1:14">
      <c r="A111" s="1210"/>
      <c r="B111" s="1210"/>
      <c r="C111" s="1210"/>
      <c r="D111" s="1210"/>
      <c r="E111" s="1210"/>
      <c r="F111" s="1210"/>
      <c r="G111" s="1210"/>
      <c r="H111" s="1210"/>
      <c r="I111" s="1210"/>
      <c r="J111" s="1210"/>
      <c r="K111" s="1210"/>
      <c r="L111" s="1210"/>
      <c r="M111" s="1210"/>
      <c r="N111" s="1210"/>
    </row>
    <row r="112" spans="1:14">
      <c r="A112" s="1210"/>
      <c r="B112" s="1210"/>
      <c r="C112" s="1210"/>
      <c r="D112" s="1210"/>
      <c r="E112" s="1210"/>
      <c r="F112" s="1210"/>
      <c r="G112" s="1210"/>
      <c r="H112" s="1210"/>
      <c r="I112" s="1210"/>
      <c r="J112" s="1210"/>
      <c r="K112" s="1210"/>
      <c r="L112" s="1210"/>
      <c r="M112" s="1210"/>
      <c r="N112" s="1210"/>
    </row>
    <row r="113" spans="1:14">
      <c r="A113" s="1210"/>
      <c r="B113" s="1210"/>
      <c r="C113" s="1210"/>
      <c r="D113" s="1210"/>
      <c r="E113" s="1210"/>
      <c r="F113" s="1210"/>
      <c r="G113" s="1210"/>
      <c r="H113" s="1210"/>
      <c r="I113" s="1210"/>
      <c r="J113" s="1210"/>
      <c r="K113" s="1210"/>
      <c r="L113" s="1210"/>
      <c r="M113" s="1210"/>
      <c r="N113" s="1210"/>
    </row>
    <row r="114" spans="1:14">
      <c r="A114" s="1210"/>
      <c r="B114" s="1210"/>
      <c r="C114" s="1210"/>
      <c r="D114" s="1210"/>
      <c r="E114" s="1210"/>
      <c r="F114" s="1210"/>
      <c r="G114" s="1210"/>
      <c r="H114" s="1210"/>
      <c r="I114" s="1210"/>
      <c r="J114" s="1210"/>
      <c r="K114" s="1210"/>
      <c r="L114" s="1210"/>
      <c r="M114" s="1210"/>
      <c r="N114" s="1210"/>
    </row>
    <row r="115" spans="1:14">
      <c r="A115" s="1210"/>
      <c r="B115" s="1210"/>
      <c r="C115" s="1210"/>
      <c r="D115" s="1210"/>
      <c r="E115" s="1210"/>
      <c r="F115" s="1210"/>
      <c r="G115" s="1210"/>
      <c r="H115" s="1210"/>
      <c r="I115" s="1210"/>
      <c r="J115" s="1210"/>
      <c r="K115" s="1210"/>
      <c r="L115" s="1210"/>
      <c r="M115" s="1210"/>
      <c r="N115" s="1210"/>
    </row>
    <row r="116" spans="1:14">
      <c r="A116" s="1210"/>
      <c r="B116" s="1210"/>
      <c r="C116" s="1210"/>
      <c r="D116" s="1210"/>
      <c r="E116" s="1210"/>
      <c r="F116" s="1210"/>
      <c r="G116" s="1210"/>
      <c r="H116" s="1210"/>
      <c r="I116" s="1210"/>
      <c r="J116" s="1210"/>
      <c r="K116" s="1210"/>
      <c r="L116" s="1210"/>
      <c r="M116" s="1210"/>
      <c r="N116" s="1210"/>
    </row>
    <row r="117" spans="1:14">
      <c r="A117" s="1210"/>
      <c r="B117" s="1210"/>
      <c r="C117" s="1210"/>
      <c r="D117" s="1210"/>
      <c r="E117" s="1210"/>
      <c r="F117" s="1210"/>
      <c r="G117" s="1210"/>
      <c r="H117" s="1210"/>
      <c r="I117" s="1210"/>
      <c r="J117" s="1210"/>
      <c r="K117" s="1210"/>
      <c r="L117" s="1210"/>
      <c r="M117" s="1210"/>
      <c r="N117" s="1210"/>
    </row>
    <row r="118" spans="1:14">
      <c r="A118" s="1210"/>
      <c r="B118" s="1210"/>
      <c r="C118" s="1210"/>
      <c r="D118" s="1210"/>
      <c r="E118" s="1210"/>
      <c r="F118" s="1210"/>
      <c r="G118" s="1210"/>
      <c r="H118" s="1210"/>
      <c r="I118" s="1210"/>
      <c r="J118" s="1210"/>
      <c r="K118" s="1210"/>
      <c r="L118" s="1210"/>
      <c r="M118" s="1210"/>
      <c r="N118" s="1210"/>
    </row>
    <row r="119" spans="1:14">
      <c r="A119" s="1210"/>
      <c r="B119" s="1210"/>
      <c r="C119" s="1210"/>
      <c r="D119" s="1210"/>
      <c r="E119" s="1210"/>
      <c r="F119" s="1210"/>
      <c r="G119" s="1210"/>
      <c r="H119" s="1210"/>
      <c r="I119" s="1210"/>
      <c r="J119" s="1210"/>
      <c r="K119" s="1210"/>
      <c r="L119" s="1210"/>
      <c r="M119" s="1210"/>
      <c r="N119" s="1210"/>
    </row>
    <row r="120" spans="1:14">
      <c r="A120" s="1210"/>
      <c r="B120" s="1210"/>
      <c r="C120" s="1210"/>
      <c r="D120" s="1210"/>
      <c r="E120" s="1210"/>
      <c r="F120" s="1210"/>
      <c r="G120" s="1210"/>
      <c r="H120" s="1210"/>
      <c r="I120" s="1210"/>
      <c r="J120" s="1210"/>
      <c r="K120" s="1210"/>
      <c r="L120" s="1210"/>
      <c r="M120" s="1210"/>
      <c r="N120" s="1210"/>
    </row>
    <row r="121" spans="1:14">
      <c r="A121" s="1210"/>
      <c r="B121" s="1210"/>
      <c r="C121" s="1210"/>
      <c r="D121" s="1210"/>
      <c r="E121" s="1210"/>
      <c r="F121" s="1210"/>
      <c r="G121" s="1210"/>
      <c r="H121" s="1210"/>
      <c r="I121" s="1210"/>
      <c r="J121" s="1210"/>
      <c r="K121" s="1210"/>
      <c r="L121" s="1210"/>
      <c r="M121" s="1210"/>
      <c r="N121" s="1210"/>
    </row>
    <row r="122" spans="1:14">
      <c r="A122" s="1210"/>
      <c r="B122" s="1210"/>
      <c r="C122" s="1210"/>
      <c r="D122" s="1210"/>
      <c r="E122" s="1210"/>
      <c r="F122" s="1210"/>
      <c r="G122" s="1210"/>
      <c r="H122" s="1210"/>
      <c r="I122" s="1210"/>
      <c r="J122" s="1210"/>
      <c r="K122" s="1210"/>
      <c r="L122" s="1210"/>
      <c r="M122" s="1210"/>
      <c r="N122" s="1210"/>
    </row>
    <row r="123" spans="1:14">
      <c r="A123" s="1210"/>
      <c r="B123" s="1210"/>
      <c r="C123" s="1210"/>
      <c r="D123" s="1210"/>
      <c r="E123" s="1210"/>
      <c r="F123" s="1210"/>
      <c r="G123" s="1210"/>
      <c r="H123" s="1210"/>
      <c r="I123" s="1210"/>
      <c r="J123" s="1210"/>
      <c r="K123" s="1210"/>
      <c r="L123" s="1210"/>
      <c r="M123" s="1210"/>
      <c r="N123" s="1210"/>
    </row>
    <row r="124" spans="1:14">
      <c r="A124" s="1210"/>
      <c r="B124" s="1210"/>
      <c r="C124" s="1210"/>
      <c r="D124" s="1210"/>
      <c r="E124" s="1210"/>
      <c r="F124" s="1210"/>
      <c r="G124" s="1210"/>
      <c r="H124" s="1210"/>
      <c r="I124" s="1210"/>
      <c r="J124" s="1210"/>
      <c r="K124" s="1210"/>
      <c r="L124" s="1210"/>
      <c r="M124" s="1210"/>
      <c r="N124" s="1210"/>
    </row>
    <row r="125" spans="1:14">
      <c r="A125" s="1210"/>
      <c r="B125" s="1210"/>
      <c r="C125" s="1210"/>
      <c r="D125" s="1210"/>
      <c r="E125" s="1210"/>
      <c r="F125" s="1210"/>
      <c r="G125" s="1210"/>
      <c r="H125" s="1210"/>
      <c r="I125" s="1210"/>
      <c r="J125" s="1210"/>
      <c r="K125" s="1210"/>
      <c r="L125" s="1210"/>
      <c r="M125" s="1210"/>
      <c r="N125" s="1210"/>
    </row>
    <row r="126" spans="1:14" ht="21.95" customHeight="1">
      <c r="A126" s="1210"/>
      <c r="B126" s="1210"/>
      <c r="C126" s="1210"/>
      <c r="D126" s="1210"/>
      <c r="E126" s="1210"/>
      <c r="F126" s="1210"/>
      <c r="G126" s="1210"/>
      <c r="H126" s="1210"/>
      <c r="I126" s="1210"/>
      <c r="J126" s="1210"/>
      <c r="K126" s="1210"/>
      <c r="L126" s="1210"/>
      <c r="M126" s="1210"/>
      <c r="N126" s="1210"/>
    </row>
    <row r="127" spans="1:14">
      <c r="A127" s="1210"/>
      <c r="B127" s="1210"/>
      <c r="C127" s="1210"/>
      <c r="D127" s="1210"/>
      <c r="E127" s="1210"/>
      <c r="F127" s="1210"/>
      <c r="G127" s="1210"/>
      <c r="H127" s="1210"/>
      <c r="I127" s="1210"/>
      <c r="J127" s="1210"/>
      <c r="K127" s="1210"/>
      <c r="L127" s="1210"/>
      <c r="M127" s="1210"/>
      <c r="N127" s="1210"/>
    </row>
    <row r="128" spans="1:14" ht="36" customHeight="1">
      <c r="A128" s="1210"/>
      <c r="B128" s="1210"/>
      <c r="C128" s="1210"/>
      <c r="D128" s="1210"/>
      <c r="E128" s="1210"/>
      <c r="F128" s="1210"/>
      <c r="G128" s="1210"/>
      <c r="H128" s="1210"/>
      <c r="I128" s="1210"/>
      <c r="J128" s="1210"/>
      <c r="K128" s="1210"/>
      <c r="L128" s="1210"/>
      <c r="M128" s="1210"/>
      <c r="N128" s="1210"/>
    </row>
    <row r="129" spans="1:14" ht="36" customHeight="1">
      <c r="A129" s="1210"/>
      <c r="B129" s="1210"/>
      <c r="C129" s="1210"/>
      <c r="D129" s="1210"/>
      <c r="E129" s="1210"/>
      <c r="F129" s="1210"/>
      <c r="G129" s="1210"/>
      <c r="H129" s="1210"/>
      <c r="I129" s="1210"/>
      <c r="J129" s="1210"/>
      <c r="K129" s="1210"/>
      <c r="L129" s="1210"/>
      <c r="M129" s="1210"/>
      <c r="N129" s="1210"/>
    </row>
    <row r="130" spans="1:14" ht="36" customHeight="1">
      <c r="A130" s="1210"/>
      <c r="B130" s="1210"/>
      <c r="C130" s="1210"/>
      <c r="D130" s="1210"/>
      <c r="E130" s="1210"/>
      <c r="F130" s="1210"/>
      <c r="G130" s="1210"/>
      <c r="H130" s="1210"/>
      <c r="I130" s="1210"/>
      <c r="J130" s="1210"/>
      <c r="K130" s="1210"/>
      <c r="L130" s="1210"/>
      <c r="M130" s="1210"/>
      <c r="N130" s="1210"/>
    </row>
    <row r="131" spans="1:14" ht="36" customHeight="1">
      <c r="A131" s="1210"/>
      <c r="B131" s="1210"/>
      <c r="C131" s="1210"/>
      <c r="D131" s="1210"/>
      <c r="E131" s="1210"/>
      <c r="F131" s="1210"/>
      <c r="G131" s="1210"/>
      <c r="H131" s="1210"/>
      <c r="I131" s="1210"/>
      <c r="J131" s="1210"/>
      <c r="K131" s="1210"/>
      <c r="L131" s="1210"/>
      <c r="M131" s="1210"/>
      <c r="N131" s="1210"/>
    </row>
    <row r="132" spans="1:14" ht="36" customHeight="1">
      <c r="A132" s="1210"/>
      <c r="B132" s="1210"/>
      <c r="C132" s="1210"/>
      <c r="D132" s="1210"/>
      <c r="E132" s="1210"/>
      <c r="F132" s="1210"/>
      <c r="G132" s="1210"/>
      <c r="H132" s="1210"/>
      <c r="I132" s="1210"/>
      <c r="J132" s="1210"/>
      <c r="K132" s="1210"/>
      <c r="L132" s="1210"/>
      <c r="M132" s="1210"/>
      <c r="N132" s="1210"/>
    </row>
    <row r="133" spans="1:14" ht="36" customHeight="1">
      <c r="A133" s="1210"/>
      <c r="B133" s="1210"/>
      <c r="C133" s="1210"/>
      <c r="D133" s="1210"/>
      <c r="E133" s="1210"/>
      <c r="F133" s="1210"/>
      <c r="G133" s="1210"/>
      <c r="H133" s="1210"/>
      <c r="I133" s="1210"/>
      <c r="J133" s="1210"/>
      <c r="K133" s="1210"/>
      <c r="L133" s="1210"/>
      <c r="M133" s="1210"/>
      <c r="N133" s="1210"/>
    </row>
    <row r="134" spans="1:14" ht="36" customHeight="1">
      <c r="A134" s="1210"/>
      <c r="B134" s="1210"/>
      <c r="C134" s="1210"/>
      <c r="D134" s="1210"/>
      <c r="E134" s="1210"/>
      <c r="F134" s="1210"/>
      <c r="G134" s="1210"/>
      <c r="H134" s="1210"/>
      <c r="I134" s="1210"/>
      <c r="J134" s="1210"/>
      <c r="K134" s="1210"/>
      <c r="L134" s="1210"/>
      <c r="M134" s="1210"/>
      <c r="N134" s="1210"/>
    </row>
    <row r="135" spans="1:14">
      <c r="A135" s="1210"/>
      <c r="B135" s="1210"/>
      <c r="C135" s="1210"/>
      <c r="D135" s="1210"/>
      <c r="E135" s="1210"/>
      <c r="F135" s="1210"/>
      <c r="G135" s="1210"/>
      <c r="H135" s="1210"/>
      <c r="I135" s="1210"/>
      <c r="J135" s="1210"/>
      <c r="K135" s="1210"/>
      <c r="L135" s="1210"/>
      <c r="M135" s="1210"/>
      <c r="N135" s="1210"/>
    </row>
    <row r="136" spans="1:14">
      <c r="A136" s="1210"/>
      <c r="B136" s="1210"/>
      <c r="C136" s="1210"/>
      <c r="D136" s="1210"/>
      <c r="E136" s="1210"/>
      <c r="F136" s="1210"/>
      <c r="G136" s="1210"/>
      <c r="H136" s="1210"/>
      <c r="I136" s="1210"/>
      <c r="J136" s="1210"/>
      <c r="K136" s="1210"/>
      <c r="L136" s="1210"/>
      <c r="M136" s="1210"/>
      <c r="N136" s="1210"/>
    </row>
    <row r="137" spans="1:14">
      <c r="A137" s="1210"/>
      <c r="B137" s="1210"/>
      <c r="C137" s="1210"/>
      <c r="D137" s="1210"/>
      <c r="E137" s="1210"/>
      <c r="F137" s="1210"/>
      <c r="G137" s="1210"/>
      <c r="H137" s="1210"/>
      <c r="I137" s="1210"/>
      <c r="J137" s="1210"/>
      <c r="K137" s="1210"/>
      <c r="L137" s="1210"/>
      <c r="M137" s="1210"/>
      <c r="N137" s="1210"/>
    </row>
    <row r="138" spans="1:14">
      <c r="A138" s="1210"/>
      <c r="B138" s="1210"/>
      <c r="C138" s="1210"/>
      <c r="D138" s="1210"/>
      <c r="E138" s="1210"/>
      <c r="F138" s="1210"/>
      <c r="G138" s="1210"/>
      <c r="H138" s="1210"/>
      <c r="I138" s="1210"/>
      <c r="J138" s="1210"/>
      <c r="K138" s="1210"/>
      <c r="L138" s="1210"/>
      <c r="M138" s="1210"/>
      <c r="N138" s="1210"/>
    </row>
    <row r="139" spans="1:14">
      <c r="A139" s="1210"/>
      <c r="B139" s="1210"/>
      <c r="C139" s="1210"/>
      <c r="D139" s="1210"/>
      <c r="E139" s="1210"/>
      <c r="F139" s="1210"/>
      <c r="G139" s="1210"/>
      <c r="H139" s="1210"/>
      <c r="I139" s="1210"/>
      <c r="J139" s="1210"/>
      <c r="K139" s="1210"/>
      <c r="L139" s="1210"/>
      <c r="M139" s="1210"/>
      <c r="N139" s="1210"/>
    </row>
    <row r="140" spans="1:14">
      <c r="A140" s="1210"/>
      <c r="B140" s="1210"/>
      <c r="C140" s="1210"/>
      <c r="D140" s="1210"/>
      <c r="E140" s="1210"/>
      <c r="F140" s="1210"/>
      <c r="G140" s="1210"/>
      <c r="H140" s="1210"/>
      <c r="I140" s="1210"/>
      <c r="J140" s="1210"/>
      <c r="K140" s="1210"/>
      <c r="L140" s="1210"/>
      <c r="M140" s="1210"/>
      <c r="N140" s="1210"/>
    </row>
    <row r="141" spans="1:14" ht="15.75">
      <c r="A141" s="1351" t="s">
        <v>1668</v>
      </c>
      <c r="B141" s="1280"/>
      <c r="C141" s="1280"/>
      <c r="D141" s="1280"/>
      <c r="E141" s="1280"/>
      <c r="F141" s="1280"/>
      <c r="G141" s="1280"/>
      <c r="H141" s="1210"/>
      <c r="I141" s="1210"/>
      <c r="J141" s="1210"/>
      <c r="K141" s="1210"/>
      <c r="L141" s="1210"/>
      <c r="M141" s="1210"/>
      <c r="N141" s="1210"/>
    </row>
    <row r="142" spans="1:14">
      <c r="A142" s="1282" t="s">
        <v>1669</v>
      </c>
      <c r="B142" s="1210"/>
      <c r="C142" s="1210"/>
      <c r="D142" s="1210"/>
      <c r="E142" s="1210"/>
      <c r="F142" s="1210"/>
      <c r="G142" s="1210"/>
      <c r="H142" s="1210"/>
      <c r="I142" s="1210"/>
      <c r="J142" s="1210"/>
      <c r="K142" s="1210"/>
      <c r="L142" s="1210"/>
      <c r="M142" s="1210"/>
      <c r="N142" s="1210"/>
    </row>
    <row r="143" spans="1:14">
      <c r="A143" s="1210"/>
      <c r="B143" s="1210"/>
      <c r="C143" s="1210"/>
      <c r="D143" s="1210"/>
      <c r="E143" s="1210"/>
      <c r="F143" s="1210"/>
      <c r="G143" s="1210"/>
      <c r="H143" s="1210"/>
      <c r="I143" s="1210"/>
      <c r="J143" s="1210"/>
      <c r="K143" s="1210"/>
      <c r="L143" s="1210"/>
      <c r="M143" s="1210"/>
      <c r="N143" s="1210"/>
    </row>
    <row r="144" spans="1:14">
      <c r="A144" s="1284" t="s">
        <v>1584</v>
      </c>
      <c r="B144" s="1284" t="s">
        <v>1395</v>
      </c>
      <c r="C144" s="1286" t="s">
        <v>1670</v>
      </c>
      <c r="D144" s="1286" t="s">
        <v>1671</v>
      </c>
      <c r="E144" s="1286" t="s">
        <v>1672</v>
      </c>
      <c r="F144" s="1286" t="s">
        <v>197</v>
      </c>
      <c r="G144" s="1284" t="s">
        <v>1673</v>
      </c>
      <c r="H144" s="1210"/>
      <c r="I144" s="1210"/>
      <c r="J144" s="1210"/>
      <c r="K144" s="1210"/>
      <c r="L144" s="1210"/>
      <c r="M144" s="1210"/>
      <c r="N144" s="1210"/>
    </row>
    <row r="145" spans="1:8">
      <c r="A145" s="1394" t="s">
        <v>1674</v>
      </c>
      <c r="B145" s="1287" t="s">
        <v>1675</v>
      </c>
      <c r="C145" s="1302">
        <v>1.07</v>
      </c>
      <c r="D145" s="1302">
        <v>2.4</v>
      </c>
      <c r="E145" s="1443">
        <f>B6*C145</f>
        <v>557.04200000000003</v>
      </c>
      <c r="F145" s="1363">
        <f>E145/$B$13-1</f>
        <v>-0.94484732673267324</v>
      </c>
      <c r="G145" s="1308" t="s">
        <v>1676</v>
      </c>
      <c r="H145" s="1210"/>
    </row>
    <row r="146" spans="1:8">
      <c r="A146" s="1353" t="s">
        <v>1677</v>
      </c>
      <c r="B146" s="1454" t="s">
        <v>1678</v>
      </c>
      <c r="C146" s="1455">
        <v>3.34</v>
      </c>
      <c r="D146" s="1455">
        <v>9.15</v>
      </c>
      <c r="E146" s="1456">
        <f>B6*C146</f>
        <v>1738.8040000000001</v>
      </c>
      <c r="F146" s="1457">
        <f>E146/$B$13-1</f>
        <v>-0.82784118811881191</v>
      </c>
      <c r="G146" s="1375" t="s">
        <v>1679</v>
      </c>
      <c r="H146" s="1210"/>
    </row>
    <row r="147" spans="1:8">
      <c r="A147" s="1402" t="s">
        <v>1680</v>
      </c>
      <c r="B147" s="1287" t="s">
        <v>1681</v>
      </c>
      <c r="C147" s="1302">
        <v>4.9400000000000004</v>
      </c>
      <c r="D147" s="1302">
        <v>8</v>
      </c>
      <c r="E147" s="1443">
        <f>B6*C147</f>
        <v>2571.7640000000001</v>
      </c>
      <c r="F147" s="1363">
        <f>E147/$B$13-1</f>
        <v>-0.74536990099009892</v>
      </c>
      <c r="G147" s="1380" t="s">
        <v>1682</v>
      </c>
      <c r="H147" s="1210"/>
    </row>
    <row r="148" spans="1:8">
      <c r="A148" s="1444" t="s">
        <v>1683</v>
      </c>
      <c r="B148" s="1445" t="s">
        <v>1684</v>
      </c>
      <c r="C148" s="1446" t="s">
        <v>70</v>
      </c>
      <c r="D148" s="1446" t="s">
        <v>70</v>
      </c>
      <c r="E148" s="1447">
        <f>B13</f>
        <v>10100</v>
      </c>
      <c r="F148" s="1446" t="s">
        <v>1115</v>
      </c>
      <c r="G148" s="1448" t="s">
        <v>1685</v>
      </c>
      <c r="H148" s="1210"/>
    </row>
    <row r="149" spans="1:8">
      <c r="A149" s="1210"/>
      <c r="B149" s="1210"/>
      <c r="C149" s="1210"/>
      <c r="D149" s="1210"/>
      <c r="E149" s="1210"/>
      <c r="F149" s="1210"/>
      <c r="G149" s="1210"/>
      <c r="H149" s="1210"/>
    </row>
    <row r="151" spans="1:8">
      <c r="A151" s="1278" t="s">
        <v>1686</v>
      </c>
      <c r="B151" s="1280"/>
      <c r="C151" s="1280"/>
      <c r="D151" s="1280"/>
      <c r="E151" s="1280"/>
      <c r="F151" s="1280"/>
      <c r="G151" s="1280"/>
      <c r="H151" s="1210"/>
    </row>
    <row r="152" spans="1:8">
      <c r="A152" s="1282" t="s">
        <v>1687</v>
      </c>
      <c r="B152" s="1210"/>
      <c r="C152" s="1210"/>
      <c r="D152" s="1210"/>
      <c r="E152" s="1210"/>
      <c r="F152" s="1210"/>
      <c r="G152" s="1210"/>
      <c r="H152" s="1210"/>
    </row>
    <row r="153" spans="1:8">
      <c r="A153" s="1210"/>
      <c r="B153" s="1210"/>
      <c r="C153" s="1210"/>
      <c r="D153" s="1210"/>
      <c r="E153" s="1210"/>
      <c r="F153" s="1210"/>
      <c r="G153" s="1210"/>
      <c r="H153" s="1210"/>
    </row>
    <row r="154" spans="1:8">
      <c r="A154" s="1284" t="s">
        <v>1584</v>
      </c>
      <c r="B154" s="1286" t="s">
        <v>1688</v>
      </c>
      <c r="C154" s="1286" t="s">
        <v>1689</v>
      </c>
      <c r="D154" s="1286" t="s">
        <v>1690</v>
      </c>
      <c r="E154" s="1286" t="s">
        <v>1691</v>
      </c>
      <c r="F154" s="1286" t="s">
        <v>1692</v>
      </c>
      <c r="G154" s="1210"/>
      <c r="H154" s="1210"/>
    </row>
    <row r="155" spans="1:8">
      <c r="A155" s="1394" t="s">
        <v>1674</v>
      </c>
      <c r="B155" s="1443">
        <f>B6*C145</f>
        <v>557.04200000000003</v>
      </c>
      <c r="C155" s="1443">
        <f>B10*D145</f>
        <v>1980</v>
      </c>
      <c r="D155" s="1450">
        <f>(B155+C155)/2</f>
        <v>1268.521</v>
      </c>
      <c r="E155" s="1451">
        <f>C155-B155</f>
        <v>1422.9580000000001</v>
      </c>
      <c r="F155" s="1363">
        <f>D155/$B$13-1</f>
        <v>-0.87440386138613868</v>
      </c>
      <c r="G155" s="1210"/>
      <c r="H155" s="1210"/>
    </row>
    <row r="156" spans="1:8">
      <c r="A156" s="1353" t="s">
        <v>1677</v>
      </c>
      <c r="B156" s="1458">
        <f>B6*C146</f>
        <v>1738.8040000000001</v>
      </c>
      <c r="C156" s="1458">
        <f>B10*D146</f>
        <v>7548.75</v>
      </c>
      <c r="D156" s="1459">
        <f>(B156+C156)/2</f>
        <v>4643.777</v>
      </c>
      <c r="E156" s="1458">
        <f>C156-B156</f>
        <v>5809.9459999999999</v>
      </c>
      <c r="F156" s="1460">
        <f>D156/$B$13-1</f>
        <v>-0.54022009900990098</v>
      </c>
      <c r="G156" s="1210"/>
      <c r="H156" s="1210"/>
    </row>
    <row r="157" spans="1:8">
      <c r="A157" s="1402" t="s">
        <v>1680</v>
      </c>
      <c r="B157" s="1443">
        <f>B6*C147</f>
        <v>2571.7640000000001</v>
      </c>
      <c r="C157" s="1443">
        <f>B10*D147</f>
        <v>6600</v>
      </c>
      <c r="D157" s="1450">
        <f>(B157+C157)/2</f>
        <v>4585.8819999999996</v>
      </c>
      <c r="E157" s="1451">
        <f>C157-B157</f>
        <v>4028.2359999999999</v>
      </c>
      <c r="F157" s="1452">
        <f>D157/$B$13-1</f>
        <v>-0.54595227722772277</v>
      </c>
      <c r="G157" s="1210"/>
      <c r="H157" s="1210"/>
    </row>
    <row r="158" spans="1:8">
      <c r="A158" s="1210"/>
      <c r="B158" s="1210"/>
      <c r="C158" s="1210"/>
      <c r="D158" s="1210"/>
      <c r="E158" s="1210"/>
      <c r="F158" s="1210"/>
      <c r="G158" s="1210"/>
      <c r="H158" s="1210"/>
    </row>
    <row r="160" spans="1:8">
      <c r="A160" s="1278" t="s">
        <v>1569</v>
      </c>
      <c r="B160" s="1280"/>
      <c r="C160" s="1280"/>
      <c r="D160" s="1280"/>
      <c r="E160" s="1280"/>
      <c r="F160" s="1280"/>
      <c r="G160" s="1280"/>
      <c r="H160" s="1210"/>
    </row>
    <row r="161" spans="1:2">
      <c r="A161" s="1461" t="s">
        <v>1693</v>
      </c>
      <c r="B161" s="1210"/>
    </row>
    <row r="162" spans="1:2">
      <c r="A162" s="1461" t="s">
        <v>1694</v>
      </c>
      <c r="B162" s="1210"/>
    </row>
    <row r="163" spans="1:2">
      <c r="A163" s="1462" t="s">
        <v>1695</v>
      </c>
      <c r="B163" s="1210"/>
    </row>
    <row r="164" spans="1:2">
      <c r="A164" s="1461" t="s">
        <v>1696</v>
      </c>
      <c r="B164" s="1210"/>
    </row>
    <row r="167" spans="1:2">
      <c r="A167" s="1010" t="s">
        <v>1584</v>
      </c>
      <c r="B167" s="1010" t="s">
        <v>1697</v>
      </c>
    </row>
    <row r="168" spans="1:2">
      <c r="A168" s="1210" t="s">
        <v>1674</v>
      </c>
      <c r="B168" s="1449">
        <f>D155</f>
        <v>1268.521</v>
      </c>
    </row>
    <row r="169" spans="1:2">
      <c r="A169" s="1210" t="s">
        <v>1677</v>
      </c>
      <c r="B169" s="1449">
        <f>D156</f>
        <v>4643.777</v>
      </c>
    </row>
    <row r="170" spans="1:2">
      <c r="A170" s="1210" t="s">
        <v>1680</v>
      </c>
      <c r="B170" s="1449">
        <f>D157</f>
        <v>4585.8819999999996</v>
      </c>
    </row>
    <row r="171" spans="1:2">
      <c r="A171" s="1210" t="s">
        <v>1698</v>
      </c>
      <c r="B171" s="988">
        <f>B13</f>
        <v>10100</v>
      </c>
    </row>
  </sheetData>
  <mergeCells count="18">
    <mergeCell ref="A1:F1"/>
    <mergeCell ref="A2:F2"/>
    <mergeCell ref="A4:F4"/>
    <mergeCell ref="A15:F15"/>
    <mergeCell ref="A33:F33"/>
    <mergeCell ref="A16:F16"/>
    <mergeCell ref="A34:F34"/>
    <mergeCell ref="A77:F77"/>
    <mergeCell ref="A88:F88"/>
    <mergeCell ref="A69:F69"/>
    <mergeCell ref="A36:D36"/>
    <mergeCell ref="A37:D37"/>
    <mergeCell ref="A47:D47"/>
    <mergeCell ref="A48:D48"/>
    <mergeCell ref="A58:D58"/>
    <mergeCell ref="A59:D59"/>
    <mergeCell ref="A76:F76"/>
    <mergeCell ref="A87:F87"/>
  </mergeCells>
  <pageMargins left="0.75" right="0.75" top="1" bottom="1" header="0.5" footer="0.5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N21"/>
  <sheetViews>
    <sheetView showGridLines="0" workbookViewId="0">
      <selection activeCell="A20" sqref="A20"/>
    </sheetView>
  </sheetViews>
  <sheetFormatPr defaultColWidth="8.85546875" defaultRowHeight="15"/>
  <cols>
    <col min="1" max="1" width="33.28515625" customWidth="1"/>
    <col min="2" max="2" width="15" customWidth="1"/>
    <col min="3" max="5" width="13.28515625" customWidth="1"/>
    <col min="6" max="7" width="15" customWidth="1"/>
    <col min="8" max="8" width="46.7109375" customWidth="1"/>
  </cols>
  <sheetData>
    <row r="1" spans="1:14" ht="27.95" customHeight="1">
      <c r="A1" s="1524" t="s">
        <v>1699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</row>
    <row r="2" spans="1:14">
      <c r="A2" s="1525" t="s">
        <v>1700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1525"/>
      <c r="N2" s="1525"/>
    </row>
    <row r="4" spans="1:14" ht="21.95" customHeight="1" thickBot="1">
      <c r="A4" s="567" t="s">
        <v>1701</v>
      </c>
      <c r="B4" s="559" t="s">
        <v>1</v>
      </c>
      <c r="C4" s="559" t="s">
        <v>1702</v>
      </c>
      <c r="D4" s="559" t="s">
        <v>1703</v>
      </c>
      <c r="E4" s="559" t="s">
        <v>1670</v>
      </c>
      <c r="F4" s="559" t="s">
        <v>1704</v>
      </c>
      <c r="G4" s="559" t="s">
        <v>1256</v>
      </c>
      <c r="H4" s="570" t="s">
        <v>1705</v>
      </c>
      <c r="I4" s="1210"/>
      <c r="J4" s="1210"/>
      <c r="K4" s="1210"/>
      <c r="L4" s="1210"/>
      <c r="M4" s="1210"/>
      <c r="N4" s="1210"/>
    </row>
    <row r="5" spans="1:14">
      <c r="A5" s="568" t="s">
        <v>1706</v>
      </c>
      <c r="B5" s="2" t="s">
        <v>1707</v>
      </c>
      <c r="C5" s="560">
        <v>2.1</v>
      </c>
      <c r="D5" s="560">
        <v>1.43</v>
      </c>
      <c r="E5" s="628">
        <v>1.5</v>
      </c>
      <c r="F5" s="629" t="s">
        <v>1708</v>
      </c>
      <c r="G5" s="629" t="s">
        <v>1709</v>
      </c>
      <c r="H5" s="602" t="s">
        <v>1710</v>
      </c>
      <c r="I5" s="1210"/>
      <c r="J5" s="1210"/>
      <c r="K5" s="1210"/>
      <c r="L5" s="1210"/>
      <c r="M5" s="1210"/>
      <c r="N5" s="1210"/>
    </row>
    <row r="6" spans="1:14">
      <c r="A6" s="569" t="s">
        <v>1711</v>
      </c>
      <c r="B6" s="558" t="s">
        <v>1712</v>
      </c>
      <c r="C6" s="564">
        <v>0.5</v>
      </c>
      <c r="D6" s="564">
        <v>0.17</v>
      </c>
      <c r="E6" s="630">
        <v>2.9</v>
      </c>
      <c r="F6" s="631" t="s">
        <v>1708</v>
      </c>
      <c r="G6" s="631" t="s">
        <v>1713</v>
      </c>
      <c r="H6" s="603" t="s">
        <v>1714</v>
      </c>
      <c r="I6" s="1210"/>
      <c r="J6" s="1210"/>
      <c r="K6" s="1210"/>
      <c r="L6" s="1210"/>
      <c r="M6" s="1210"/>
      <c r="N6" s="1210"/>
    </row>
    <row r="7" spans="1:14">
      <c r="A7" s="568" t="s">
        <v>1715</v>
      </c>
      <c r="B7" s="2" t="s">
        <v>1716</v>
      </c>
      <c r="C7" s="560">
        <v>18.5</v>
      </c>
      <c r="D7" s="560">
        <v>0.28999999999999998</v>
      </c>
      <c r="E7" s="628">
        <v>63.8</v>
      </c>
      <c r="F7" s="629" t="s">
        <v>1708</v>
      </c>
      <c r="G7" s="629" t="s">
        <v>1717</v>
      </c>
      <c r="H7" s="602" t="s">
        <v>1718</v>
      </c>
      <c r="I7" s="1210"/>
      <c r="J7" s="1210"/>
      <c r="K7" s="1210"/>
      <c r="L7" s="1210"/>
      <c r="M7" s="1210"/>
      <c r="N7" s="1210"/>
    </row>
    <row r="8" spans="1:14">
      <c r="A8" s="569" t="s">
        <v>1719</v>
      </c>
      <c r="B8" s="558" t="s">
        <v>1720</v>
      </c>
      <c r="C8" s="564">
        <v>19.7</v>
      </c>
      <c r="D8" s="564">
        <v>1.48</v>
      </c>
      <c r="E8" s="630">
        <v>13.3</v>
      </c>
      <c r="F8" s="631" t="s">
        <v>1721</v>
      </c>
      <c r="G8" s="631" t="s">
        <v>1717</v>
      </c>
      <c r="H8" s="603" t="s">
        <v>1722</v>
      </c>
      <c r="I8" s="1210"/>
      <c r="J8" s="1210"/>
      <c r="K8" s="1210"/>
      <c r="L8" s="1210"/>
      <c r="M8" s="1210"/>
      <c r="N8" s="1210"/>
    </row>
    <row r="9" spans="1:14">
      <c r="A9" s="568" t="s">
        <v>1723</v>
      </c>
      <c r="B9" s="2" t="s">
        <v>1724</v>
      </c>
      <c r="C9" s="560">
        <v>1.03</v>
      </c>
      <c r="D9" s="560">
        <v>0.9</v>
      </c>
      <c r="E9" s="628">
        <v>1.1000000000000001</v>
      </c>
      <c r="F9" s="629" t="s">
        <v>1721</v>
      </c>
      <c r="G9" s="629" t="s">
        <v>1709</v>
      </c>
      <c r="H9" s="602" t="s">
        <v>1725</v>
      </c>
      <c r="I9" s="1210"/>
      <c r="J9" s="1210"/>
      <c r="K9" s="1210"/>
      <c r="L9" s="1210"/>
      <c r="M9" s="1210"/>
      <c r="N9" s="1210"/>
    </row>
    <row r="10" spans="1:14">
      <c r="A10" s="569" t="s">
        <v>1726</v>
      </c>
      <c r="B10" s="558" t="s">
        <v>1727</v>
      </c>
      <c r="C10" s="564">
        <v>8</v>
      </c>
      <c r="D10" s="564">
        <v>0.77</v>
      </c>
      <c r="E10" s="630">
        <v>10.4</v>
      </c>
      <c r="F10" s="631" t="s">
        <v>1721</v>
      </c>
      <c r="G10" s="631" t="s">
        <v>1728</v>
      </c>
      <c r="H10" s="603" t="s">
        <v>1729</v>
      </c>
      <c r="I10" s="1210"/>
      <c r="J10" s="1210"/>
      <c r="K10" s="1210"/>
      <c r="L10" s="1210"/>
      <c r="M10" s="1210"/>
      <c r="N10" s="1210"/>
    </row>
    <row r="11" spans="1:14">
      <c r="A11" s="568" t="s">
        <v>1730</v>
      </c>
      <c r="B11" s="2" t="s">
        <v>1731</v>
      </c>
      <c r="C11" s="560">
        <v>3.9</v>
      </c>
      <c r="D11" s="560">
        <v>1.1000000000000001</v>
      </c>
      <c r="E11" s="628">
        <v>3.5</v>
      </c>
      <c r="F11" s="629" t="s">
        <v>1721</v>
      </c>
      <c r="G11" s="629" t="s">
        <v>1717</v>
      </c>
      <c r="H11" s="602" t="s">
        <v>1732</v>
      </c>
      <c r="I11" s="1210"/>
      <c r="J11" s="1210"/>
      <c r="K11" s="1210"/>
      <c r="L11" s="1210"/>
      <c r="M11" s="1210"/>
      <c r="N11" s="1210"/>
    </row>
    <row r="12" spans="1:14">
      <c r="A12" s="569" t="s">
        <v>1733</v>
      </c>
      <c r="B12" s="558" t="s">
        <v>1734</v>
      </c>
      <c r="C12" s="564">
        <v>13.1</v>
      </c>
      <c r="D12" s="564">
        <v>0.73</v>
      </c>
      <c r="E12" s="630">
        <v>17.899999999999999</v>
      </c>
      <c r="F12" s="631" t="s">
        <v>1735</v>
      </c>
      <c r="G12" s="631" t="s">
        <v>1728</v>
      </c>
      <c r="H12" s="603" t="s">
        <v>1736</v>
      </c>
      <c r="I12" s="1210"/>
      <c r="J12" s="1210"/>
      <c r="K12" s="1210"/>
      <c r="L12" s="1210"/>
      <c r="M12" s="1210"/>
      <c r="N12" s="1210"/>
    </row>
    <row r="13" spans="1:14">
      <c r="A13" s="568" t="s">
        <v>1737</v>
      </c>
      <c r="B13" s="2" t="s">
        <v>1738</v>
      </c>
      <c r="C13" s="560">
        <v>3.7</v>
      </c>
      <c r="D13" s="560">
        <v>0.37</v>
      </c>
      <c r="E13" s="628">
        <v>10.1</v>
      </c>
      <c r="F13" s="629" t="s">
        <v>1735</v>
      </c>
      <c r="G13" s="629" t="s">
        <v>1728</v>
      </c>
      <c r="H13" s="602" t="s">
        <v>1739</v>
      </c>
      <c r="I13" s="1210"/>
      <c r="J13" s="1210"/>
      <c r="K13" s="1210"/>
      <c r="L13" s="1210"/>
      <c r="M13" s="1210"/>
      <c r="N13" s="1210"/>
    </row>
    <row r="14" spans="1:14">
      <c r="A14" s="569" t="s">
        <v>1740</v>
      </c>
      <c r="B14" s="558" t="s">
        <v>1741</v>
      </c>
      <c r="C14" s="564">
        <v>4.9000000000000004</v>
      </c>
      <c r="D14" s="564">
        <v>0.6</v>
      </c>
      <c r="E14" s="630">
        <v>8.1</v>
      </c>
      <c r="F14" s="631" t="s">
        <v>1735</v>
      </c>
      <c r="G14" s="631" t="s">
        <v>1728</v>
      </c>
      <c r="H14" s="603" t="s">
        <v>1742</v>
      </c>
      <c r="I14" s="1210"/>
      <c r="J14" s="1210"/>
      <c r="K14" s="1210"/>
      <c r="L14" s="1210"/>
      <c r="M14" s="1210"/>
      <c r="N14" s="1210"/>
    </row>
    <row r="15" spans="1:14" ht="15.75" thickBot="1">
      <c r="A15" s="572" t="s">
        <v>1743</v>
      </c>
      <c r="B15" s="573" t="s">
        <v>1744</v>
      </c>
      <c r="C15" s="575">
        <v>9.9</v>
      </c>
      <c r="D15" s="575">
        <v>1.51</v>
      </c>
      <c r="E15" s="632">
        <v>6.6</v>
      </c>
      <c r="F15" s="633" t="s">
        <v>1735</v>
      </c>
      <c r="G15" s="633" t="s">
        <v>1728</v>
      </c>
      <c r="H15" s="634" t="s">
        <v>1745</v>
      </c>
      <c r="I15" s="1210"/>
      <c r="J15" s="1210"/>
      <c r="K15" s="1210"/>
      <c r="L15" s="1210"/>
      <c r="M15" s="1210"/>
      <c r="N15" s="1210"/>
    </row>
    <row r="18" spans="1:8" ht="21.95" customHeight="1">
      <c r="A18" s="1469" t="s">
        <v>1746</v>
      </c>
      <c r="B18" s="1529"/>
      <c r="C18" s="1529"/>
      <c r="D18" s="1529"/>
      <c r="E18" s="1529"/>
      <c r="F18" s="1529"/>
      <c r="G18" s="1529"/>
      <c r="H18" s="1529"/>
    </row>
    <row r="19" spans="1:8">
      <c r="A19" s="635" t="s">
        <v>1747</v>
      </c>
      <c r="B19" s="1194"/>
      <c r="C19" s="1194"/>
      <c r="D19" s="1194"/>
      <c r="E19" s="1194"/>
      <c r="F19" s="1194"/>
      <c r="G19" s="1194"/>
      <c r="H19" s="1194"/>
    </row>
    <row r="20" spans="1:8">
      <c r="A20" s="636" t="s">
        <v>1748</v>
      </c>
      <c r="B20" s="1194"/>
      <c r="C20" s="1194"/>
      <c r="D20" s="1194"/>
      <c r="E20" s="1194"/>
      <c r="F20" s="1194"/>
      <c r="G20" s="1194"/>
      <c r="H20" s="1194"/>
    </row>
    <row r="21" spans="1:8">
      <c r="A21" s="3" t="s">
        <v>1749</v>
      </c>
      <c r="B21" s="1210"/>
      <c r="C21" s="1210"/>
      <c r="D21" s="1210"/>
      <c r="E21" s="1210"/>
      <c r="F21" s="1210"/>
      <c r="G21" s="1210"/>
      <c r="H21" s="1210"/>
    </row>
  </sheetData>
  <mergeCells count="3">
    <mergeCell ref="A1:N1"/>
    <mergeCell ref="A2:N2"/>
    <mergeCell ref="A18:H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N35"/>
  <sheetViews>
    <sheetView showGridLines="0" workbookViewId="0">
      <selection activeCell="I18" sqref="I18"/>
    </sheetView>
  </sheetViews>
  <sheetFormatPr defaultColWidth="8.85546875" defaultRowHeight="15"/>
  <cols>
    <col min="1" max="1" width="33.28515625" customWidth="1"/>
    <col min="2" max="7" width="15" customWidth="1"/>
    <col min="8" max="8" width="18.28515625" customWidth="1"/>
    <col min="9" max="9" width="40" customWidth="1"/>
  </cols>
  <sheetData>
    <row r="1" spans="1:14" ht="27.95" customHeight="1">
      <c r="A1" s="1524" t="s">
        <v>1750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</row>
    <row r="2" spans="1:14">
      <c r="A2" s="1525" t="s">
        <v>1751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1525"/>
      <c r="N2" s="1525"/>
    </row>
    <row r="4" spans="1:14" ht="21.95" customHeight="1" thickBot="1">
      <c r="A4" s="567" t="s">
        <v>1752</v>
      </c>
      <c r="B4" s="559" t="s">
        <v>1</v>
      </c>
      <c r="C4" s="559" t="s">
        <v>1753</v>
      </c>
      <c r="D4" s="559" t="s">
        <v>1754</v>
      </c>
      <c r="E4" s="559" t="s">
        <v>1755</v>
      </c>
      <c r="F4" s="559" t="s">
        <v>1756</v>
      </c>
      <c r="G4" s="559" t="s">
        <v>1757</v>
      </c>
      <c r="H4" s="559" t="s">
        <v>1758</v>
      </c>
      <c r="I4" s="570" t="s">
        <v>1759</v>
      </c>
      <c r="J4" s="1210"/>
      <c r="K4" s="1210"/>
      <c r="L4" s="1210"/>
      <c r="M4" s="1210"/>
      <c r="N4" s="1210"/>
    </row>
    <row r="5" spans="1:14">
      <c r="A5" s="568" t="s">
        <v>1760</v>
      </c>
      <c r="B5" s="2" t="s">
        <v>1761</v>
      </c>
      <c r="C5" s="76">
        <v>1</v>
      </c>
      <c r="D5" s="560"/>
      <c r="E5" s="561"/>
      <c r="F5" s="2"/>
      <c r="G5" s="562"/>
      <c r="H5" s="2" t="s">
        <v>1762</v>
      </c>
      <c r="I5" s="194" t="s">
        <v>1763</v>
      </c>
      <c r="J5" s="1210"/>
      <c r="K5" s="1210"/>
      <c r="L5" s="1210"/>
      <c r="M5" s="1210"/>
      <c r="N5" s="1210"/>
    </row>
    <row r="6" spans="1:14">
      <c r="A6" s="569" t="s">
        <v>1764</v>
      </c>
      <c r="B6" s="558" t="s">
        <v>1765</v>
      </c>
      <c r="C6" s="563">
        <v>4</v>
      </c>
      <c r="D6" s="564"/>
      <c r="E6" s="565"/>
      <c r="F6" s="558"/>
      <c r="G6" s="566"/>
      <c r="H6" s="558" t="s">
        <v>1762</v>
      </c>
      <c r="I6" s="571" t="s">
        <v>1766</v>
      </c>
      <c r="J6" s="1210"/>
      <c r="K6" s="1210"/>
      <c r="L6" s="1210"/>
      <c r="M6" s="1210"/>
      <c r="N6" s="1210"/>
    </row>
    <row r="7" spans="1:14">
      <c r="A7" s="568" t="s">
        <v>1767</v>
      </c>
      <c r="B7" s="2" t="s">
        <v>1768</v>
      </c>
      <c r="C7" s="76">
        <v>12</v>
      </c>
      <c r="D7" s="560"/>
      <c r="E7" s="561"/>
      <c r="F7" s="2"/>
      <c r="G7" s="562"/>
      <c r="H7" s="2" t="s">
        <v>1762</v>
      </c>
      <c r="I7" s="194" t="s">
        <v>1769</v>
      </c>
      <c r="J7" s="1210"/>
      <c r="K7" s="1210"/>
      <c r="L7" s="1210"/>
      <c r="M7" s="1210"/>
      <c r="N7" s="1210"/>
    </row>
    <row r="8" spans="1:14">
      <c r="A8" s="569" t="s">
        <v>1770</v>
      </c>
      <c r="B8" s="558" t="s">
        <v>1771</v>
      </c>
      <c r="C8" s="563">
        <v>55</v>
      </c>
      <c r="D8" s="564">
        <v>0.43</v>
      </c>
      <c r="E8" s="565"/>
      <c r="F8" s="558"/>
      <c r="G8" s="566"/>
      <c r="H8" s="558" t="s">
        <v>1762</v>
      </c>
      <c r="I8" s="571" t="s">
        <v>1772</v>
      </c>
      <c r="J8" s="1210"/>
      <c r="K8" s="1210"/>
      <c r="L8" s="1210"/>
      <c r="M8" s="1210"/>
      <c r="N8" s="1210"/>
    </row>
    <row r="9" spans="1:14">
      <c r="A9" s="568" t="s">
        <v>1773</v>
      </c>
      <c r="B9" s="2" t="s">
        <v>1716</v>
      </c>
      <c r="C9" s="76">
        <v>100</v>
      </c>
      <c r="D9" s="560">
        <v>1.2</v>
      </c>
      <c r="E9" s="561"/>
      <c r="F9" s="2"/>
      <c r="G9" s="562"/>
      <c r="H9" s="2" t="s">
        <v>1762</v>
      </c>
      <c r="I9" s="194" t="s">
        <v>1772</v>
      </c>
      <c r="J9" s="1210"/>
      <c r="K9" s="1210"/>
      <c r="L9" s="1210"/>
      <c r="M9" s="1210"/>
      <c r="N9" s="1210"/>
    </row>
    <row r="10" spans="1:14">
      <c r="A10" s="569" t="s">
        <v>1774</v>
      </c>
      <c r="B10" s="558" t="s">
        <v>1775</v>
      </c>
      <c r="C10" s="563">
        <v>200</v>
      </c>
      <c r="D10" s="564">
        <v>2.4</v>
      </c>
      <c r="E10" s="565"/>
      <c r="F10" s="558"/>
      <c r="G10" s="566"/>
      <c r="H10" s="558" t="s">
        <v>1762</v>
      </c>
      <c r="I10" s="571" t="s">
        <v>1776</v>
      </c>
      <c r="J10" s="1210"/>
      <c r="K10" s="1210"/>
      <c r="L10" s="1210"/>
      <c r="M10" s="1210"/>
      <c r="N10" s="1210"/>
    </row>
    <row r="11" spans="1:14">
      <c r="A11" s="568" t="s">
        <v>1777</v>
      </c>
      <c r="B11" s="2" t="s">
        <v>1775</v>
      </c>
      <c r="C11" s="76">
        <v>200</v>
      </c>
      <c r="D11" s="560">
        <v>3.6</v>
      </c>
      <c r="E11" s="561">
        <v>4.76</v>
      </c>
      <c r="F11" s="2"/>
      <c r="G11" s="562"/>
      <c r="H11" s="2" t="s">
        <v>1762</v>
      </c>
      <c r="I11" s="194" t="s">
        <v>1776</v>
      </c>
      <c r="J11" s="1210"/>
      <c r="K11" s="1210"/>
      <c r="L11" s="1210"/>
      <c r="M11" s="1210"/>
      <c r="N11" s="1210"/>
    </row>
    <row r="12" spans="1:14">
      <c r="A12" s="569" t="s">
        <v>1778</v>
      </c>
      <c r="B12" s="558" t="s">
        <v>1779</v>
      </c>
      <c r="C12" s="563">
        <v>46</v>
      </c>
      <c r="D12" s="564"/>
      <c r="E12" s="565"/>
      <c r="F12" s="558"/>
      <c r="G12" s="566"/>
      <c r="H12" s="558" t="s">
        <v>1780</v>
      </c>
      <c r="I12" s="571" t="s">
        <v>1781</v>
      </c>
      <c r="J12" s="1210"/>
      <c r="K12" s="1210"/>
      <c r="L12" s="1210"/>
      <c r="M12" s="1210"/>
      <c r="N12" s="1210"/>
    </row>
    <row r="13" spans="1:14" ht="15.75" thickBot="1">
      <c r="A13" s="572" t="s">
        <v>1782</v>
      </c>
      <c r="B13" s="573" t="s">
        <v>1783</v>
      </c>
      <c r="C13" s="574">
        <v>575</v>
      </c>
      <c r="D13" s="575">
        <v>10.1</v>
      </c>
      <c r="E13" s="576">
        <v>11.23</v>
      </c>
      <c r="F13" s="573"/>
      <c r="G13" s="577">
        <v>5.7000000000000002E-2</v>
      </c>
      <c r="H13" s="573" t="s">
        <v>1762</v>
      </c>
      <c r="I13" s="578" t="s">
        <v>1784</v>
      </c>
      <c r="J13" s="1210"/>
      <c r="K13" s="1210"/>
      <c r="L13" s="1210"/>
      <c r="M13" s="1210"/>
      <c r="N13" s="1210"/>
    </row>
    <row r="14" spans="1:14" ht="15.75" thickBot="1">
      <c r="A14" s="1210"/>
      <c r="B14" s="1210"/>
      <c r="C14" s="1210"/>
      <c r="D14" s="1210"/>
      <c r="E14" s="1210"/>
      <c r="F14" s="1210"/>
      <c r="G14" s="1210"/>
      <c r="H14" s="1210"/>
      <c r="I14" s="1210"/>
      <c r="J14" s="1210"/>
      <c r="K14" s="1210"/>
      <c r="L14" s="1210"/>
      <c r="M14" s="1210"/>
      <c r="N14" s="1210"/>
    </row>
    <row r="15" spans="1:14" ht="15.75" thickBot="1">
      <c r="A15" s="472" t="s">
        <v>1785</v>
      </c>
      <c r="B15" s="579"/>
      <c r="C15" s="580">
        <v>1030</v>
      </c>
      <c r="D15" s="579"/>
      <c r="E15" s="579"/>
      <c r="F15" s="579"/>
      <c r="G15" s="579"/>
      <c r="H15" s="579"/>
      <c r="I15" s="579"/>
      <c r="J15" s="1210"/>
      <c r="K15" s="1210"/>
      <c r="L15" s="1210"/>
      <c r="M15" s="1210"/>
      <c r="N15" s="1210"/>
    </row>
    <row r="16" spans="1:14" ht="15.75" thickTop="1">
      <c r="A16" s="1210"/>
      <c r="B16" s="1210"/>
      <c r="C16" s="1210"/>
      <c r="D16" s="1210"/>
      <c r="E16" s="1210"/>
      <c r="F16" s="1210"/>
      <c r="G16" s="1210"/>
      <c r="H16" s="1210"/>
      <c r="I16" s="1210"/>
      <c r="J16" s="1210"/>
      <c r="K16" s="1210"/>
      <c r="L16" s="1210"/>
      <c r="M16" s="1210"/>
      <c r="N16" s="1210"/>
    </row>
    <row r="17" spans="1:9" ht="21.95" customHeight="1">
      <c r="A17" s="1469" t="s">
        <v>1786</v>
      </c>
      <c r="B17" s="1529"/>
      <c r="C17" s="1529"/>
      <c r="D17" s="1529"/>
      <c r="E17" s="1529"/>
      <c r="F17" s="1529"/>
      <c r="G17" s="1529"/>
      <c r="H17" s="1529"/>
      <c r="I17" s="1529"/>
    </row>
    <row r="18" spans="1:9">
      <c r="A18" s="3" t="s">
        <v>1787</v>
      </c>
      <c r="B18" s="1194"/>
      <c r="C18" s="2" t="s">
        <v>1788</v>
      </c>
      <c r="D18" s="1194"/>
      <c r="E18" s="36" t="s">
        <v>1789</v>
      </c>
      <c r="F18" s="1194"/>
      <c r="G18" s="1194"/>
      <c r="H18" s="1194"/>
      <c r="I18" s="1194"/>
    </row>
    <row r="19" spans="1:9">
      <c r="A19" s="201" t="s">
        <v>1790</v>
      </c>
      <c r="B19" s="103"/>
      <c r="C19" s="558" t="s">
        <v>1791</v>
      </c>
      <c r="D19" s="103"/>
      <c r="E19" s="313" t="s">
        <v>1789</v>
      </c>
      <c r="F19" s="103"/>
      <c r="G19" s="103"/>
      <c r="H19" s="103"/>
      <c r="I19" s="103"/>
    </row>
    <row r="20" spans="1:9">
      <c r="A20" s="3" t="s">
        <v>1792</v>
      </c>
      <c r="B20" s="1194"/>
      <c r="C20" s="2" t="s">
        <v>1793</v>
      </c>
      <c r="D20" s="1194"/>
      <c r="E20" s="36" t="s">
        <v>1794</v>
      </c>
      <c r="F20" s="1194"/>
      <c r="G20" s="1194"/>
      <c r="H20" s="1194"/>
      <c r="I20" s="1194"/>
    </row>
    <row r="21" spans="1:9">
      <c r="A21" s="201" t="s">
        <v>1795</v>
      </c>
      <c r="B21" s="103"/>
      <c r="C21" s="558" t="s">
        <v>1796</v>
      </c>
      <c r="D21" s="103"/>
      <c r="E21" s="313" t="s">
        <v>1797</v>
      </c>
      <c r="F21" s="103"/>
      <c r="G21" s="103"/>
      <c r="H21" s="103"/>
      <c r="I21" s="103"/>
    </row>
    <row r="22" spans="1:9">
      <c r="A22" s="3" t="s">
        <v>1798</v>
      </c>
      <c r="B22" s="1194"/>
      <c r="C22" s="2" t="s">
        <v>1799</v>
      </c>
      <c r="D22" s="1194"/>
      <c r="E22" s="36" t="s">
        <v>1789</v>
      </c>
      <c r="F22" s="1194"/>
      <c r="G22" s="1194"/>
      <c r="H22" s="1194"/>
      <c r="I22" s="1194"/>
    </row>
    <row r="23" spans="1:9">
      <c r="A23" s="201" t="s">
        <v>1800</v>
      </c>
      <c r="B23" s="103"/>
      <c r="C23" s="558" t="s">
        <v>1801</v>
      </c>
      <c r="D23" s="103"/>
      <c r="E23" s="313" t="s">
        <v>1802</v>
      </c>
      <c r="F23" s="103"/>
      <c r="G23" s="103"/>
      <c r="H23" s="103"/>
      <c r="I23" s="103"/>
    </row>
    <row r="26" spans="1:9" ht="21.95" customHeight="1">
      <c r="A26" s="1469" t="s">
        <v>1803</v>
      </c>
      <c r="B26" s="1529"/>
      <c r="C26" s="1529"/>
      <c r="D26" s="1529"/>
      <c r="E26" s="1529"/>
      <c r="F26" s="1529"/>
      <c r="G26" s="1529"/>
      <c r="H26" s="1529"/>
      <c r="I26" s="1529"/>
    </row>
    <row r="27" spans="1:9" ht="15.75" thickBot="1">
      <c r="A27" s="6"/>
      <c r="B27" s="6"/>
      <c r="C27" s="581" t="s">
        <v>1804</v>
      </c>
      <c r="D27" s="581"/>
      <c r="E27" s="581" t="s">
        <v>1805</v>
      </c>
      <c r="F27" s="581"/>
      <c r="G27" s="581" t="s">
        <v>1806</v>
      </c>
      <c r="H27" s="6"/>
      <c r="I27" s="6"/>
    </row>
    <row r="28" spans="1:9">
      <c r="A28" s="582" t="s">
        <v>1807</v>
      </c>
      <c r="B28" s="583"/>
      <c r="C28" s="584"/>
      <c r="D28" s="583"/>
      <c r="E28" s="584"/>
      <c r="F28" s="583"/>
      <c r="G28" s="584"/>
      <c r="H28" s="1210"/>
      <c r="I28" s="1210"/>
    </row>
    <row r="29" spans="1:9">
      <c r="A29" s="582" t="s">
        <v>1808</v>
      </c>
      <c r="B29" s="583"/>
      <c r="C29" s="584"/>
      <c r="D29" s="583"/>
      <c r="E29" s="584"/>
      <c r="F29" s="583"/>
      <c r="G29" s="584"/>
      <c r="H29" s="1210"/>
      <c r="I29" s="1210"/>
    </row>
    <row r="30" spans="1:9">
      <c r="A30" s="582" t="s">
        <v>1809</v>
      </c>
      <c r="B30" s="583"/>
      <c r="C30" s="584"/>
      <c r="D30" s="583"/>
      <c r="E30" s="584"/>
      <c r="F30" s="583"/>
      <c r="G30" s="584"/>
      <c r="H30" s="1210"/>
      <c r="I30" s="1210"/>
    </row>
    <row r="31" spans="1:9">
      <c r="A31" s="582" t="s">
        <v>1810</v>
      </c>
      <c r="B31" s="583"/>
      <c r="C31" s="584"/>
      <c r="D31" s="583"/>
      <c r="E31" s="584"/>
      <c r="F31" s="583"/>
      <c r="G31" s="584"/>
      <c r="H31" s="1210"/>
      <c r="I31" s="1210"/>
    </row>
    <row r="32" spans="1:9">
      <c r="A32" s="582" t="s">
        <v>1811</v>
      </c>
      <c r="B32" s="583"/>
      <c r="C32" s="584"/>
      <c r="D32" s="583"/>
      <c r="E32" s="584"/>
      <c r="F32" s="583"/>
      <c r="G32" s="584"/>
      <c r="H32" s="1210"/>
      <c r="I32" s="1210"/>
    </row>
    <row r="33" spans="1:7">
      <c r="A33" s="582" t="s">
        <v>1812</v>
      </c>
      <c r="B33" s="583"/>
      <c r="C33" s="584"/>
      <c r="D33" s="583"/>
      <c r="E33" s="584"/>
      <c r="F33" s="583"/>
      <c r="G33" s="584"/>
    </row>
    <row r="34" spans="1:7">
      <c r="A34" s="582" t="s">
        <v>1813</v>
      </c>
      <c r="B34" s="583"/>
      <c r="C34" s="584"/>
      <c r="D34" s="583"/>
      <c r="E34" s="584"/>
      <c r="F34" s="583"/>
      <c r="G34" s="584"/>
    </row>
    <row r="35" spans="1:7">
      <c r="A35" s="582" t="s">
        <v>1814</v>
      </c>
      <c r="B35" s="583"/>
      <c r="C35" s="584"/>
      <c r="D35" s="583"/>
      <c r="E35" s="584"/>
      <c r="F35" s="583"/>
      <c r="G35" s="584"/>
    </row>
  </sheetData>
  <mergeCells count="4">
    <mergeCell ref="A1:N1"/>
    <mergeCell ref="A2:N2"/>
    <mergeCell ref="A17:I17"/>
    <mergeCell ref="A26:I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L70"/>
  <sheetViews>
    <sheetView showGridLines="0" topLeftCell="A23" workbookViewId="0">
      <selection activeCell="A66" sqref="A66"/>
    </sheetView>
  </sheetViews>
  <sheetFormatPr defaultColWidth="8.85546875" defaultRowHeight="15"/>
  <cols>
    <col min="1" max="1" width="141.85546875" bestFit="1" customWidth="1"/>
    <col min="2" max="2" width="38.140625" bestFit="1" customWidth="1"/>
    <col min="3" max="3" width="15.42578125" bestFit="1" customWidth="1"/>
    <col min="4" max="4" width="18.140625" bestFit="1" customWidth="1"/>
    <col min="5" max="5" width="27.28515625" bestFit="1" customWidth="1"/>
    <col min="6" max="6" width="7.85546875" bestFit="1" customWidth="1"/>
    <col min="7" max="7" width="8.42578125" bestFit="1" customWidth="1"/>
    <col min="8" max="8" width="8.28515625" bestFit="1" customWidth="1"/>
    <col min="9" max="9" width="7.42578125" bestFit="1" customWidth="1"/>
    <col min="10" max="10" width="12.42578125" customWidth="1"/>
    <col min="11" max="11" width="53.28515625" customWidth="1"/>
  </cols>
  <sheetData>
    <row r="1" spans="1:11" ht="27.95" customHeight="1">
      <c r="A1" s="1558" t="s">
        <v>1815</v>
      </c>
      <c r="B1" s="1559"/>
      <c r="C1" s="1559"/>
      <c r="D1" s="1559"/>
      <c r="E1" s="1559"/>
      <c r="F1" s="1559"/>
      <c r="G1" s="1559"/>
      <c r="H1" s="1559"/>
      <c r="I1" s="1559"/>
      <c r="J1" s="1559"/>
      <c r="K1" s="1559"/>
    </row>
    <row r="2" spans="1:11" ht="27.95" customHeight="1">
      <c r="A2" s="1560" t="s">
        <v>1816</v>
      </c>
      <c r="B2" s="1528"/>
      <c r="C2" s="1528"/>
      <c r="D2" s="1528"/>
      <c r="E2" s="1528"/>
      <c r="F2" s="1528"/>
      <c r="G2" s="1528"/>
      <c r="H2" s="1528"/>
      <c r="I2" s="1528"/>
      <c r="J2" s="1528"/>
      <c r="K2" s="1528"/>
    </row>
    <row r="3" spans="1:11" ht="15.75" thickBot="1">
      <c r="A3" s="1210"/>
      <c r="B3" s="1210"/>
      <c r="C3" s="1210"/>
      <c r="D3" s="1210"/>
      <c r="E3" s="1210"/>
      <c r="F3" s="1210"/>
      <c r="G3" s="1210"/>
      <c r="H3" s="1210"/>
      <c r="I3" s="1210"/>
      <c r="J3" s="1210"/>
      <c r="K3" s="1210"/>
    </row>
    <row r="4" spans="1:11" ht="21.95" customHeight="1" thickBot="1">
      <c r="A4" s="242" t="s">
        <v>88</v>
      </c>
      <c r="B4" s="243" t="s">
        <v>167</v>
      </c>
      <c r="C4" s="244" t="s">
        <v>1817</v>
      </c>
      <c r="D4" s="244" t="s">
        <v>1818</v>
      </c>
      <c r="E4" s="244" t="s">
        <v>1819</v>
      </c>
      <c r="F4" s="244" t="s">
        <v>1820</v>
      </c>
      <c r="G4" s="244" t="s">
        <v>1821</v>
      </c>
      <c r="H4" s="244" t="s">
        <v>1822</v>
      </c>
      <c r="I4" s="244" t="s">
        <v>1823</v>
      </c>
      <c r="J4" s="244" t="s">
        <v>1824</v>
      </c>
      <c r="K4" s="245" t="s">
        <v>793</v>
      </c>
    </row>
    <row r="5" spans="1:11">
      <c r="A5" s="89"/>
      <c r="B5" s="1210"/>
      <c r="C5" s="1210"/>
      <c r="D5" s="1210"/>
      <c r="E5" s="1210"/>
      <c r="F5" s="1210"/>
      <c r="G5" s="1210"/>
      <c r="H5" s="1210"/>
      <c r="I5" s="1210"/>
      <c r="J5" s="1210"/>
      <c r="K5" s="152"/>
    </row>
    <row r="6" spans="1:11" ht="77.25">
      <c r="A6" s="241" t="s">
        <v>1825</v>
      </c>
      <c r="B6" s="230" t="s">
        <v>1826</v>
      </c>
      <c r="C6" s="250">
        <f>DCF!C60/1000</f>
        <v>2.49675</v>
      </c>
      <c r="D6" s="251">
        <f>DCF!C61/1000</f>
        <v>7.3205499999999999</v>
      </c>
      <c r="E6" s="250">
        <f>DCF!C62/1000</f>
        <v>24.65767</v>
      </c>
      <c r="F6" s="234">
        <f>(C6*1000 - Assumptions!$F$61 + Assumptions!$F$62)/Assumptions!$F$54</f>
        <v>7.772560975609756</v>
      </c>
      <c r="G6" s="235">
        <f>(D6*1000 - Assumptions!$F$61 + Assumptions!$F$62)/Assumptions!$F$54</f>
        <v>19.537926829268294</v>
      </c>
      <c r="H6" s="234">
        <f>(E6*1000 - Assumptions!$F$61 + Assumptions!$F$62)/Assumptions!$F$54</f>
        <v>61.823585365853653</v>
      </c>
      <c r="I6" s="237">
        <v>0</v>
      </c>
      <c r="J6" s="260">
        <f>D6*I6</f>
        <v>0</v>
      </c>
      <c r="K6" s="938" t="s">
        <v>1827</v>
      </c>
    </row>
    <row r="7" spans="1:11" ht="60.75">
      <c r="A7" s="267" t="s">
        <v>1828</v>
      </c>
      <c r="B7" s="29" t="s">
        <v>1829</v>
      </c>
      <c r="C7" s="252" t="s">
        <v>70</v>
      </c>
      <c r="D7" s="252" t="s">
        <v>70</v>
      </c>
      <c r="E7" s="252" t="s">
        <v>70</v>
      </c>
      <c r="F7" s="236" t="s">
        <v>70</v>
      </c>
      <c r="G7" s="236" t="s">
        <v>70</v>
      </c>
      <c r="H7" s="236" t="s">
        <v>70</v>
      </c>
      <c r="I7" s="256"/>
      <c r="J7" s="255"/>
      <c r="K7" s="264" t="s">
        <v>1830</v>
      </c>
    </row>
    <row r="8" spans="1:11" ht="72.75">
      <c r="A8" s="267" t="s">
        <v>1831</v>
      </c>
      <c r="B8" s="29" t="s">
        <v>1832</v>
      </c>
      <c r="C8" s="1173">
        <f>Scenarios!F16/1000</f>
        <v>6.8206499999999997</v>
      </c>
      <c r="D8" s="1173">
        <f>Scenarios!F17/1000</f>
        <v>8.18567</v>
      </c>
      <c r="E8" s="1173">
        <f>Scenarios!F18/1000</f>
        <v>8.6639400000000002</v>
      </c>
      <c r="F8" s="236">
        <f>(C8*1000 - Assumptions!$F$61 + Assumptions!$F$62)/Assumptions!$F$54</f>
        <v>18.318658536585364</v>
      </c>
      <c r="G8" s="236">
        <f>(D8*1000 - Assumptions!$F$61 + Assumptions!$F$62)/Assumptions!$F$54</f>
        <v>21.647975609756099</v>
      </c>
      <c r="H8" s="236">
        <f>(E8*1000 - Assumptions!$F$61 + Assumptions!$F$62)/Assumptions!$F$54</f>
        <v>22.814487804878048</v>
      </c>
      <c r="I8" s="256"/>
      <c r="J8" s="255"/>
      <c r="K8" s="264" t="s">
        <v>1833</v>
      </c>
    </row>
    <row r="9" spans="1:11" ht="60.75">
      <c r="A9" s="267" t="s">
        <v>1834</v>
      </c>
      <c r="B9" s="29" t="s">
        <v>1835</v>
      </c>
      <c r="C9" s="1173">
        <f>Scenarios!E16/1000</f>
        <v>8.2327880000000011</v>
      </c>
      <c r="D9" s="1173">
        <f>Scenarios!E17/1000</f>
        <v>11.556925999999999</v>
      </c>
      <c r="E9" s="1173">
        <f>Scenarios!E18/1000</f>
        <v>13.531827999999999</v>
      </c>
      <c r="F9" s="236">
        <f>(C9*1000 - Assumptions!$F$61 + Assumptions!$F$62)/Assumptions!$F$54</f>
        <v>21.76289756097561</v>
      </c>
      <c r="G9" s="236">
        <f>(D9*1000 - Assumptions!$F$61 + Assumptions!$F$62)/Assumptions!$F$54</f>
        <v>29.870551219512194</v>
      </c>
      <c r="H9" s="236">
        <f>(E9*1000 - Assumptions!$F$61 + Assumptions!$F$62)/Assumptions!$F$54</f>
        <v>34.687385365853658</v>
      </c>
      <c r="I9" s="256">
        <v>0.4</v>
      </c>
      <c r="J9" s="255">
        <f>I9*D9</f>
        <v>4.6227703999999994</v>
      </c>
      <c r="K9" s="264" t="s">
        <v>1836</v>
      </c>
    </row>
    <row r="10" spans="1:11" ht="36.75">
      <c r="A10" s="241" t="s">
        <v>1837</v>
      </c>
      <c r="B10" s="230" t="s">
        <v>1838</v>
      </c>
      <c r="C10" s="250">
        <f>Comps!D43/1000</f>
        <v>1.177</v>
      </c>
      <c r="D10" s="251">
        <f>Comps!D55/1000</f>
        <v>3.5726175000000007</v>
      </c>
      <c r="E10" s="250">
        <f>Comps!D56/1000</f>
        <v>7.5487500000000001</v>
      </c>
      <c r="F10" s="234">
        <f>(C10*1000 - Assumptions!$F$61 + Assumptions!$F$62)/Assumptions!$F$54</f>
        <v>4.5536585365853659</v>
      </c>
      <c r="G10" s="235">
        <f>(D10*1000 - Assumptions!$F$61 + Assumptions!$F$62)/Assumptions!$F$54</f>
        <v>10.396628048780489</v>
      </c>
      <c r="H10" s="234">
        <f>(E10*1000 - Assumptions!$F$61 + Assumptions!$F$62)/Assumptions!$F$54</f>
        <v>20.094512195121951</v>
      </c>
      <c r="I10" s="237">
        <v>0.35</v>
      </c>
      <c r="J10" s="260">
        <f>D10*I10</f>
        <v>1.2504161250000001</v>
      </c>
      <c r="K10" s="263" t="s">
        <v>1839</v>
      </c>
    </row>
    <row r="11" spans="1:11">
      <c r="A11" s="164"/>
      <c r="B11" s="1194"/>
      <c r="C11" s="253"/>
      <c r="D11" s="253"/>
      <c r="E11" s="253"/>
      <c r="F11" s="239"/>
      <c r="G11" s="239"/>
      <c r="H11" s="239"/>
      <c r="I11" s="256"/>
      <c r="J11" s="255"/>
      <c r="K11" s="152"/>
    </row>
    <row r="12" spans="1:11" ht="24.75">
      <c r="A12" s="268" t="s">
        <v>53</v>
      </c>
      <c r="B12" s="232" t="s">
        <v>1840</v>
      </c>
      <c r="C12" s="254" t="s">
        <v>70</v>
      </c>
      <c r="D12" s="254" t="s">
        <v>70</v>
      </c>
      <c r="E12" s="254" t="s">
        <v>70</v>
      </c>
      <c r="F12" s="234"/>
      <c r="G12" s="234"/>
      <c r="H12" s="234"/>
      <c r="I12" s="257"/>
      <c r="J12" s="251"/>
      <c r="K12" s="265" t="s">
        <v>1841</v>
      </c>
    </row>
    <row r="13" spans="1:11" ht="24.75">
      <c r="A13" s="164" t="s">
        <v>186</v>
      </c>
      <c r="B13" s="29" t="s">
        <v>1842</v>
      </c>
      <c r="C13" s="253">
        <f>DCF!C52/1000</f>
        <v>10.1</v>
      </c>
      <c r="D13" s="255">
        <f>DCF!C52/1000</f>
        <v>10.1</v>
      </c>
      <c r="E13" s="253">
        <f>DCF!C52/1000</f>
        <v>10.1</v>
      </c>
      <c r="F13" s="239">
        <f>(C13*1000 - Assumptions!$F$61 + Assumptions!$F$62)/Assumptions!$F$54</f>
        <v>26.317073170731707</v>
      </c>
      <c r="G13" s="240">
        <f>(D13*1000 - Assumptions!$F$61 + Assumptions!$F$62)/Assumptions!$F$54</f>
        <v>26.317073170731707</v>
      </c>
      <c r="H13" s="239">
        <f>(E13*1000 - Assumptions!$F$61 + Assumptions!$F$62)/Assumptions!$F$54</f>
        <v>26.317073170731707</v>
      </c>
      <c r="I13" s="258">
        <v>0.1</v>
      </c>
      <c r="J13" s="261">
        <f>D13*I13</f>
        <v>1.01</v>
      </c>
      <c r="K13" s="264" t="s">
        <v>1843</v>
      </c>
    </row>
    <row r="14" spans="1:11" ht="62.25">
      <c r="A14" s="246" t="s">
        <v>189</v>
      </c>
      <c r="B14" s="247" t="s">
        <v>1844</v>
      </c>
      <c r="C14" s="1276">
        <f>Assumptions!C94/1000</f>
        <v>13.242222222222221</v>
      </c>
      <c r="D14" s="1277">
        <f>Assumptions!D94/1000</f>
        <v>14.690909090909091</v>
      </c>
      <c r="E14" s="1276">
        <f>Assumptions!E94/1000</f>
        <v>19.713253012048192</v>
      </c>
      <c r="F14" s="248">
        <f>(C14*1000 - Assumptions!$F$61 + Assumptions!$F$62)/Assumptions!$F$54</f>
        <v>33.981029810298097</v>
      </c>
      <c r="G14" s="249">
        <f>(D14*1000 - Assumptions!$F$61 + Assumptions!$F$62)/Assumptions!$F$54</f>
        <v>37.514412416851442</v>
      </c>
      <c r="H14" s="248">
        <f>(E14*1000 - Assumptions!$F$61 + Assumptions!$F$62)/Assumptions!$F$54</f>
        <v>49.764031736702911</v>
      </c>
      <c r="I14" s="259">
        <v>0.15</v>
      </c>
      <c r="J14" s="262">
        <f>D14*I14</f>
        <v>2.2036363636363636</v>
      </c>
      <c r="K14" s="266" t="s">
        <v>1845</v>
      </c>
    </row>
    <row r="15" spans="1:11" ht="15.75" thickBot="1">
      <c r="A15" s="1210"/>
      <c r="B15" s="1210"/>
      <c r="C15" s="1210"/>
      <c r="D15" s="1210"/>
      <c r="E15" s="1210"/>
      <c r="F15" s="1210"/>
      <c r="G15" s="1210"/>
      <c r="H15" s="1210"/>
      <c r="I15" s="1210"/>
      <c r="J15" s="1210"/>
      <c r="K15" s="229"/>
    </row>
    <row r="16" spans="1:11">
      <c r="A16" s="270" t="s">
        <v>1846</v>
      </c>
      <c r="B16" s="271"/>
      <c r="C16" s="271"/>
      <c r="D16" s="271"/>
      <c r="E16" s="271"/>
      <c r="F16" s="271"/>
      <c r="G16" s="271"/>
      <c r="H16" s="271"/>
      <c r="I16" s="272">
        <f>I6+I9+I10+I13+I14</f>
        <v>1</v>
      </c>
      <c r="J16" s="273"/>
      <c r="K16" s="274"/>
    </row>
    <row r="17" spans="1:11" ht="15.75" thickBot="1">
      <c r="A17" s="1210"/>
      <c r="B17" s="1210"/>
      <c r="C17" s="1210"/>
      <c r="D17" s="1210"/>
      <c r="E17" s="1210"/>
      <c r="F17" s="1210"/>
      <c r="G17" s="1210"/>
      <c r="H17" s="1210"/>
      <c r="I17" s="1210"/>
      <c r="J17" s="1210"/>
      <c r="K17" s="229"/>
    </row>
    <row r="18" spans="1:11">
      <c r="A18" s="278" t="s">
        <v>76</v>
      </c>
      <c r="B18" s="275"/>
      <c r="C18" s="275"/>
      <c r="D18" s="285">
        <f>J9+J10+J13+J14</f>
        <v>9.0868228886363624</v>
      </c>
      <c r="E18" s="275"/>
      <c r="F18" s="275"/>
      <c r="G18" s="276">
        <f>(D18*1000 - Assumptions!$F$61 + Assumptions!$F$62)/Assumptions!$F$54</f>
        <v>23.845909484478934</v>
      </c>
      <c r="H18" s="275"/>
      <c r="I18" s="275"/>
      <c r="J18" s="275"/>
      <c r="K18" s="280" t="s">
        <v>1847</v>
      </c>
    </row>
    <row r="19" spans="1:11">
      <c r="A19" s="279" t="s">
        <v>72</v>
      </c>
      <c r="B19" s="1198"/>
      <c r="C19" s="1198"/>
      <c r="D19" s="286">
        <f>DCF!C52/1000</f>
        <v>10.1</v>
      </c>
      <c r="E19" s="1198"/>
      <c r="F19" s="1198"/>
      <c r="G19" s="277">
        <f>(D19*1000 - Assumptions!$F$61 + Assumptions!$F$62)/Assumptions!$F$54</f>
        <v>26.317073170731707</v>
      </c>
      <c r="H19" s="1198"/>
      <c r="I19" s="1198"/>
      <c r="J19" s="1198"/>
      <c r="K19" s="281"/>
    </row>
    <row r="20" spans="1:11" ht="15.75" thickBot="1">
      <c r="A20" s="282" t="s">
        <v>1848</v>
      </c>
      <c r="B20" s="283"/>
      <c r="C20" s="283"/>
      <c r="D20" s="287">
        <f>D18/D19 - 1</f>
        <v>-0.10031456548154827</v>
      </c>
      <c r="E20" s="283"/>
      <c r="F20" s="283"/>
      <c r="G20" s="287">
        <f>G18/G19 - 1</f>
        <v>-9.3899639607380569E-2</v>
      </c>
      <c r="H20" s="283"/>
      <c r="I20" s="283"/>
      <c r="J20" s="283"/>
      <c r="K20" s="284" t="s">
        <v>1849</v>
      </c>
    </row>
    <row r="21" spans="1:11">
      <c r="A21" s="1210"/>
      <c r="B21" s="1210"/>
      <c r="C21" s="1210"/>
      <c r="D21" s="1210"/>
      <c r="E21" s="1210"/>
      <c r="F21" s="1210"/>
      <c r="G21" s="1210"/>
      <c r="H21" s="1210"/>
      <c r="I21" s="1210"/>
      <c r="J21" s="1210"/>
      <c r="K21" s="229"/>
    </row>
    <row r="22" spans="1:11">
      <c r="A22" s="1486" t="s">
        <v>1850</v>
      </c>
      <c r="B22" s="1578"/>
      <c r="C22" s="1578"/>
      <c r="D22" s="1578"/>
      <c r="E22" s="1578"/>
      <c r="F22" s="1578"/>
      <c r="G22" s="1578"/>
      <c r="H22" s="1578"/>
      <c r="I22" s="1578"/>
      <c r="J22" s="1578"/>
      <c r="K22" s="1578"/>
    </row>
    <row r="23" spans="1:11">
      <c r="A23" s="296" t="s">
        <v>1851</v>
      </c>
      <c r="B23" s="288" t="str">
        <f>INDEX($A$6:$A$14, MATCH(MIN(D6,D10,D13,D14), D6:D14, 0))</f>
        <v>2. Public Comps (three-thesis bracketing)</v>
      </c>
      <c r="C23" s="269"/>
      <c r="D23" s="289">
        <f>MIN(D6,D10,D13,D14)</f>
        <v>3.5726175000000007</v>
      </c>
      <c r="E23" s="269"/>
      <c r="F23" s="269"/>
      <c r="G23" s="290">
        <f>(D23*1000 - Assumptions!$F$61 + Assumptions!$F$62)/Assumptions!$F$54</f>
        <v>10.396628048780489</v>
      </c>
      <c r="H23" s="269"/>
      <c r="I23" s="269"/>
      <c r="J23" s="269"/>
      <c r="K23" s="298"/>
    </row>
    <row r="24" spans="1:11">
      <c r="A24" s="297" t="s">
        <v>1852</v>
      </c>
      <c r="B24" s="1214" t="str">
        <f>INDEX($A$6:$A$14, MATCH(MAX(D6,D10,D13,D14), D6:D14, 0))</f>
        <v>5. Implied IPO Trading Range</v>
      </c>
      <c r="C24" s="1210"/>
      <c r="D24" s="291">
        <f>MAX(D6,D10,D13,D14)</f>
        <v>14.690909090909091</v>
      </c>
      <c r="E24" s="1210"/>
      <c r="F24" s="1210"/>
      <c r="G24" s="292">
        <f>(D24*1000 - Assumptions!$F$61 + Assumptions!$F$62)/Assumptions!$F$54</f>
        <v>37.514412416851442</v>
      </c>
      <c r="H24" s="1210"/>
      <c r="I24" s="1210"/>
      <c r="J24" s="1210"/>
      <c r="K24" s="299"/>
    </row>
    <row r="25" spans="1:11">
      <c r="A25" s="189" t="s">
        <v>1853</v>
      </c>
      <c r="B25" s="293"/>
      <c r="C25" s="293"/>
      <c r="D25" s="294">
        <f>D24-D23</f>
        <v>11.118291590909092</v>
      </c>
      <c r="E25" s="293"/>
      <c r="F25" s="293"/>
      <c r="G25" s="295">
        <f>G24-G23</f>
        <v>27.117784368070954</v>
      </c>
      <c r="H25" s="293"/>
      <c r="I25" s="293"/>
      <c r="J25" s="293"/>
      <c r="K25" s="300"/>
    </row>
    <row r="27" spans="1:11">
      <c r="A27" s="1486" t="s">
        <v>1854</v>
      </c>
      <c r="B27" s="1534"/>
      <c r="C27" s="1534"/>
      <c r="D27" s="1534"/>
      <c r="E27" s="1534"/>
      <c r="F27" s="1534"/>
      <c r="G27" s="1534"/>
      <c r="H27" s="1534"/>
      <c r="I27" s="1534"/>
      <c r="J27" s="1534"/>
      <c r="K27" s="1534"/>
    </row>
    <row r="28" spans="1:11" ht="99.95" customHeight="1">
      <c r="A28" s="1488" t="str">
        <f>"Multi-method synthesis: weighted average EV "&amp;TEXT(D18,"$0.00\B")&amp;" / "&amp;TEXT(G18,"$0.00")&amp;" per share, "&amp;TEXT(D20,"+0.0%;-0.0%")&amp;" vs Series G "&amp;TEXT(D19,"$0.00\B")&amp;" / "&amp;TEXT(G19,"$0.00")&amp;". DCF Base anchor "&amp;TEXT(D6,"$0.00\B")&amp;" EV / "&amp;TEXT(D6,"$0.00\B")&amp;" equity (Series G premium "&amp;TEXT(D6/D19-1,"+0.0%;-0.0%")&amp;"). Three-thesis comps Low/Base/High: "&amp;TEXT(C10,"$0.0\B")&amp;" / "&amp;TEXT(D10,"$0.0\B")&amp;" / "&amp;TEXT(E10,"$0.0\B")&amp;". IPO implied range "&amp;TEXT(C14,"$0.0\B")&amp;"-"&amp;TEXT(E14,"$0.0\B")&amp;"."</f>
        <v>Multi-method synthesis: weighted average EV $9.09B / $23.85 per share, -10.0% vs Series G $10.10B / $26.32. DCF Base anchor $7.32B EV / $7.32B equity (Series G premium -27.5%). Three-thesis comps Low/Base/High: $1.2B / $3.6B / $7.5B. IPO implied range $13.2B-$19.7B.</v>
      </c>
      <c r="B28" s="1579"/>
      <c r="C28" s="1579"/>
      <c r="D28" s="1579"/>
      <c r="E28" s="1579"/>
      <c r="F28" s="1579"/>
      <c r="G28" s="1579"/>
      <c r="H28" s="1579"/>
      <c r="I28" s="1579"/>
      <c r="J28" s="1579"/>
      <c r="K28" s="1579"/>
    </row>
    <row r="31" spans="1:11">
      <c r="A31" s="1502" t="s">
        <v>1855</v>
      </c>
      <c r="B31" s="1577"/>
      <c r="C31" s="1577"/>
      <c r="D31" s="1577"/>
      <c r="E31" s="1577"/>
      <c r="F31" s="1210"/>
      <c r="G31" s="1210"/>
      <c r="H31" s="1210"/>
      <c r="I31" s="1210"/>
      <c r="J31" s="1210"/>
      <c r="K31" s="1210"/>
    </row>
    <row r="32" spans="1:11">
      <c r="A32" s="303" t="s">
        <v>88</v>
      </c>
      <c r="B32" s="304" t="s">
        <v>168</v>
      </c>
      <c r="C32" s="304" t="s">
        <v>1856</v>
      </c>
      <c r="D32" s="304" t="s">
        <v>1857</v>
      </c>
      <c r="E32" s="304" t="s">
        <v>170</v>
      </c>
      <c r="F32" s="1210"/>
      <c r="G32" s="1210"/>
      <c r="H32" s="1210"/>
      <c r="I32" s="1210"/>
      <c r="J32" s="1210"/>
      <c r="K32" s="1210"/>
    </row>
    <row r="33" spans="1:12">
      <c r="A33" s="302" t="s">
        <v>188</v>
      </c>
      <c r="B33" s="305">
        <f>C6</f>
        <v>2.49675</v>
      </c>
      <c r="C33" s="305">
        <f>E6-C6</f>
        <v>22.160920000000001</v>
      </c>
      <c r="D33" s="305">
        <f>D6</f>
        <v>7.3205499999999999</v>
      </c>
      <c r="E33" s="305">
        <f>$D$19</f>
        <v>10.1</v>
      </c>
      <c r="F33" s="1210"/>
      <c r="G33" s="1210"/>
      <c r="H33" s="1210"/>
      <c r="I33" s="1210"/>
      <c r="J33" s="1210"/>
      <c r="K33" s="1210"/>
      <c r="L33" s="1210"/>
    </row>
    <row r="34" spans="1:12">
      <c r="A34" s="302" t="s">
        <v>185</v>
      </c>
      <c r="B34" s="305" t="s">
        <v>70</v>
      </c>
      <c r="C34" s="305" t="s">
        <v>70</v>
      </c>
      <c r="D34" s="305" t="s">
        <v>70</v>
      </c>
      <c r="E34" s="305">
        <f>$D$19</f>
        <v>10.1</v>
      </c>
      <c r="F34" s="1210"/>
      <c r="G34" s="1210"/>
      <c r="H34" s="1210"/>
      <c r="I34" s="1210"/>
      <c r="J34" s="1210"/>
      <c r="K34" s="1210"/>
      <c r="L34" s="1210"/>
    </row>
    <row r="35" spans="1:12">
      <c r="A35" s="302" t="s">
        <v>183</v>
      </c>
      <c r="B35" s="305">
        <f>C10</f>
        <v>1.177</v>
      </c>
      <c r="C35" s="305">
        <f>E10-C10</f>
        <v>6.3717500000000005</v>
      </c>
      <c r="D35" s="305">
        <f>D10</f>
        <v>3.5726175000000007</v>
      </c>
      <c r="E35" s="305">
        <f>$D$19</f>
        <v>10.1</v>
      </c>
      <c r="F35" s="1210"/>
      <c r="G35" s="1210"/>
      <c r="H35" s="1210"/>
      <c r="I35" s="1210"/>
      <c r="J35" s="1210"/>
      <c r="K35" s="1210"/>
      <c r="L35" s="1210"/>
    </row>
    <row r="36" spans="1:12">
      <c r="A36" s="302" t="s">
        <v>186</v>
      </c>
      <c r="B36" s="305">
        <f>C13</f>
        <v>10.1</v>
      </c>
      <c r="C36" s="305">
        <v>1E-3</v>
      </c>
      <c r="D36" s="305">
        <f>D13</f>
        <v>10.1</v>
      </c>
      <c r="E36" s="305">
        <f>$D$19</f>
        <v>10.1</v>
      </c>
      <c r="F36" s="1210"/>
      <c r="G36" s="1210"/>
      <c r="H36" s="1210"/>
      <c r="I36" s="1210"/>
      <c r="J36" s="1210"/>
      <c r="K36" s="1210"/>
      <c r="L36" s="1210"/>
    </row>
    <row r="37" spans="1:12">
      <c r="A37" s="302" t="s">
        <v>1858</v>
      </c>
      <c r="B37" s="305">
        <f>C14</f>
        <v>13.242222222222221</v>
      </c>
      <c r="C37" s="81">
        <f>E14-C14</f>
        <v>6.4710307898259707</v>
      </c>
      <c r="D37" s="305">
        <f>D14</f>
        <v>14.690909090909091</v>
      </c>
      <c r="E37" s="305">
        <f>$D$19</f>
        <v>10.1</v>
      </c>
      <c r="F37" s="1210"/>
      <c r="G37" s="1210"/>
      <c r="H37" s="1210"/>
      <c r="I37" s="1210"/>
      <c r="J37" s="1210"/>
      <c r="K37" s="1210"/>
      <c r="L37" s="1210"/>
    </row>
    <row r="38" spans="1:12">
      <c r="A38" s="1210" t="s">
        <v>176</v>
      </c>
      <c r="B38" s="39">
        <f>C14</f>
        <v>13.242222222222221</v>
      </c>
      <c r="C38" s="39">
        <f>E14-C14</f>
        <v>6.4710307898259707</v>
      </c>
      <c r="D38" s="39">
        <f>D14</f>
        <v>14.690909090909091</v>
      </c>
      <c r="E38" s="39">
        <v>10.1</v>
      </c>
      <c r="F38" s="1210"/>
      <c r="G38" s="1210"/>
      <c r="H38" s="1210"/>
      <c r="I38" s="1210"/>
      <c r="J38" s="1210"/>
      <c r="K38" s="1210"/>
      <c r="L38" s="1210"/>
    </row>
    <row r="39" spans="1:12">
      <c r="A39" s="1210" t="s">
        <v>1859</v>
      </c>
      <c r="B39" s="39">
        <f>D18</f>
        <v>9.0868228886363624</v>
      </c>
      <c r="C39" s="73">
        <v>1E-3</v>
      </c>
      <c r="D39" s="39">
        <f>D18</f>
        <v>9.0868228886363624</v>
      </c>
      <c r="E39" s="39">
        <v>10.1</v>
      </c>
      <c r="F39" s="1210"/>
      <c r="G39" s="1210"/>
      <c r="H39" s="1210"/>
      <c r="I39" s="1210"/>
      <c r="J39" s="1210"/>
      <c r="K39" s="1210"/>
      <c r="L39" s="1210"/>
    </row>
    <row r="41" spans="1:12">
      <c r="A41" s="1210" t="s">
        <v>1860</v>
      </c>
      <c r="B41" s="1210" t="s">
        <v>70</v>
      </c>
      <c r="C41" s="1210" t="s">
        <v>70</v>
      </c>
      <c r="D41" s="1210" t="s">
        <v>70</v>
      </c>
      <c r="E41" s="1210" t="s">
        <v>70</v>
      </c>
      <c r="F41" s="1210"/>
      <c r="G41" s="1210"/>
      <c r="H41" s="1210"/>
      <c r="I41" s="1210"/>
      <c r="J41" s="1210"/>
      <c r="K41" s="1210"/>
      <c r="L41" s="1210"/>
    </row>
    <row r="42" spans="1:12">
      <c r="A42" s="1279" t="s">
        <v>1861</v>
      </c>
      <c r="B42" s="1281"/>
      <c r="C42" s="1281"/>
      <c r="D42" s="1281"/>
      <c r="E42" s="1281"/>
      <c r="F42" s="1281"/>
      <c r="G42" s="1281"/>
      <c r="H42" s="1281"/>
      <c r="I42" s="1281"/>
      <c r="J42" s="1281"/>
      <c r="K42" s="1281"/>
      <c r="L42" s="1210"/>
    </row>
    <row r="43" spans="1:12">
      <c r="A43" s="1282" t="s">
        <v>1862</v>
      </c>
      <c r="B43" s="1210"/>
      <c r="C43" s="1210"/>
      <c r="D43" s="1210"/>
      <c r="E43" s="1210"/>
      <c r="F43" s="1210"/>
      <c r="G43" s="1210"/>
      <c r="H43" s="1210"/>
      <c r="I43" s="1210"/>
      <c r="J43" s="1210"/>
      <c r="K43" s="1210"/>
      <c r="L43" s="1210"/>
    </row>
    <row r="44" spans="1:12">
      <c r="A44" s="1210"/>
      <c r="B44" s="1210"/>
      <c r="C44" s="1210"/>
      <c r="D44" s="1210"/>
      <c r="E44" s="1210"/>
      <c r="F44" s="1210"/>
      <c r="G44" s="1210"/>
      <c r="H44" s="1210"/>
      <c r="I44" s="1210"/>
      <c r="J44" s="1210"/>
      <c r="K44" s="1210"/>
      <c r="L44" s="1210"/>
    </row>
    <row r="45" spans="1:12">
      <c r="A45" s="1284" t="s">
        <v>1863</v>
      </c>
      <c r="B45" s="1284" t="s">
        <v>1864</v>
      </c>
      <c r="C45" s="1286" t="s">
        <v>1865</v>
      </c>
      <c r="D45" s="1286" t="s">
        <v>1866</v>
      </c>
      <c r="E45" s="1286" t="s">
        <v>1867</v>
      </c>
      <c r="F45" s="1286" t="s">
        <v>1868</v>
      </c>
      <c r="G45" s="1286" t="s">
        <v>1869</v>
      </c>
      <c r="H45" s="1286" t="s">
        <v>1870</v>
      </c>
      <c r="I45" s="1286" t="s">
        <v>1871</v>
      </c>
      <c r="J45" s="1210"/>
      <c r="K45" s="1284" t="s">
        <v>1673</v>
      </c>
      <c r="L45" s="1210"/>
    </row>
    <row r="46" spans="1:12">
      <c r="A46" s="1288" t="s">
        <v>1589</v>
      </c>
      <c r="B46" s="1287" t="s">
        <v>1777</v>
      </c>
      <c r="C46" s="1293">
        <v>43313</v>
      </c>
      <c r="D46" s="1296">
        <v>4.1500000000000004</v>
      </c>
      <c r="E46" s="1293">
        <v>43709</v>
      </c>
      <c r="F46" s="1296">
        <v>8.1</v>
      </c>
      <c r="G46" s="1299">
        <f>DATEDIF(DATE(2018,8,1),DATE(2019,9,27),"m")</f>
        <v>13</v>
      </c>
      <c r="H46" s="1302">
        <f>F46/D46</f>
        <v>1.9518072289156625</v>
      </c>
      <c r="I46" s="1305">
        <f>(F46/D46)^(12/G46)-1</f>
        <v>0.8539397682780081</v>
      </c>
      <c r="J46" s="1210"/>
      <c r="K46" s="1282" t="s">
        <v>1872</v>
      </c>
      <c r="L46" s="1210"/>
    </row>
    <row r="47" spans="1:12">
      <c r="A47" s="1289" t="s">
        <v>1873</v>
      </c>
      <c r="B47" s="1291" t="s">
        <v>1777</v>
      </c>
      <c r="C47" s="1294">
        <v>41487</v>
      </c>
      <c r="D47" s="1297">
        <v>0.3</v>
      </c>
      <c r="E47" s="1294">
        <v>42156</v>
      </c>
      <c r="F47" s="1297">
        <v>4.0999999999999996</v>
      </c>
      <c r="G47" s="1300">
        <f>DATEDIF(DATE(2013,8,1),DATE(2015,6,18),"m")</f>
        <v>22</v>
      </c>
      <c r="H47" s="1303">
        <f>F47/D47</f>
        <v>13.666666666666666</v>
      </c>
      <c r="I47" s="1306">
        <f>(F47/D47)^(12/G47)-1</f>
        <v>3.1634401726706791</v>
      </c>
      <c r="J47" s="1210"/>
      <c r="K47" s="1309" t="s">
        <v>1874</v>
      </c>
      <c r="L47" s="1210"/>
    </row>
    <row r="48" spans="1:12">
      <c r="A48" s="1288" t="s">
        <v>1875</v>
      </c>
      <c r="B48" s="1287" t="s">
        <v>1782</v>
      </c>
      <c r="C48" s="1293">
        <v>43313</v>
      </c>
      <c r="D48" s="1296">
        <v>3.2</v>
      </c>
      <c r="E48" s="1293">
        <v>44256</v>
      </c>
      <c r="F48" s="1296">
        <v>7.92</v>
      </c>
      <c r="G48" s="1299">
        <f>DATEDIF(DATE(2018,8,1),DATE(2021,3,3),"m")</f>
        <v>31</v>
      </c>
      <c r="H48" s="1302">
        <f>F48/D48</f>
        <v>2.4749999999999996</v>
      </c>
      <c r="I48" s="1305">
        <f>(F48/D48)^(12/G48)-1</f>
        <v>0.42020713961560552</v>
      </c>
      <c r="J48" s="1210"/>
      <c r="K48" s="1282" t="s">
        <v>1876</v>
      </c>
      <c r="L48" s="1210"/>
    </row>
    <row r="49" spans="1:12">
      <c r="A49" s="1288" t="s">
        <v>1597</v>
      </c>
      <c r="B49" s="1287" t="s">
        <v>1877</v>
      </c>
      <c r="C49" s="1293">
        <v>41244</v>
      </c>
      <c r="D49" s="1296">
        <v>2.25</v>
      </c>
      <c r="E49" s="1293">
        <v>41791</v>
      </c>
      <c r="F49" s="1296">
        <v>2.95</v>
      </c>
      <c r="G49" s="1299">
        <f>DATEDIF(DATE(2012,12,1),DATE(2014,6,26),"m")</f>
        <v>18</v>
      </c>
      <c r="H49" s="1302">
        <f>F49/D49</f>
        <v>1.3111111111111111</v>
      </c>
      <c r="I49" s="1305">
        <f>(F49/D49)^(12/G49)-1</f>
        <v>0.19791590702185258</v>
      </c>
      <c r="J49" s="1210"/>
      <c r="K49" s="1282" t="s">
        <v>1878</v>
      </c>
      <c r="L49" s="1210"/>
    </row>
    <row r="50" spans="1:12">
      <c r="A50" s="1288" t="s">
        <v>1879</v>
      </c>
      <c r="B50" s="1287" t="s">
        <v>1770</v>
      </c>
      <c r="C50" s="1293">
        <v>43466</v>
      </c>
      <c r="D50" s="1296">
        <v>1.1000000000000001</v>
      </c>
      <c r="E50" s="1293">
        <v>44197</v>
      </c>
      <c r="F50" s="1296">
        <v>1.6</v>
      </c>
      <c r="G50" s="1299">
        <f>DATEDIF(DATE(2019,1,1),DATE(2021,1,20),"m")</f>
        <v>24</v>
      </c>
      <c r="H50" s="1302">
        <f>F50/D50</f>
        <v>1.4545454545454546</v>
      </c>
      <c r="I50" s="1305">
        <f>(F50/D50)^(12/G50)-1</f>
        <v>0.20604537831105452</v>
      </c>
      <c r="J50" s="1210"/>
      <c r="K50" s="1282" t="s">
        <v>1880</v>
      </c>
      <c r="L50" s="1210"/>
    </row>
    <row r="51" spans="1:12">
      <c r="A51" s="1290" t="s">
        <v>1881</v>
      </c>
      <c r="B51" s="1292" t="s">
        <v>1777</v>
      </c>
      <c r="C51" s="1295">
        <v>44075</v>
      </c>
      <c r="D51" s="1298">
        <v>1.7</v>
      </c>
      <c r="E51" s="1295">
        <v>44501</v>
      </c>
      <c r="F51" s="1298">
        <v>2.2000000000000002</v>
      </c>
      <c r="G51" s="1301">
        <f>DATEDIF(DATE(2020,9,1),DATE(2021,11,3),"m")</f>
        <v>14</v>
      </c>
      <c r="H51" s="1304">
        <f>F51/D51</f>
        <v>1.2941176470588236</v>
      </c>
      <c r="I51" s="1307">
        <f>(F51/D51)^(12/G51)-1</f>
        <v>0.24731891451527255</v>
      </c>
      <c r="J51" s="1210"/>
      <c r="K51" s="1310" t="s">
        <v>1882</v>
      </c>
      <c r="L51" s="1210"/>
    </row>
    <row r="52" spans="1:12">
      <c r="A52" s="1210"/>
      <c r="B52" s="1210"/>
      <c r="C52" s="1210"/>
      <c r="D52" s="1210"/>
      <c r="E52" s="1210"/>
      <c r="F52" s="1210"/>
      <c r="G52" s="1210"/>
      <c r="H52" s="1210"/>
      <c r="I52" s="1210"/>
      <c r="J52" s="1210"/>
      <c r="K52" s="1210"/>
      <c r="L52" s="1210"/>
    </row>
    <row r="53" spans="1:12">
      <c r="A53" s="1284" t="s">
        <v>1883</v>
      </c>
      <c r="B53" s="1314"/>
      <c r="C53" s="1314"/>
      <c r="D53" s="1314"/>
      <c r="E53" s="1314"/>
      <c r="F53" s="1314"/>
      <c r="G53" s="1314"/>
      <c r="H53" s="1314"/>
      <c r="I53" s="1314"/>
      <c r="J53" s="1210"/>
      <c r="K53" s="1210"/>
      <c r="L53" s="1210"/>
    </row>
    <row r="54" spans="1:12">
      <c r="A54" s="1287" t="s">
        <v>1884</v>
      </c>
      <c r="B54" s="1210"/>
      <c r="C54" s="1210"/>
      <c r="D54" s="1210"/>
      <c r="E54" s="1210"/>
      <c r="F54" s="1210"/>
      <c r="G54" s="1316">
        <f>MEDIAN(G46:G51)</f>
        <v>20</v>
      </c>
      <c r="H54" s="1318">
        <f>MEDIAN(H46:H51)</f>
        <v>1.7031763417305585</v>
      </c>
      <c r="I54" s="1320">
        <f>MEDIAN(I46:I51)</f>
        <v>0.33376302706543903</v>
      </c>
      <c r="J54" s="1210"/>
      <c r="K54" s="1210"/>
      <c r="L54" s="1210"/>
    </row>
    <row r="55" spans="1:12">
      <c r="A55" s="1287" t="s">
        <v>1885</v>
      </c>
      <c r="B55" s="1210"/>
      <c r="C55" s="1210"/>
      <c r="D55" s="1210"/>
      <c r="E55" s="1210"/>
      <c r="F55" s="1210"/>
      <c r="G55" s="1299">
        <f>AVERAGE(G46:G51)</f>
        <v>20.333333333333332</v>
      </c>
      <c r="H55" s="1302">
        <f>AVERAGE(H46:H51)</f>
        <v>3.6922080180496191</v>
      </c>
      <c r="I55" s="1305">
        <f>AVERAGE(I46:I51)</f>
        <v>0.84814454673541206</v>
      </c>
      <c r="J55" s="1210"/>
      <c r="K55" s="1210"/>
      <c r="L55" s="1210"/>
    </row>
    <row r="56" spans="1:12">
      <c r="A56" s="1315" t="s">
        <v>1886</v>
      </c>
      <c r="B56" s="1210"/>
      <c r="C56" s="1210"/>
      <c r="D56" s="1210"/>
      <c r="E56" s="1210"/>
      <c r="F56" s="1210"/>
      <c r="G56" s="1317">
        <f>MEDIAN(G46,G48:G51)</f>
        <v>18</v>
      </c>
      <c r="H56" s="1319">
        <f>MEDIAN(H46,H48:H51)</f>
        <v>1.4545454545454546</v>
      </c>
      <c r="I56" s="1321">
        <f>MEDIAN(I46,I48:I51)</f>
        <v>0.24731891451527255</v>
      </c>
      <c r="J56" s="1210"/>
      <c r="K56" s="1210"/>
      <c r="L56" s="1210"/>
    </row>
    <row r="57" spans="1:12">
      <c r="A57" s="1287" t="s">
        <v>1887</v>
      </c>
      <c r="B57" s="1210"/>
      <c r="C57" s="1210"/>
      <c r="D57" s="1210"/>
      <c r="E57" s="1210"/>
      <c r="F57" s="1210"/>
      <c r="G57" s="1299"/>
      <c r="H57" s="1302">
        <f>PERCENTILE(CHOOSE({1;2;3;4;5},H46,H48,H49,H50,H51),0.25)</f>
        <v>1.3111111111111111</v>
      </c>
      <c r="I57" s="1305"/>
      <c r="J57" s="1210"/>
      <c r="K57" s="1210"/>
      <c r="L57" s="1210"/>
    </row>
    <row r="58" spans="1:12">
      <c r="A58" s="1292" t="s">
        <v>1888</v>
      </c>
      <c r="B58" s="1210"/>
      <c r="C58" s="1210"/>
      <c r="D58" s="1210"/>
      <c r="E58" s="1210"/>
      <c r="F58" s="1210"/>
      <c r="G58" s="1301"/>
      <c r="H58" s="1304">
        <f>PERCENTILE(CHOOSE({1;2;3;4;5},H46,H48,H49,H50,H51),0.75)</f>
        <v>1.9518072289156625</v>
      </c>
      <c r="I58" s="1307"/>
      <c r="J58" s="1210"/>
      <c r="K58" s="1210"/>
      <c r="L58" s="1210"/>
    </row>
    <row r="59" spans="1:12">
      <c r="A59" s="1210"/>
      <c r="B59" s="1210"/>
      <c r="C59" s="1210"/>
      <c r="D59" s="1210"/>
      <c r="E59" s="1210"/>
      <c r="F59" s="1210"/>
      <c r="G59" s="1210"/>
      <c r="H59" s="1210"/>
      <c r="I59" s="1210"/>
      <c r="J59" s="1210"/>
      <c r="K59" s="1210"/>
      <c r="L59" s="1210"/>
    </row>
    <row r="60" spans="1:12">
      <c r="A60" s="1284" t="s">
        <v>1889</v>
      </c>
      <c r="B60" s="1322" t="s">
        <v>1890</v>
      </c>
      <c r="C60" s="1322" t="s">
        <v>1891</v>
      </c>
      <c r="D60" s="1323" t="s">
        <v>1892</v>
      </c>
      <c r="E60" s="1322" t="s">
        <v>1893</v>
      </c>
      <c r="F60" s="1314"/>
      <c r="G60" s="1210"/>
      <c r="H60" s="1210"/>
      <c r="I60" s="1210"/>
      <c r="J60" s="1210"/>
      <c r="K60" s="1210"/>
      <c r="L60" s="1210"/>
    </row>
    <row r="61" spans="1:12">
      <c r="A61" s="1287" t="s">
        <v>1894</v>
      </c>
      <c r="B61" s="1328">
        <f>D13</f>
        <v>10.1</v>
      </c>
      <c r="C61" s="1329">
        <f>H57</f>
        <v>1.3111111111111111</v>
      </c>
      <c r="D61" s="1325">
        <f>B61*C61</f>
        <v>13.242222222222221</v>
      </c>
      <c r="E61" s="1330">
        <f>D61/D14-1</f>
        <v>-9.8611111111111205E-2</v>
      </c>
      <c r="F61" s="1210"/>
      <c r="G61" s="1210"/>
      <c r="H61" s="1210"/>
      <c r="I61" s="1210"/>
      <c r="J61" s="1210"/>
      <c r="K61" s="1210"/>
      <c r="L61" s="1210"/>
    </row>
    <row r="62" spans="1:12">
      <c r="A62" s="1315" t="s">
        <v>1895</v>
      </c>
      <c r="B62" s="1271">
        <f>D13</f>
        <v>10.1</v>
      </c>
      <c r="C62" s="1272">
        <f>H56</f>
        <v>1.4545454545454546</v>
      </c>
      <c r="D62" s="1326">
        <f>B62*C62</f>
        <v>14.690909090909091</v>
      </c>
      <c r="E62" s="1273">
        <f>D62/D14-1</f>
        <v>0</v>
      </c>
      <c r="F62" s="1210"/>
      <c r="G62" s="1210"/>
      <c r="H62" s="1210"/>
      <c r="I62" s="1210"/>
      <c r="J62" s="1210"/>
      <c r="K62" s="1210"/>
      <c r="L62" s="1210"/>
    </row>
    <row r="63" spans="1:12">
      <c r="A63" s="1324" t="s">
        <v>1896</v>
      </c>
      <c r="B63" s="1331">
        <f>D13</f>
        <v>10.1</v>
      </c>
      <c r="C63" s="1332">
        <f>H58</f>
        <v>1.9518072289156625</v>
      </c>
      <c r="D63" s="1327">
        <f>B63*C63</f>
        <v>19.713253012048192</v>
      </c>
      <c r="E63" s="1333">
        <f>D63/D14-1</f>
        <v>0.34186746987951788</v>
      </c>
      <c r="F63" s="1334"/>
      <c r="G63" s="1210"/>
      <c r="H63" s="1210"/>
      <c r="I63" s="1210"/>
      <c r="J63" s="1210"/>
      <c r="K63" s="1210"/>
      <c r="L63" s="1210"/>
    </row>
    <row r="64" spans="1:12">
      <c r="A64" s="1210"/>
      <c r="B64" s="1210"/>
      <c r="C64" s="1210"/>
      <c r="D64" s="1210"/>
      <c r="E64" s="1210"/>
      <c r="F64" s="1210"/>
      <c r="G64" s="1210"/>
      <c r="H64" s="1210"/>
      <c r="I64" s="1210"/>
      <c r="J64" s="1210"/>
      <c r="K64" s="1210"/>
      <c r="L64" s="1210"/>
    </row>
    <row r="65" spans="1:10">
      <c r="A65" s="1284" t="s">
        <v>1897</v>
      </c>
      <c r="B65" s="1314"/>
      <c r="C65" s="1314"/>
      <c r="D65" s="1314"/>
      <c r="E65" s="1314"/>
      <c r="F65" s="1314"/>
      <c r="G65" s="1314"/>
      <c r="H65" s="1314"/>
      <c r="I65" s="1314"/>
      <c r="J65" s="1210"/>
    </row>
    <row r="66" spans="1:10">
      <c r="A66" s="1282" t="s">
        <v>1898</v>
      </c>
      <c r="B66" s="1210"/>
      <c r="C66" s="1210"/>
      <c r="D66" s="1210"/>
      <c r="E66" s="1210"/>
      <c r="F66" s="1210"/>
      <c r="G66" s="1210"/>
      <c r="H66" s="1210"/>
      <c r="I66" s="1210"/>
      <c r="J66" s="1210"/>
    </row>
    <row r="67" spans="1:10">
      <c r="A67" s="1282" t="s">
        <v>1899</v>
      </c>
      <c r="B67" s="1210"/>
      <c r="C67" s="1210"/>
      <c r="D67" s="1210"/>
      <c r="E67" s="1210"/>
      <c r="F67" s="1210"/>
      <c r="G67" s="1210"/>
      <c r="H67" s="1210"/>
      <c r="I67" s="1210"/>
      <c r="J67" s="1210"/>
    </row>
    <row r="68" spans="1:10">
      <c r="A68" s="1282" t="s">
        <v>1900</v>
      </c>
      <c r="B68" s="1210"/>
      <c r="C68" s="1210"/>
      <c r="D68" s="1210"/>
      <c r="E68" s="1210"/>
      <c r="F68" s="1210"/>
      <c r="G68" s="1210"/>
      <c r="H68" s="1210"/>
      <c r="I68" s="1210"/>
      <c r="J68" s="1210"/>
    </row>
    <row r="69" spans="1:10">
      <c r="A69" s="1282" t="s">
        <v>1901</v>
      </c>
      <c r="B69" s="1210"/>
      <c r="C69" s="1210"/>
      <c r="D69" s="1210"/>
      <c r="E69" s="1210"/>
      <c r="F69" s="1210"/>
      <c r="G69" s="1210"/>
      <c r="H69" s="1210"/>
      <c r="I69" s="1210"/>
      <c r="J69" s="1210"/>
    </row>
    <row r="70" spans="1:10">
      <c r="A70" s="1282" t="s">
        <v>1902</v>
      </c>
      <c r="B70" s="1210"/>
      <c r="C70" s="1210"/>
      <c r="D70" s="1210"/>
      <c r="E70" s="1210"/>
      <c r="F70" s="1210"/>
      <c r="G70" s="1210"/>
      <c r="H70" s="1210"/>
      <c r="I70" s="1210"/>
      <c r="J70" s="1210"/>
    </row>
  </sheetData>
  <mergeCells count="6">
    <mergeCell ref="A31:E31"/>
    <mergeCell ref="A1:K1"/>
    <mergeCell ref="A2:K2"/>
    <mergeCell ref="A22:K22"/>
    <mergeCell ref="A27:K27"/>
    <mergeCell ref="A28:K28"/>
  </mergeCell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L20"/>
  <sheetViews>
    <sheetView showGridLines="0" zoomScale="125" workbookViewId="0">
      <selection activeCell="A13" sqref="A13"/>
    </sheetView>
  </sheetViews>
  <sheetFormatPr defaultColWidth="8.85546875" defaultRowHeight="15"/>
  <cols>
    <col min="1" max="1" width="46.7109375" customWidth="1"/>
    <col min="2" max="5" width="16.7109375" customWidth="1"/>
    <col min="6" max="6" width="10" bestFit="1" customWidth="1"/>
  </cols>
  <sheetData>
    <row r="1" spans="1:12" ht="27.95" customHeight="1">
      <c r="A1" s="1514" t="s">
        <v>1903</v>
      </c>
      <c r="B1" s="1583"/>
      <c r="C1" s="1583"/>
      <c r="D1" s="1583"/>
      <c r="E1" s="1583"/>
      <c r="F1" s="1583"/>
      <c r="G1" s="1583"/>
      <c r="H1" s="1583"/>
      <c r="I1" s="1583"/>
      <c r="J1" s="1583"/>
      <c r="K1" s="1583"/>
      <c r="L1" s="1583"/>
    </row>
    <row r="2" spans="1:12">
      <c r="A2" s="1580" t="s">
        <v>1904</v>
      </c>
      <c r="B2" s="1581"/>
      <c r="C2" s="1581"/>
      <c r="D2" s="1581"/>
      <c r="E2" s="1581"/>
      <c r="F2" s="1581"/>
      <c r="G2" s="1581"/>
      <c r="H2" s="1581"/>
      <c r="I2" s="1581"/>
      <c r="J2" s="1581"/>
      <c r="K2" s="1581"/>
      <c r="L2" s="1581"/>
    </row>
    <row r="4" spans="1:12">
      <c r="A4" s="939" t="s">
        <v>88</v>
      </c>
      <c r="B4" s="940" t="s">
        <v>1905</v>
      </c>
      <c r="C4" s="940" t="s">
        <v>1906</v>
      </c>
      <c r="D4" s="940" t="s">
        <v>1907</v>
      </c>
      <c r="E4" s="940" t="s">
        <v>1908</v>
      </c>
      <c r="F4" s="941" t="s">
        <v>198</v>
      </c>
      <c r="G4" s="50"/>
      <c r="H4" s="50"/>
      <c r="I4" s="50"/>
      <c r="J4" s="50"/>
      <c r="K4" s="50"/>
      <c r="L4" s="50"/>
    </row>
    <row r="5" spans="1:12">
      <c r="A5" s="942" t="s">
        <v>1909</v>
      </c>
      <c r="B5" s="943">
        <f>DCF!C60</f>
        <v>2496.75</v>
      </c>
      <c r="C5" s="943">
        <f>DCF!C61</f>
        <v>7320.55</v>
      </c>
      <c r="D5" s="943">
        <f>DCF!C62</f>
        <v>24657.67</v>
      </c>
      <c r="E5" s="944">
        <f>DCF!C63</f>
        <v>8185.67</v>
      </c>
      <c r="F5" s="716" t="s">
        <v>1910</v>
      </c>
      <c r="G5" s="1210"/>
      <c r="H5" s="1210"/>
      <c r="I5" s="1210"/>
      <c r="J5" s="1210"/>
      <c r="K5" s="1210"/>
      <c r="L5" s="1210"/>
    </row>
    <row r="6" spans="1:12">
      <c r="A6" s="942" t="s">
        <v>1911</v>
      </c>
      <c r="B6" s="943" t="s">
        <v>70</v>
      </c>
      <c r="C6" s="943" t="s">
        <v>70</v>
      </c>
      <c r="D6" s="943" t="s">
        <v>70</v>
      </c>
      <c r="E6" s="944" t="s">
        <v>70</v>
      </c>
      <c r="F6" s="716" t="s">
        <v>1912</v>
      </c>
      <c r="G6" s="1210"/>
      <c r="H6" s="1210"/>
      <c r="I6" s="1210"/>
      <c r="J6" s="1210"/>
      <c r="K6" s="1210"/>
      <c r="L6" s="1210"/>
    </row>
    <row r="7" spans="1:12">
      <c r="A7" s="942" t="s">
        <v>1913</v>
      </c>
      <c r="B7" s="943">
        <f>Comps!D43</f>
        <v>1177</v>
      </c>
      <c r="C7" s="943">
        <f>Comps!D55</f>
        <v>3572.6175000000007</v>
      </c>
      <c r="D7" s="943">
        <f>Comps!D56</f>
        <v>7548.75</v>
      </c>
      <c r="E7" s="945" t="s">
        <v>70</v>
      </c>
      <c r="F7" s="716" t="s">
        <v>1914</v>
      </c>
      <c r="G7" s="1210"/>
      <c r="H7" s="1210"/>
      <c r="I7" s="1210"/>
      <c r="J7" s="1210"/>
      <c r="K7" s="1210"/>
      <c r="L7" s="1210"/>
    </row>
    <row r="8" spans="1:12">
      <c r="A8" s="942" t="s">
        <v>53</v>
      </c>
      <c r="B8" s="946" t="s">
        <v>70</v>
      </c>
      <c r="C8" s="946" t="s">
        <v>70</v>
      </c>
      <c r="D8" s="946" t="s">
        <v>70</v>
      </c>
      <c r="E8" s="945" t="s">
        <v>70</v>
      </c>
      <c r="F8" s="716" t="s">
        <v>1915</v>
      </c>
      <c r="G8" s="1210"/>
      <c r="H8" s="1210"/>
      <c r="I8" s="1210"/>
      <c r="J8" s="1210"/>
      <c r="K8" s="1210"/>
      <c r="L8" s="1210"/>
    </row>
    <row r="9" spans="1:12">
      <c r="A9" s="942" t="s">
        <v>186</v>
      </c>
      <c r="B9" s="943">
        <f>DCF!C52</f>
        <v>10100</v>
      </c>
      <c r="C9" s="943">
        <f>DCF!C52</f>
        <v>10100</v>
      </c>
      <c r="D9" s="943">
        <f>DCF!C52</f>
        <v>10100</v>
      </c>
      <c r="E9" s="944">
        <f>DCF!C52</f>
        <v>10100</v>
      </c>
      <c r="F9" s="716" t="s">
        <v>1916</v>
      </c>
      <c r="G9" s="1210"/>
      <c r="H9" s="1210"/>
      <c r="I9" s="1210"/>
      <c r="J9" s="1210"/>
      <c r="K9" s="1210"/>
      <c r="L9" s="1210"/>
    </row>
    <row r="10" spans="1:12">
      <c r="A10" s="942" t="s">
        <v>189</v>
      </c>
      <c r="B10" s="943">
        <f>Assumptions!C94</f>
        <v>13242.222222222221</v>
      </c>
      <c r="C10" s="943">
        <f>Assumptions!D94</f>
        <v>14690.909090909092</v>
      </c>
      <c r="D10" s="943">
        <f>Assumptions!E94</f>
        <v>19713.253012048193</v>
      </c>
      <c r="E10" s="1591">
        <f>D10-B10</f>
        <v>6471.0307898259725</v>
      </c>
      <c r="F10" s="716" t="s">
        <v>1917</v>
      </c>
      <c r="G10" s="1210"/>
      <c r="H10" s="1210"/>
      <c r="I10" s="1210"/>
      <c r="J10" s="1210"/>
      <c r="K10" s="1210"/>
      <c r="L10" s="1210"/>
    </row>
    <row r="12" spans="1:12" ht="20.100000000000001" customHeight="1">
      <c r="A12" s="1582" t="s">
        <v>1918</v>
      </c>
      <c r="B12" s="1530"/>
      <c r="C12" s="1530"/>
      <c r="D12" s="1530"/>
      <c r="E12" s="1530"/>
      <c r="F12" s="1202"/>
      <c r="G12" s="1202"/>
      <c r="H12" s="1202"/>
      <c r="I12" s="1202"/>
      <c r="J12" s="1202"/>
      <c r="K12" s="1202"/>
      <c r="L12" s="1202"/>
    </row>
    <row r="13" spans="1:12" ht="63.75">
      <c r="A13" s="962" t="s">
        <v>1919</v>
      </c>
      <c r="B13" s="385" t="s">
        <v>1920</v>
      </c>
      <c r="C13" s="385" t="s">
        <v>1921</v>
      </c>
      <c r="D13" s="385" t="s">
        <v>1922</v>
      </c>
      <c r="E13" s="385" t="s">
        <v>1923</v>
      </c>
      <c r="F13" s="50"/>
      <c r="G13" s="50"/>
      <c r="H13" s="50"/>
      <c r="I13" s="50"/>
      <c r="J13" s="50"/>
      <c r="K13" s="50"/>
      <c r="L13" s="50"/>
    </row>
    <row r="14" spans="1:12">
      <c r="A14" s="18" t="s">
        <v>1924</v>
      </c>
      <c r="B14" s="16">
        <v>0.35</v>
      </c>
      <c r="C14" s="16">
        <v>0.5</v>
      </c>
      <c r="D14" s="16">
        <v>0.15</v>
      </c>
      <c r="E14" s="26"/>
      <c r="F14" s="1210"/>
      <c r="G14" s="1210"/>
      <c r="H14" s="1210"/>
      <c r="I14" s="1210"/>
      <c r="J14" s="1210"/>
      <c r="K14" s="1210"/>
      <c r="L14" s="1210"/>
    </row>
    <row r="15" spans="1:12" ht="45">
      <c r="A15" s="947" t="s">
        <v>1925</v>
      </c>
      <c r="B15" s="948" t="s">
        <v>213</v>
      </c>
      <c r="C15" s="948" t="s">
        <v>214</v>
      </c>
      <c r="D15" s="948" t="s">
        <v>215</v>
      </c>
      <c r="E15" s="959" t="s">
        <v>1926</v>
      </c>
      <c r="F15" s="960" t="s">
        <v>1927</v>
      </c>
      <c r="G15" s="960" t="s">
        <v>1928</v>
      </c>
      <c r="H15" s="961" t="s">
        <v>197</v>
      </c>
      <c r="I15" s="1210"/>
      <c r="J15" s="1210"/>
      <c r="K15" s="1210"/>
      <c r="L15" s="1210"/>
    </row>
    <row r="16" spans="1:12">
      <c r="A16" s="942" t="s">
        <v>1929</v>
      </c>
      <c r="B16" s="949">
        <v>0.35</v>
      </c>
      <c r="C16" s="949">
        <v>0.5</v>
      </c>
      <c r="D16" s="949">
        <v>0.15</v>
      </c>
      <c r="E16" s="950">
        <f>B16*B5+C16*C5+D16*D5</f>
        <v>8232.7880000000005</v>
      </c>
      <c r="F16" s="1244">
        <v>6820.65</v>
      </c>
      <c r="G16" s="951">
        <f>E16-F16</f>
        <v>1412.1380000000008</v>
      </c>
      <c r="H16" s="952">
        <f>E16/DCF!$C$52-1</f>
        <v>-0.1848724752475247</v>
      </c>
      <c r="I16" s="1210"/>
      <c r="J16" s="1210"/>
      <c r="K16" s="1210"/>
      <c r="L16" s="1210"/>
    </row>
    <row r="17" spans="1:8">
      <c r="A17" s="1198" t="s">
        <v>1930</v>
      </c>
      <c r="B17" s="953">
        <f>Assumptions!C2</f>
        <v>0.2</v>
      </c>
      <c r="C17" s="953">
        <f>Assumptions!E2</f>
        <v>0.5</v>
      </c>
      <c r="D17" s="953">
        <f>Assumptions!G2</f>
        <v>0.3</v>
      </c>
      <c r="E17" s="932">
        <f>B17*B5+C17*C5+D17*D5</f>
        <v>11556.925999999999</v>
      </c>
      <c r="F17" s="932">
        <f>DCF!C63</f>
        <v>8185.67</v>
      </c>
      <c r="G17" s="954">
        <f>E17-F17</f>
        <v>3371.2559999999994</v>
      </c>
      <c r="H17" s="955">
        <f>E17/DCF!$C$52-1</f>
        <v>0.14425009900990093</v>
      </c>
    </row>
    <row r="18" spans="1:8">
      <c r="A18" s="1210" t="s">
        <v>1931</v>
      </c>
      <c r="B18" s="906">
        <v>0.15</v>
      </c>
      <c r="C18" s="906">
        <v>0.45</v>
      </c>
      <c r="D18" s="906">
        <v>0.4</v>
      </c>
      <c r="E18" s="931">
        <f>B18*B5+C18*C5+D18*D5</f>
        <v>13531.828</v>
      </c>
      <c r="F18" s="1245">
        <v>8663.94</v>
      </c>
      <c r="G18" s="951">
        <f>E18-F18</f>
        <v>4867.887999999999</v>
      </c>
      <c r="H18" s="952">
        <f>E18/DCF!$C$52-1</f>
        <v>0.33978495049504942</v>
      </c>
    </row>
    <row r="20" spans="1:8">
      <c r="A20" s="929" t="s">
        <v>1932</v>
      </c>
      <c r="B20" s="1210"/>
      <c r="C20" s="1210"/>
      <c r="D20" s="1210"/>
      <c r="E20" s="1210"/>
      <c r="F20" s="1210"/>
      <c r="G20" s="1210"/>
      <c r="H20" s="1210"/>
    </row>
  </sheetData>
  <mergeCells count="3">
    <mergeCell ref="A2:L2"/>
    <mergeCell ref="A12:E12"/>
    <mergeCell ref="A1:L1"/>
  </mergeCells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J88"/>
  <sheetViews>
    <sheetView showGridLines="0" topLeftCell="A8" zoomScale="114" workbookViewId="0">
      <selection activeCell="E9" sqref="E9"/>
    </sheetView>
  </sheetViews>
  <sheetFormatPr defaultColWidth="8.85546875" defaultRowHeight="15"/>
  <cols>
    <col min="1" max="1" width="15.85546875" customWidth="1"/>
    <col min="2" max="2" width="29.140625" customWidth="1"/>
    <col min="3" max="9" width="17.42578125" customWidth="1"/>
  </cols>
  <sheetData>
    <row r="1" spans="1:8" ht="27.95" customHeight="1">
      <c r="A1" s="1558" t="s">
        <v>1933</v>
      </c>
      <c r="B1" s="1559"/>
      <c r="C1" s="1559"/>
      <c r="D1" s="1559"/>
      <c r="E1" s="1559"/>
      <c r="F1" s="1559"/>
      <c r="G1" s="1559"/>
      <c r="H1" s="1559"/>
    </row>
    <row r="2" spans="1:8" ht="30" customHeight="1">
      <c r="A2" s="1560" t="str">
        <f>"Base case anchored: WACC "&amp;TEXT(Assumptions!F74,"0.00%")&amp;", Exit Mult "&amp;TEXT(Assumptions!F77,"0.0\x")&amp;", Terminal Growth "&amp;TEXT(Assumptions!F79,"0.0%")&amp;", CSRP "&amp;TEXT(Assumptions!F72,"0.0%")&amp;" → EV "&amp;TEXT(DCF!C32/1000,"$0.00\B")&amp;" / Equity "&amp;TEXT(DCF!C38/1000,"$0.00\B")&amp;" / "&amp;TEXT(DCF!C40,"$0.00")&amp;" per share. Yellow cell = base case."</f>
        <v>Base case anchored: WACC 11.59%, Exit Mult 3.5x, Terminal Growth 3.0%, CSRP 2.0% → EV $6.60B / Equity $7.32B / $17.86 per share. Yellow cell = base case.</v>
      </c>
      <c r="B2" s="1585"/>
      <c r="C2" s="1585"/>
      <c r="D2" s="1585"/>
      <c r="E2" s="1585"/>
      <c r="F2" s="1585"/>
      <c r="G2" s="1585"/>
      <c r="H2" s="1585"/>
    </row>
    <row r="4" spans="1:8" ht="21.95" customHeight="1" thickBot="1">
      <c r="A4" s="1584" t="s">
        <v>1934</v>
      </c>
      <c r="B4" s="1578"/>
      <c r="C4" s="1578"/>
      <c r="D4" s="1578"/>
      <c r="E4" s="1578"/>
      <c r="F4" s="1578"/>
      <c r="G4" s="1578"/>
      <c r="H4" s="1578"/>
    </row>
    <row r="5" spans="1:8">
      <c r="A5" s="963" t="s">
        <v>1935</v>
      </c>
      <c r="B5" s="965">
        <v>2</v>
      </c>
      <c r="C5" s="965">
        <v>2.5</v>
      </c>
      <c r="D5" s="965">
        <v>3</v>
      </c>
      <c r="E5" s="966">
        <v>3.5</v>
      </c>
      <c r="F5" s="965">
        <v>4</v>
      </c>
      <c r="G5" s="965">
        <v>4.5</v>
      </c>
      <c r="H5" s="967">
        <v>5</v>
      </c>
    </row>
    <row r="6" spans="1:8">
      <c r="A6" s="366">
        <v>0.1009</v>
      </c>
      <c r="B6" s="367" cm="1">
        <f t="array" ref="B6">(SUMPRODUCT(DCF!$D$9:$K$9, 1/(1+$A6)^DCF!$D$13:$K$13) + DCF!$K$8*B$5/(1+$A6)^DCF!$K$13)/1000</f>
        <v>5.4764550663515887</v>
      </c>
      <c r="C6" s="367" cm="1">
        <f t="array" ref="C6">(SUMPRODUCT(DCF!$D$9:$K$9, 1/(1+$A6)^DCF!$D$13:$K$13) + DCF!$K$8*C$5/(1+$A6)^DCF!$K$13)/1000</f>
        <v>6.3726979227046989</v>
      </c>
      <c r="D6" s="367" cm="1">
        <f t="array" ref="D6">(SUMPRODUCT(DCF!$D$9:$K$9, 1/(1+$A6)^DCF!$D$13:$K$13) + DCF!$K$8*D$5/(1+$A6)^DCF!$K$13)/1000</f>
        <v>7.2689407790578091</v>
      </c>
      <c r="E6" s="367" cm="1">
        <f t="array" ref="E6">(SUMPRODUCT(DCF!$D$9:$K$9, 1/(1+$A6)^DCF!$D$13:$K$13) + DCF!$K$8*E$5/(1+$A6)^DCF!$K$13)/1000</f>
        <v>8.1651836354109193</v>
      </c>
      <c r="F6" s="367" cm="1">
        <f t="array" ref="F6">(SUMPRODUCT(DCF!$D$9:$K$9, 1/(1+$A6)^DCF!$D$13:$K$13) + DCF!$K$8*F$5/(1+$A6)^DCF!$K$13)/1000</f>
        <v>9.0614264917640277</v>
      </c>
      <c r="G6" s="367" cm="1">
        <f t="array" ref="G6">(SUMPRODUCT(DCF!$D$9:$K$9, 1/(1+$A6)^DCF!$D$13:$K$13) + DCF!$K$8*G$5/(1+$A6)^DCF!$K$13)/1000</f>
        <v>9.9576693481171379</v>
      </c>
      <c r="H6" s="368" cm="1">
        <f t="array" ref="H6">(SUMPRODUCT(DCF!$D$9:$K$9, 1/(1+$A6)^DCF!$D$13:$K$13) + DCF!$K$8*H$5/(1+$A6)^DCF!$K$13)/1000</f>
        <v>10.85391220447025</v>
      </c>
    </row>
    <row r="7" spans="1:8">
      <c r="A7" s="366">
        <v>0.10589999999999999</v>
      </c>
      <c r="B7" s="367" cm="1">
        <f t="array" ref="B7">(SUMPRODUCT(DCF!$D$9:$K$9, 1/(1+$A7)^DCF!$D$13:$K$13) + DCF!$K$8*B$5/(1+$A7)^DCF!$K$13)/1000</f>
        <v>5.3146254157985187</v>
      </c>
      <c r="C7" s="367" cm="1">
        <f t="array" ref="C7">(SUMPRODUCT(DCF!$D$9:$K$9, 1/(1+$A7)^DCF!$D$13:$K$13) + DCF!$K$8*C$5/(1+$A7)^DCF!$K$13)/1000</f>
        <v>6.1809204192999347</v>
      </c>
      <c r="D7" s="367" cm="1">
        <f t="array" ref="D7">(SUMPRODUCT(DCF!$D$9:$K$9, 1/(1+$A7)^DCF!$D$13:$K$13) + DCF!$K$8*D$5/(1+$A7)^DCF!$K$13)/1000</f>
        <v>7.0472154228013508</v>
      </c>
      <c r="E7" s="367" cm="1">
        <f t="array" ref="E7">(SUMPRODUCT(DCF!$D$9:$K$9, 1/(1+$A7)^DCF!$D$13:$K$13) + DCF!$K$8*E$5/(1+$A7)^DCF!$K$13)/1000</f>
        <v>7.9135104263027669</v>
      </c>
      <c r="F7" s="367" cm="1">
        <f t="array" ref="F7">(SUMPRODUCT(DCF!$D$9:$K$9, 1/(1+$A7)^DCF!$D$13:$K$13) + DCF!$K$8*F$5/(1+$A7)^DCF!$K$13)/1000</f>
        <v>8.7798054298041848</v>
      </c>
      <c r="G7" s="367" cm="1">
        <f t="array" ref="G7">(SUMPRODUCT(DCF!$D$9:$K$9, 1/(1+$A7)^DCF!$D$13:$K$13) + DCF!$K$8*G$5/(1+$A7)^DCF!$K$13)/1000</f>
        <v>9.6461004333056</v>
      </c>
      <c r="H7" s="368" cm="1">
        <f t="array" ref="H7">(SUMPRODUCT(DCF!$D$9:$K$9, 1/(1+$A7)^DCF!$D$13:$K$13) + DCF!$K$8*H$5/(1+$A7)^DCF!$K$13)/1000</f>
        <v>10.512395436807017</v>
      </c>
    </row>
    <row r="8" spans="1:8">
      <c r="A8" s="366">
        <v>0.1109</v>
      </c>
      <c r="B8" s="367" cm="1">
        <f t="array" ref="B8">(SUMPRODUCT(DCF!$D$9:$K$9, 1/(1+$A8)^DCF!$D$13:$K$13) + DCF!$K$8*B$5/(1+$A8)^DCF!$K$13)/1000</f>
        <v>5.1585810662261196</v>
      </c>
      <c r="C8" s="367" cm="1">
        <f t="array" ref="C8">(SUMPRODUCT(DCF!$D$9:$K$9, 1/(1+$A8)^DCF!$D$13:$K$13) + DCF!$K$8*C$5/(1+$A8)^DCF!$K$13)/1000</f>
        <v>5.9960573056427275</v>
      </c>
      <c r="D8" s="367" cm="1">
        <f t="array" ref="D8">(SUMPRODUCT(DCF!$D$9:$K$9, 1/(1+$A8)^DCF!$D$13:$K$13) + DCF!$K$8*D$5/(1+$A8)^DCF!$K$13)/1000</f>
        <v>6.8335335450593337</v>
      </c>
      <c r="E8" s="367" cm="1">
        <f t="array" ref="E8">(SUMPRODUCT(DCF!$D$9:$K$9, 1/(1+$A8)^DCF!$D$13:$K$13) + DCF!$K$8*E$5/(1+$A8)^DCF!$K$13)/1000</f>
        <v>7.6710097844759417</v>
      </c>
      <c r="F8" s="367" cm="1">
        <f t="array" ref="F8">(SUMPRODUCT(DCF!$D$9:$K$9, 1/(1+$A8)^DCF!$D$13:$K$13) + DCF!$K$8*F$5/(1+$A8)^DCF!$K$13)/1000</f>
        <v>8.5084860238925497</v>
      </c>
      <c r="G8" s="367" cm="1">
        <f t="array" ref="G8">(SUMPRODUCT(DCF!$D$9:$K$9, 1/(1+$A8)^DCF!$D$13:$K$13) + DCF!$K$8*G$5/(1+$A8)^DCF!$K$13)/1000</f>
        <v>9.3459622633091559</v>
      </c>
      <c r="H8" s="368" cm="1">
        <f t="array" ref="H8">(SUMPRODUCT(DCF!$D$9:$K$9, 1/(1+$A8)^DCF!$D$13:$K$13) + DCF!$K$8*H$5/(1+$A8)^DCF!$K$13)/1000</f>
        <v>10.183438502725767</v>
      </c>
    </row>
    <row r="9" spans="1:8">
      <c r="A9" s="964">
        <v>0.1159</v>
      </c>
      <c r="B9" s="367" cm="1">
        <f t="array" ref="B9">(SUMPRODUCT(DCF!$D$9:$K$9, 1/(1+$A9)^DCF!$D$13:$K$13) + DCF!$K$8*B$5/(1+$A9)^DCF!$K$13)/1000</f>
        <v>5.0080866987156369</v>
      </c>
      <c r="C9" s="367" cm="1">
        <f t="array" ref="C9">(SUMPRODUCT(DCF!$D$9:$K$9, 1/(1+$A9)^DCF!$D$13:$K$13) + DCF!$K$8*C$5/(1+$A9)^DCF!$K$13)/1000</f>
        <v>5.8178258966171299</v>
      </c>
      <c r="D9" s="367" cm="1">
        <f t="array" ref="D9">(SUMPRODUCT(DCF!$D$9:$K$9, 1/(1+$A9)^DCF!$D$13:$K$13) + DCF!$K$8*D$5/(1+$A9)^DCF!$K$13)/1000</f>
        <v>6.6275650945186211</v>
      </c>
      <c r="E9" s="369" cm="1">
        <f t="array" ref="E9">(SUMPRODUCT(DCF!$D$9:$K$9, 1/(1+$A9)^DCF!$D$13:$K$13) + DCF!$K$8*E$5/(1+$A9)^DCF!$K$13)/1000</f>
        <v>7.4373042924201123</v>
      </c>
      <c r="F9" s="367" cm="1">
        <f t="array" ref="F9">(SUMPRODUCT(DCF!$D$9:$K$9, 1/(1+$A9)^DCF!$D$13:$K$13) + DCF!$K$8*F$5/(1+$A9)^DCF!$K$13)/1000</f>
        <v>8.2470434903216052</v>
      </c>
      <c r="G9" s="367" cm="1">
        <f t="array" ref="G9">(SUMPRODUCT(DCF!$D$9:$K$9, 1/(1+$A9)^DCF!$D$13:$K$13) + DCF!$K$8*G$5/(1+$A9)^DCF!$K$13)/1000</f>
        <v>9.0567826882230982</v>
      </c>
      <c r="H9" s="368" cm="1">
        <f t="array" ref="H9">(SUMPRODUCT(DCF!$D$9:$K$9, 1/(1+$A9)^DCF!$D$13:$K$13) + DCF!$K$8*H$5/(1+$A9)^DCF!$K$13)/1000</f>
        <v>9.8665218861245911</v>
      </c>
    </row>
    <row r="10" spans="1:8">
      <c r="A10" s="366">
        <v>0.12089999999999999</v>
      </c>
      <c r="B10" s="367" cm="1">
        <f t="array" ref="B10">(SUMPRODUCT(DCF!$D$9:$K$9, 1/(1+$A10)^DCF!$D$13:$K$13) + DCF!$K$8*B$5/(1+$A10)^DCF!$K$13)/1000</f>
        <v>4.8629176395346949</v>
      </c>
      <c r="C10" s="367" cm="1">
        <f t="array" ref="C10">(SUMPRODUCT(DCF!$D$9:$K$9, 1/(1+$A10)^DCF!$D$13:$K$13) + DCF!$K$8*C$5/(1+$A10)^DCF!$K$13)/1000</f>
        <v>5.6459563388290608</v>
      </c>
      <c r="D10" s="367" cm="1">
        <f t="array" ref="D10">(SUMPRODUCT(DCF!$D$9:$K$9, 1/(1+$A10)^DCF!$D$13:$K$13) + DCF!$K$8*D$5/(1+$A10)^DCF!$K$13)/1000</f>
        <v>6.4289950381234267</v>
      </c>
      <c r="E10" s="367" cm="1">
        <f t="array" ref="E10">(SUMPRODUCT(DCF!$D$9:$K$9, 1/(1+$A10)^DCF!$D$13:$K$13) + DCF!$K$8*E$5/(1+$A10)^DCF!$K$13)/1000</f>
        <v>7.2120337374177925</v>
      </c>
      <c r="F10" s="367" cm="1">
        <f t="array" ref="F10">(SUMPRODUCT(DCF!$D$9:$K$9, 1/(1+$A10)^DCF!$D$13:$K$13) + DCF!$K$8*F$5/(1+$A10)^DCF!$K$13)/1000</f>
        <v>7.9950724367121602</v>
      </c>
      <c r="G10" s="367" cm="1">
        <f t="array" ref="G10">(SUMPRODUCT(DCF!$D$9:$K$9, 1/(1+$A10)^DCF!$D$13:$K$13) + DCF!$K$8*G$5/(1+$A10)^DCF!$K$13)/1000</f>
        <v>8.778111136006526</v>
      </c>
      <c r="H10" s="368" cm="1">
        <f t="array" ref="H10">(SUMPRODUCT(DCF!$D$9:$K$9, 1/(1+$A10)^DCF!$D$13:$K$13) + DCF!$K$8*H$5/(1+$A10)^DCF!$K$13)/1000</f>
        <v>9.5611498353008937</v>
      </c>
    </row>
    <row r="11" spans="1:8">
      <c r="A11" s="366">
        <v>0.12590000000000001</v>
      </c>
      <c r="B11" s="367" cm="1">
        <f t="array" ref="B11">(SUMPRODUCT(DCF!$D$9:$K$9, 1/(1+$A11)^DCF!$D$13:$K$13) + DCF!$K$8*B$5/(1+$A11)^DCF!$K$13)/1000</f>
        <v>4.7228593318995209</v>
      </c>
      <c r="C11" s="367" cm="1">
        <f t="array" ref="C11">(SUMPRODUCT(DCF!$D$9:$K$9, 1/(1+$A11)^DCF!$D$13:$K$13) + DCF!$K$8*C$5/(1+$A11)^DCF!$K$13)/1000</f>
        <v>5.4801909723050093</v>
      </c>
      <c r="D11" s="367" cm="1">
        <f t="array" ref="D11">(SUMPRODUCT(DCF!$D$9:$K$9, 1/(1+$A11)^DCF!$D$13:$K$13) + DCF!$K$8*D$5/(1+$A11)^DCF!$K$13)/1000</f>
        <v>6.2375226127104977</v>
      </c>
      <c r="E11" s="367" cm="1">
        <f t="array" ref="E11">(SUMPRODUCT(DCF!$D$9:$K$9, 1/(1+$A11)^DCF!$D$13:$K$13) + DCF!$K$8*E$5/(1+$A11)^DCF!$K$13)/1000</f>
        <v>6.994854253115987</v>
      </c>
      <c r="F11" s="367" cm="1">
        <f t="array" ref="F11">(SUMPRODUCT(DCF!$D$9:$K$9, 1/(1+$A11)^DCF!$D$13:$K$13) + DCF!$K$8*F$5/(1+$A11)^DCF!$K$13)/1000</f>
        <v>7.7521858935214771</v>
      </c>
      <c r="G11" s="367" cm="1">
        <f t="array" ref="G11">(SUMPRODUCT(DCF!$D$9:$K$9, 1/(1+$A11)^DCF!$D$13:$K$13) + DCF!$K$8*G$5/(1+$A11)^DCF!$K$13)/1000</f>
        <v>8.5095175339269655</v>
      </c>
      <c r="H11" s="368" cm="1">
        <f t="array" ref="H11">(SUMPRODUCT(DCF!$D$9:$K$9, 1/(1+$A11)^DCF!$D$13:$K$13) + DCF!$K$8*H$5/(1+$A11)^DCF!$K$13)/1000</f>
        <v>9.266849174332453</v>
      </c>
    </row>
    <row r="12" spans="1:8">
      <c r="A12" s="370">
        <v>0.13089999999999999</v>
      </c>
      <c r="B12" s="371" cm="1">
        <f t="array" ref="B12">(SUMPRODUCT(DCF!$D$9:$K$9, 1/(1+$A12)^DCF!$D$13:$K$13) + DCF!$K$8*B$5/(1+$A12)^DCF!$K$13)/1000</f>
        <v>4.5877068362084525</v>
      </c>
      <c r="C12" s="371" cm="1">
        <f t="array" ref="C12">(SUMPRODUCT(DCF!$D$9:$K$9, 1/(1+$A12)^DCF!$D$13:$K$13) + DCF!$K$8*C$5/(1+$A12)^DCF!$K$13)/1000</f>
        <v>5.3202837266577241</v>
      </c>
      <c r="D12" s="371" cm="1">
        <f t="array" ref="D12">(SUMPRODUCT(DCF!$D$9:$K$9, 1/(1+$A12)^DCF!$D$13:$K$13) + DCF!$K$8*D$5/(1+$A12)^DCF!$K$13)/1000</f>
        <v>6.0528606171069947</v>
      </c>
      <c r="E12" s="371" cm="1">
        <f t="array" ref="E12">(SUMPRODUCT(DCF!$D$9:$K$9, 1/(1+$A12)^DCF!$D$13:$K$13) + DCF!$K$8*E$5/(1+$A12)^DCF!$K$13)/1000</f>
        <v>6.7854375075562672</v>
      </c>
      <c r="F12" s="371" cm="1">
        <f t="array" ref="F12">(SUMPRODUCT(DCF!$D$9:$K$9, 1/(1+$A12)^DCF!$D$13:$K$13) + DCF!$K$8*F$5/(1+$A12)^DCF!$K$13)/1000</f>
        <v>7.5180143980055396</v>
      </c>
      <c r="G12" s="371" cm="1">
        <f t="array" ref="G12">(SUMPRODUCT(DCF!$D$9:$K$9, 1/(1+$A12)^DCF!$D$13:$K$13) + DCF!$K$8*G$5/(1+$A12)^DCF!$K$13)/1000</f>
        <v>8.2505912884548103</v>
      </c>
      <c r="H12" s="372" cm="1">
        <f t="array" ref="H12">(SUMPRODUCT(DCF!$D$9:$K$9, 1/(1+$A12)^DCF!$D$13:$K$13) + DCF!$K$8*H$5/(1+$A12)^DCF!$K$13)/1000</f>
        <v>8.9831681789040836</v>
      </c>
    </row>
    <row r="15" spans="1:8" ht="21.95" customHeight="1" thickBot="1">
      <c r="A15" s="1584" t="s">
        <v>1936</v>
      </c>
      <c r="B15" s="1578"/>
      <c r="C15" s="1578"/>
      <c r="D15" s="1578"/>
      <c r="E15" s="1578"/>
      <c r="F15" s="1578"/>
      <c r="G15" s="1578"/>
      <c r="H15" s="1578"/>
    </row>
    <row r="16" spans="1:8">
      <c r="A16" s="963" t="s">
        <v>1937</v>
      </c>
      <c r="B16" s="968">
        <v>1.4999999999999999E-2</v>
      </c>
      <c r="C16" s="968">
        <v>0.02</v>
      </c>
      <c r="D16" s="968">
        <v>2.5000000000000001E-2</v>
      </c>
      <c r="E16" s="969">
        <v>0.03</v>
      </c>
      <c r="F16" s="968">
        <v>3.5000000000000003E-2</v>
      </c>
      <c r="G16" s="968">
        <v>0.04</v>
      </c>
      <c r="H16" s="970">
        <v>4.4999999999999998E-2</v>
      </c>
    </row>
    <row r="17" spans="1:8">
      <c r="A17" s="366">
        <v>0.1009</v>
      </c>
      <c r="B17" s="367" cm="1">
        <f t="array" ref="B17">(SUMPRODUCT(DCF!$D$9:$K$9, 1/(1+$A17)^DCF!$D$13:$K$13) + DCF!$K$9*(1+B$16)/($A17-B$16)/(1+$A17)^DCF!$K$13)/1000</f>
        <v>6.2479933925484552</v>
      </c>
      <c r="C17" s="367" cm="1">
        <f t="array" ref="C17">(SUMPRODUCT(DCF!$D$9:$K$9, 1/(1+$A17)^DCF!$D$13:$K$13) + DCF!$K$9*(1+C$16)/($A17-C$16)/(1+$A17)^DCF!$K$13)/1000</f>
        <v>6.5400331658833339</v>
      </c>
      <c r="D17" s="367" cm="1">
        <f t="array" ref="D17">(SUMPRODUCT(DCF!$D$9:$K$9, 1/(1+$A17)^DCF!$D$13:$K$13) + DCF!$K$9*(1+D$16)/($A17-D$16)/(1+$A17)^DCF!$K$13)/1000</f>
        <v>6.8705498527010658</v>
      </c>
      <c r="E17" s="367" cm="1">
        <f t="array" ref="E17">(SUMPRODUCT(DCF!$D$9:$K$9, 1/(1+$A17)^DCF!$D$13:$K$13) + DCF!$K$9*(1+E$16)/($A17-E$16)/(1+$A17)^DCF!$K$13)/1000</f>
        <v>7.2476838437244044</v>
      </c>
      <c r="F17" s="367" cm="1">
        <f t="array" ref="F17">(SUMPRODUCT(DCF!$D$9:$K$9, 1/(1+$A17)^DCF!$D$13:$K$13) + DCF!$K$9*(1+F$16)/($A17-F$16)/(1+$A17)^DCF!$K$13)/1000</f>
        <v>7.6820460579682779</v>
      </c>
      <c r="G17" s="367" cm="1">
        <f t="array" ref="G17">(SUMPRODUCT(DCF!$D$9:$K$9, 1/(1+$A17)^DCF!$D$13:$K$13) + DCF!$K$9*(1+G$16)/($A17-G$16)/(1+$A17)^DCF!$K$13)/1000</f>
        <v>8.1877321169155799</v>
      </c>
      <c r="H17" s="368" cm="1">
        <f t="array" ref="H17">(SUMPRODUCT(DCF!$D$9:$K$9, 1/(1+$A17)^DCF!$D$13:$K$13) + DCF!$K$9*(1+H$16)/($A17-H$16)/(1+$A17)^DCF!$K$13)/1000</f>
        <v>8.7838807982148115</v>
      </c>
    </row>
    <row r="18" spans="1:8">
      <c r="A18" s="366">
        <v>0.10589999999999999</v>
      </c>
      <c r="B18" s="367" cm="1">
        <f t="array" ref="B18">(SUMPRODUCT(DCF!$D$9:$K$9, 1/(1+$A18)^DCF!$D$13:$K$13) + DCF!$K$9*(1+B$16)/($A18-B$16)/(1+$A18)^DCF!$K$13)/1000</f>
        <v>5.8287581532018065</v>
      </c>
      <c r="C18" s="367" cm="1">
        <f t="array" ref="C18">(SUMPRODUCT(DCF!$D$9:$K$9, 1/(1+$A18)^DCF!$D$13:$K$13) + DCF!$K$9*(1+C$16)/($A18-C$16)/(1+$A18)^DCF!$K$13)/1000</f>
        <v>6.0811264111591727</v>
      </c>
      <c r="D18" s="367" cm="1">
        <f t="array" ref="D18">(SUMPRODUCT(DCF!$D$9:$K$9, 1/(1+$A18)^DCF!$D$13:$K$13) + DCF!$K$9*(1+D$16)/($A18-D$16)/(1+$A18)^DCF!$K$13)/1000</f>
        <v>6.3646897566267189</v>
      </c>
      <c r="E18" s="367" cm="1">
        <f t="array" ref="E18">(SUMPRODUCT(DCF!$D$9:$K$9, 1/(1+$A18)^DCF!$D$13:$K$13) + DCF!$K$9*(1+E$16)/($A18-E$16)/(1+$A18)^DCF!$K$13)/1000</f>
        <v>6.685613226661796</v>
      </c>
      <c r="F18" s="367" cm="1">
        <f t="array" ref="F18">(SUMPRODUCT(DCF!$D$9:$K$9, 1/(1+$A18)^DCF!$D$13:$K$13) + DCF!$K$9*(1+F$16)/($A18-F$16)/(1+$A18)^DCF!$K$13)/1000</f>
        <v>7.0518009378865862</v>
      </c>
      <c r="G18" s="367" cm="1">
        <f t="array" ref="G18">(SUMPRODUCT(DCF!$D$9:$K$9, 1/(1+$A18)^DCF!$D$13:$K$13) + DCF!$K$9*(1+G$16)/($A18-G$16)/(1+$A18)^DCF!$K$13)/1000</f>
        <v>7.4735558283564147</v>
      </c>
      <c r="H18" s="368" cm="1">
        <f t="array" ref="H18">(SUMPRODUCT(DCF!$D$9:$K$9, 1/(1+$A18)^DCF!$D$13:$K$13) + DCF!$K$9*(1+H$16)/($A18-H$16)/(1+$A18)^DCF!$K$13)/1000</f>
        <v>7.964564395422272</v>
      </c>
    </row>
    <row r="19" spans="1:8">
      <c r="A19" s="366">
        <v>0.1109</v>
      </c>
      <c r="B19" s="367" cm="1">
        <f t="array" ref="B19">(SUMPRODUCT(DCF!$D$9:$K$9, 1/(1+$A19)^DCF!$D$13:$K$13) + DCF!$K$9*(1+B$16)/($A19-B$16)/(1+$A19)^DCF!$K$13)/1000</f>
        <v>5.4550402276054752</v>
      </c>
      <c r="C19" s="367" cm="1">
        <f t="array" ref="C19">(SUMPRODUCT(DCF!$D$9:$K$9, 1/(1+$A19)^DCF!$D$13:$K$13) + DCF!$K$9*(1+C$16)/($A19-C$16)/(1+$A19)^DCF!$K$13)/1000</f>
        <v>5.6745607259524915</v>
      </c>
      <c r="D19" s="367" cm="1">
        <f t="array" ref="D19">(SUMPRODUCT(DCF!$D$9:$K$9, 1/(1+$A19)^DCF!$D$13:$K$13) + DCF!$K$9*(1+D$16)/($A19-D$16)/(1+$A19)^DCF!$K$13)/1000</f>
        <v>5.919636579171101</v>
      </c>
      <c r="E19" s="367" cm="1">
        <f t="array" ref="E19">(SUMPRODUCT(DCF!$D$9:$K$9, 1/(1+$A19)^DCF!$D$13:$K$13) + DCF!$K$9*(1+E$16)/($A19-E$16)/(1+$A19)^DCF!$K$13)/1000</f>
        <v>6.1950061101670455</v>
      </c>
      <c r="F19" s="367" cm="1">
        <f t="array" ref="F19">(SUMPRODUCT(DCF!$D$9:$K$9, 1/(1+$A19)^DCF!$D$13:$K$13) + DCF!$K$9*(1+F$16)/($A19-F$16)/(1+$A19)^DCF!$K$13)/1000</f>
        <v>6.5066562117816895</v>
      </c>
      <c r="G19" s="367" cm="1">
        <f t="array" ref="G19">(SUMPRODUCT(DCF!$D$9:$K$9, 1/(1+$A19)^DCF!$D$13:$K$13) + DCF!$K$9*(1+G$16)/($A19-G$16)/(1+$A19)^DCF!$K$13)/1000</f>
        <v>6.8622626041741404</v>
      </c>
      <c r="H19" s="368" cm="1">
        <f t="array" ref="H19">(SUMPRODUCT(DCF!$D$9:$K$9, 1/(1+$A19)^DCF!$D$13:$K$13) + DCF!$K$9*(1+H$16)/($A19-H$16)/(1+$A19)^DCF!$K$13)/1000</f>
        <v>7.2718305128628646</v>
      </c>
    </row>
    <row r="20" spans="1:8">
      <c r="A20" s="964">
        <v>0.1159</v>
      </c>
      <c r="B20" s="367" cm="1">
        <f t="array" ref="B20">(SUMPRODUCT(DCF!$D$9:$K$9, 1/(1+$A20)^DCF!$D$13:$K$13) + DCF!$K$9*(1+B$16)/($A20-B$16)/(1+$A20)^DCF!$K$13)/1000</f>
        <v>5.1200196965492308</v>
      </c>
      <c r="C20" s="367" cm="1">
        <f t="array" ref="C20">(SUMPRODUCT(DCF!$D$9:$K$9, 1/(1+$A20)^DCF!$D$13:$K$13) + DCF!$K$9*(1+C$16)/($A20-C$16)/(1+$A20)^DCF!$K$13)/1000</f>
        <v>5.312094667708414</v>
      </c>
      <c r="D20" s="367" cm="1">
        <f t="array" ref="D20">(SUMPRODUCT(DCF!$D$9:$K$9, 1/(1+$A20)^DCF!$D$13:$K$13) + DCF!$K$9*(1+D$16)/($A20-D$16)/(1+$A20)^DCF!$K$13)/1000</f>
        <v>5.5252999987310902</v>
      </c>
      <c r="E20" s="369" cm="1">
        <f t="array" ref="E20">(SUMPRODUCT(DCF!$D$9:$K$9, 1/(1+$A20)^DCF!$D$13:$K$13) + DCF!$K$9*(1+E$16)/($A20-E$16)/(1+$A20)^DCF!$K$13)/1000</f>
        <v>5.7633255079869103</v>
      </c>
      <c r="F20" s="367" cm="1">
        <f t="array" ref="F20">(SUMPRODUCT(DCF!$D$9:$K$9, 1/(1+$A20)^DCF!$D$13:$K$13) + DCF!$K$9*(1+F$16)/($A20-F$16)/(1+$A20)^DCF!$K$13)/1000</f>
        <v>6.0307732062731141</v>
      </c>
      <c r="G20" s="367" cm="1">
        <f t="array" ref="G20">(SUMPRODUCT(DCF!$D$9:$K$9, 1/(1+$A20)^DCF!$D$13:$K$13) + DCF!$K$9*(1+G$16)/($A20-G$16)/(1+$A20)^DCF!$K$13)/1000</f>
        <v>6.333457755453419</v>
      </c>
      <c r="H20" s="368" cm="1">
        <f t="array" ref="H20">(SUMPRODUCT(DCF!$D$9:$K$9, 1/(1+$A20)^DCF!$D$13:$K$13) + DCF!$K$9*(1+H$16)/($A20-H$16)/(1+$A20)^DCF!$K$13)/1000</f>
        <v>6.6788340605124645</v>
      </c>
    </row>
    <row r="21" spans="1:8">
      <c r="A21" s="366">
        <v>0.12089999999999999</v>
      </c>
      <c r="B21" s="367" cm="1">
        <f t="array" ref="B21">(SUMPRODUCT(DCF!$D$9:$K$9, 1/(1+$A21)^DCF!$D$13:$K$13) + DCF!$K$9*(1+B$16)/($A21-B$16)/(1+$A21)^DCF!$K$13)/1000</f>
        <v>4.8181664934515593</v>
      </c>
      <c r="C21" s="367" cm="1">
        <f t="array" ref="C21">(SUMPRODUCT(DCF!$D$9:$K$9, 1/(1+$A21)^DCF!$D$13:$K$13) + DCF!$K$9*(1+C$16)/($A21-C$16)/(1+$A21)^DCF!$K$13)/1000</f>
        <v>4.9871222830941191</v>
      </c>
      <c r="D21" s="367" cm="1">
        <f t="array" ref="D21">(SUMPRODUCT(DCF!$D$9:$K$9, 1/(1+$A21)^DCF!$D$13:$K$13) + DCF!$K$9*(1+D$16)/($A21-D$16)/(1+$A21)^DCF!$K$13)/1000</f>
        <v>5.1736959861509169</v>
      </c>
      <c r="E21" s="367" cm="1">
        <f t="array" ref="E21">(SUMPRODUCT(DCF!$D$9:$K$9, 1/(1+$A21)^DCF!$D$13:$K$13) + DCF!$K$9*(1+E$16)/($A21-E$16)/(1+$A21)^DCF!$K$13)/1000</f>
        <v>5.3807948490599475</v>
      </c>
      <c r="F21" s="367" cm="1">
        <f t="array" ref="F21">(SUMPRODUCT(DCF!$D$9:$K$9, 1/(1+$A21)^DCF!$D$13:$K$13) + DCF!$K$9*(1+F$16)/($A21-F$16)/(1+$A21)^DCF!$K$13)/1000</f>
        <v>5.6120030091644422</v>
      </c>
      <c r="G21" s="367" cm="1">
        <f t="array" ref="G21">(SUMPRODUCT(DCF!$D$9:$K$9, 1/(1+$A21)^DCF!$D$13:$K$13) + DCF!$K$9*(1+G$16)/($A21-G$16)/(1+$A21)^DCF!$K$13)/1000</f>
        <v>5.8717906698998998</v>
      </c>
      <c r="H21" s="368" cm="1">
        <f t="array" ref="H21">(SUMPRODUCT(DCF!$D$9:$K$9, 1/(1+$A21)^DCF!$D$13:$K$13) + DCF!$K$9*(1+H$16)/($A21-H$16)/(1+$A21)^DCF!$K$13)/1000</f>
        <v>6.1658059539206622</v>
      </c>
    </row>
    <row r="22" spans="1:8">
      <c r="A22" s="366">
        <v>0.12590000000000001</v>
      </c>
      <c r="B22" s="367" cm="1">
        <f t="array" ref="B22">(SUMPRODUCT(DCF!$D$9:$K$9, 1/(1+$A22)^DCF!$D$13:$K$13) + DCF!$K$9*(1+B$16)/($A22-B$16)/(1+$A22)^DCF!$K$13)/1000</f>
        <v>4.5449495607728929</v>
      </c>
      <c r="C22" s="367" cm="1">
        <f t="array" ref="C22">(SUMPRODUCT(DCF!$D$9:$K$9, 1/(1+$A22)^DCF!$D$13:$K$13) + DCF!$K$9*(1+C$16)/($A22-C$16)/(1+$A22)^DCF!$K$13)/1000</f>
        <v>4.6942869393956626</v>
      </c>
      <c r="D22" s="367" cm="1">
        <f t="array" ref="D22">(SUMPRODUCT(DCF!$D$9:$K$9, 1/(1+$A22)^DCF!$D$13:$K$13) + DCF!$K$9*(1+D$16)/($A22-D$16)/(1+$A22)^DCF!$K$13)/1000</f>
        <v>4.8584248510831252</v>
      </c>
      <c r="E22" s="367" cm="1">
        <f t="array" ref="E22">(SUMPRODUCT(DCF!$D$9:$K$9, 1/(1+$A22)^DCF!$D$13:$K$13) + DCF!$K$9*(1+E$16)/($A22-E$16)/(1+$A22)^DCF!$K$13)/1000</f>
        <v>5.0396782905794995</v>
      </c>
      <c r="F22" s="367" cm="1">
        <f t="array" ref="F22">(SUMPRODUCT(DCF!$D$9:$K$9, 1/(1+$A22)^DCF!$D$13:$K$13) + DCF!$K$9*(1+F$16)/($A22-F$16)/(1+$A22)^DCF!$K$13)/1000</f>
        <v>5.2408716024077098</v>
      </c>
      <c r="G22" s="367" cm="1">
        <f t="array" ref="G22">(SUMPRODUCT(DCF!$D$9:$K$9, 1/(1+$A22)^DCF!$D$13:$K$13) + DCF!$K$9*(1+G$16)/($A22-G$16)/(1+$A22)^DCF!$K$13)/1000</f>
        <v>5.4654867200366413</v>
      </c>
      <c r="H22" s="368" cm="1">
        <f t="array" ref="H22">(SUMPRODUCT(DCF!$D$9:$K$9, 1/(1+$A22)^DCF!$D$13:$K$13) + DCF!$K$9*(1+H$16)/($A22-H$16)/(1+$A22)^DCF!$K$13)/1000</f>
        <v>5.7178663763094466</v>
      </c>
    </row>
    <row r="23" spans="1:8">
      <c r="A23" s="370">
        <v>0.13089999999999999</v>
      </c>
      <c r="B23" s="371" cm="1">
        <f t="array" ref="B23">(SUMPRODUCT(DCF!$D$9:$K$9, 1/(1+$A23)^DCF!$D$13:$K$13) + DCF!$K$9*(1+B$16)/($A23-B$16)/(1+$A23)^DCF!$K$13)/1000</f>
        <v>4.2966212928119036</v>
      </c>
      <c r="C23" s="371" cm="1">
        <f t="array" ref="C23">(SUMPRODUCT(DCF!$D$9:$K$9, 1/(1+$A23)^DCF!$D$13:$K$13) + DCF!$K$9*(1+C$16)/($A23-C$16)/(1+$A23)^DCF!$K$13)/1000</f>
        <v>4.4291996232924395</v>
      </c>
      <c r="D23" s="371" cm="1">
        <f t="array" ref="D23">(SUMPRODUCT(DCF!$D$9:$K$9, 1/(1+$A23)^DCF!$D$13:$K$13) + DCF!$K$9*(1+D$16)/($A23-D$16)/(1+$A23)^DCF!$K$13)/1000</f>
        <v>4.5742971540072093</v>
      </c>
      <c r="E23" s="371" cm="1">
        <f t="array" ref="E23">(SUMPRODUCT(DCF!$D$9:$K$9, 1/(1+$A23)^DCF!$D$13:$K$13) + DCF!$K$9*(1+E$16)/($A23-E$16)/(1+$A23)^DCF!$K$13)/1000</f>
        <v>4.7337750148225517</v>
      </c>
      <c r="F23" s="371" cm="1">
        <f t="array" ref="F23">(SUMPRODUCT(DCF!$D$9:$K$9, 1/(1+$A23)^DCF!$D$13:$K$13) + DCF!$K$9*(1+F$16)/($A23-F$16)/(1+$A23)^DCF!$K$13)/1000</f>
        <v>4.9098824753058121</v>
      </c>
      <c r="G23" s="371" cm="1">
        <f t="array" ref="G23">(SUMPRODUCT(DCF!$D$9:$K$9, 1/(1+$A23)^DCF!$D$13:$K$13) + DCF!$K$9*(1+G$16)/($A23-G$16)/(1+$A23)^DCF!$K$13)/1000</f>
        <v>5.1053636938180356</v>
      </c>
      <c r="H23" s="372" cm="1">
        <f t="array" ref="H23">(SUMPRODUCT(DCF!$D$9:$K$9, 1/(1+$A23)^DCF!$D$13:$K$13) + DCF!$K$9*(1+H$16)/($A23-H$16)/(1+$A23)^DCF!$K$13)/1000</f>
        <v>5.3236017480127051</v>
      </c>
    </row>
    <row r="26" spans="1:8" ht="21.95" customHeight="1" thickBot="1">
      <c r="A26" s="1584" t="s">
        <v>1938</v>
      </c>
      <c r="B26" s="1578"/>
      <c r="C26" s="1578"/>
      <c r="D26" s="1578"/>
      <c r="E26" s="1578"/>
      <c r="F26" s="1578"/>
      <c r="G26" s="1578"/>
      <c r="H26" s="1578"/>
    </row>
    <row r="27" spans="1:8">
      <c r="A27" s="963" t="s">
        <v>1939</v>
      </c>
      <c r="B27" s="972">
        <v>0.01</v>
      </c>
      <c r="C27" s="972">
        <v>1.4999999999999999E-2</v>
      </c>
      <c r="D27" s="973">
        <v>0.02</v>
      </c>
      <c r="E27" s="972">
        <v>2.5000000000000001E-2</v>
      </c>
      <c r="F27" s="974">
        <v>0.03</v>
      </c>
      <c r="G27" s="1210"/>
      <c r="H27" s="1210"/>
    </row>
    <row r="28" spans="1:8">
      <c r="A28" s="373">
        <v>0.7</v>
      </c>
      <c r="B28" s="374">
        <f>Assumptions!$F$68 + Assumptions!$F$69*$A28 + Assumptions!$F$71 + B$27</f>
        <v>9.2599999999999988E-2</v>
      </c>
      <c r="C28" s="374">
        <f>Assumptions!$F$68 + Assumptions!$F$69*$A28 + Assumptions!$F$71 + C$27</f>
        <v>9.7599999999999992E-2</v>
      </c>
      <c r="D28" s="374">
        <f>Assumptions!$F$68 + Assumptions!$F$69*$A28 + Assumptions!$F$71 + D$27</f>
        <v>0.1026</v>
      </c>
      <c r="E28" s="374">
        <f>Assumptions!$F$68 + Assumptions!$F$69*$A28 + Assumptions!$F$71 + E$27</f>
        <v>0.1076</v>
      </c>
      <c r="F28" s="375">
        <f>Assumptions!$F$68 + Assumptions!$F$69*$A28 + Assumptions!$F$71 + F$27</f>
        <v>0.11259999999999999</v>
      </c>
      <c r="G28" s="1210"/>
      <c r="H28" s="1210"/>
    </row>
    <row r="29" spans="1:8">
      <c r="A29" s="971">
        <v>0.83</v>
      </c>
      <c r="B29" s="374">
        <f>Assumptions!$F$68 + Assumptions!$F$69*$A29 + Assumptions!$F$71 + B$27</f>
        <v>9.8449999999999982E-2</v>
      </c>
      <c r="C29" s="374">
        <f>Assumptions!$F$68 + Assumptions!$F$69*$A29 + Assumptions!$F$71 + C$27</f>
        <v>0.10344999999999999</v>
      </c>
      <c r="D29" s="376">
        <f>Assumptions!$F$68 + Assumptions!$F$69*$A29 + Assumptions!$F$71 + D$27</f>
        <v>0.10844999999999999</v>
      </c>
      <c r="E29" s="374">
        <f>Assumptions!$F$68 + Assumptions!$F$69*$A29 + Assumptions!$F$71 + E$27</f>
        <v>0.11345</v>
      </c>
      <c r="F29" s="375">
        <f>Assumptions!$F$68 + Assumptions!$F$69*$A29 + Assumptions!$F$71 + F$27</f>
        <v>0.11844999999999999</v>
      </c>
      <c r="G29" s="1210"/>
      <c r="H29" s="1210"/>
    </row>
    <row r="30" spans="1:8">
      <c r="A30" s="373">
        <v>1</v>
      </c>
      <c r="B30" s="374">
        <f>Assumptions!$F$68 + Assumptions!$F$69*$A30 + Assumptions!$F$71 + B$27</f>
        <v>0.10609999999999999</v>
      </c>
      <c r="C30" s="374">
        <f>Assumptions!$F$68 + Assumptions!$F$69*$A30 + Assumptions!$F$71 + C$27</f>
        <v>0.11109999999999999</v>
      </c>
      <c r="D30" s="374">
        <f>Assumptions!$F$68 + Assumptions!$F$69*$A30 + Assumptions!$F$71 + D$27</f>
        <v>0.11609999999999999</v>
      </c>
      <c r="E30" s="374">
        <f>Assumptions!$F$68 + Assumptions!$F$69*$A30 + Assumptions!$F$71 + E$27</f>
        <v>0.12109999999999999</v>
      </c>
      <c r="F30" s="375">
        <f>Assumptions!$F$68 + Assumptions!$F$69*$A30 + Assumptions!$F$71 + F$27</f>
        <v>0.12609999999999999</v>
      </c>
      <c r="G30" s="1210"/>
      <c r="H30" s="1210"/>
    </row>
    <row r="31" spans="1:8">
      <c r="A31" s="373">
        <v>1.2</v>
      </c>
      <c r="B31" s="374">
        <f>Assumptions!$F$68 + Assumptions!$F$69*$A31 + Assumptions!$F$71 + B$27</f>
        <v>0.11509999999999999</v>
      </c>
      <c r="C31" s="374">
        <f>Assumptions!$F$68 + Assumptions!$F$69*$A31 + Assumptions!$F$71 + C$27</f>
        <v>0.1201</v>
      </c>
      <c r="D31" s="374">
        <f>Assumptions!$F$68 + Assumptions!$F$69*$A31 + Assumptions!$F$71 + D$27</f>
        <v>0.12509999999999999</v>
      </c>
      <c r="E31" s="374">
        <f>Assumptions!$F$68 + Assumptions!$F$69*$A31 + Assumptions!$F$71 + E$27</f>
        <v>0.13009999999999999</v>
      </c>
      <c r="F31" s="375">
        <f>Assumptions!$F$68 + Assumptions!$F$69*$A31 + Assumptions!$F$71 + F$27</f>
        <v>0.1351</v>
      </c>
      <c r="G31" s="1210"/>
      <c r="H31" s="1210"/>
    </row>
    <row r="32" spans="1:8">
      <c r="A32" s="377">
        <v>1.4</v>
      </c>
      <c r="B32" s="378">
        <f>Assumptions!$F$68 + Assumptions!$F$69*$A32 + Assumptions!$F$71 + B$27</f>
        <v>0.12409999999999999</v>
      </c>
      <c r="C32" s="378">
        <f>Assumptions!$F$68 + Assumptions!$F$69*$A32 + Assumptions!$F$71 + C$27</f>
        <v>0.12909999999999999</v>
      </c>
      <c r="D32" s="378">
        <f>Assumptions!$F$68 + Assumptions!$F$69*$A32 + Assumptions!$F$71 + D$27</f>
        <v>0.1341</v>
      </c>
      <c r="E32" s="378">
        <f>Assumptions!$F$68 + Assumptions!$F$69*$A32 + Assumptions!$F$71 + E$27</f>
        <v>0.1391</v>
      </c>
      <c r="F32" s="379">
        <f>Assumptions!$F$68 + Assumptions!$F$69*$A32 + Assumptions!$F$71 + F$27</f>
        <v>0.14410000000000001</v>
      </c>
      <c r="G32" s="1210"/>
      <c r="H32" s="1210"/>
    </row>
    <row r="33" spans="1:8">
      <c r="A33" s="1194"/>
      <c r="B33" s="1194"/>
      <c r="C33" s="1194"/>
      <c r="D33" s="1194"/>
      <c r="E33" s="1194"/>
      <c r="F33" s="1194"/>
      <c r="G33" s="1210"/>
      <c r="H33" s="1210"/>
    </row>
    <row r="34" spans="1:8" ht="21.95" customHeight="1" thickBot="1">
      <c r="A34" s="1584" t="s">
        <v>1940</v>
      </c>
      <c r="B34" s="1527"/>
      <c r="C34" s="1527"/>
      <c r="D34" s="1527"/>
      <c r="E34" s="1527"/>
      <c r="F34" s="1527"/>
      <c r="G34" s="1578"/>
      <c r="H34" s="1578"/>
    </row>
    <row r="35" spans="1:8">
      <c r="A35" s="963" t="s">
        <v>1939</v>
      </c>
      <c r="B35" s="968">
        <v>0.01</v>
      </c>
      <c r="C35" s="968">
        <v>1.4999999999999999E-2</v>
      </c>
      <c r="D35" s="969">
        <v>0.02</v>
      </c>
      <c r="E35" s="968">
        <v>2.5000000000000001E-2</v>
      </c>
      <c r="F35" s="970">
        <v>0.03</v>
      </c>
      <c r="G35" s="1210"/>
      <c r="H35" s="1210"/>
    </row>
    <row r="36" spans="1:8">
      <c r="A36" s="373">
        <v>0.7</v>
      </c>
      <c r="B36" s="367" cm="1">
        <f t="array" ref="B36">(SUMPRODUCT(DCF!$D$9:$K$9, 1/(1+(Assumptions!$F$68+Assumptions!$F$69*$A36+Assumptions!$F$71+B$35))^DCF!$D$13:$K$13) + DCF!$K$8*Assumptions!$F$77/(1+(Assumptions!$F$68+Assumptions!$F$69*$A36+Assumptions!$F$71+B$35))^DCF!$K$13)/1000</f>
        <v>8.6042861693741539</v>
      </c>
      <c r="C36" s="367" cm="1">
        <f t="array" ref="C36">(SUMPRODUCT(DCF!$D$9:$K$9, 1/(1+(Assumptions!$F$68+Assumptions!$F$69*$A36+Assumptions!$F$71+C$35))^DCF!$D$13:$K$13) + DCF!$K$8*Assumptions!$F$77/(1+(Assumptions!$F$68+Assumptions!$F$69*$A36+Assumptions!$F$71+C$35))^DCF!$K$13)/1000</f>
        <v>8.3365040246235047</v>
      </c>
      <c r="D36" s="367" cm="1">
        <f t="array" ref="D36">(SUMPRODUCT(DCF!$D$9:$K$9, 1/(1+(Assumptions!$F$68+Assumptions!$F$69*$A36+Assumptions!$F$71+D$35))^DCF!$D$13:$K$13) + DCF!$K$8*Assumptions!$F$77/(1+(Assumptions!$F$68+Assumptions!$F$69*$A36+Assumptions!$F$71+D$35))^DCF!$K$13)/1000</f>
        <v>8.0785614132743433</v>
      </c>
      <c r="E36" s="367" cm="1">
        <f t="array" ref="E36">(SUMPRODUCT(DCF!$D$9:$K$9, 1/(1+(Assumptions!$F$68+Assumptions!$F$69*$A36+Assumptions!$F$71+E$35))^DCF!$D$13:$K$13) + DCF!$K$8*Assumptions!$F$77/(1+(Assumptions!$F$68+Assumptions!$F$69*$A36+Assumptions!$F$71+E$35))^DCF!$K$13)/1000</f>
        <v>7.8300503283408007</v>
      </c>
      <c r="F36" s="368" cm="1">
        <f t="array" ref="F36">(SUMPRODUCT(DCF!$D$9:$K$9, 1/(1+(Assumptions!$F$68+Assumptions!$F$69*$A36+Assumptions!$F$71+F$35))^DCF!$D$13:$K$13) + DCF!$K$8*Assumptions!$F$77/(1+(Assumptions!$F$68+Assumptions!$F$69*$A36+Assumptions!$F$71+F$35))^DCF!$K$13)/1000</f>
        <v>7.5905815030585346</v>
      </c>
      <c r="G36" s="1210"/>
      <c r="H36" s="1210"/>
    </row>
    <row r="37" spans="1:8">
      <c r="A37" s="971">
        <v>0.83</v>
      </c>
      <c r="B37" s="367" cm="1">
        <f t="array" ref="B37">(SUMPRODUCT(DCF!$D$9:$K$9, 1/(1+(Assumptions!$F$68+Assumptions!$F$69*$A37+Assumptions!$F$71+B$35))^DCF!$D$13:$K$13) + DCF!$K$8*Assumptions!$F$77/(1+(Assumptions!$F$68+Assumptions!$F$69*$A37+Assumptions!$F$71+B$35))^DCF!$K$13)/1000</f>
        <v>8.2919710705757677</v>
      </c>
      <c r="C37" s="367" cm="1">
        <f t="array" ref="C37">(SUMPRODUCT(DCF!$D$9:$K$9, 1/(1+(Assumptions!$F$68+Assumptions!$F$69*$A37+Assumptions!$F$71+C$35))^DCF!$D$13:$K$13) + DCF!$K$8*Assumptions!$F$77/(1+(Assumptions!$F$68+Assumptions!$F$69*$A37+Assumptions!$F$71+C$35))^DCF!$K$13)/1000</f>
        <v>8.0356600757439818</v>
      </c>
      <c r="D37" s="369" cm="1">
        <f t="array" ref="D37">(SUMPRODUCT(DCF!$D$9:$K$9, 1/(1+(Assumptions!$F$68+Assumptions!$F$69*$A37+Assumptions!$F$71+D$35))^DCF!$D$13:$K$13) + DCF!$K$8*Assumptions!$F$77/(1+(Assumptions!$F$68+Assumptions!$F$69*$A37+Assumptions!$F$71+D$35))^DCF!$K$13)/1000</f>
        <v>7.7887131364433682</v>
      </c>
      <c r="E37" s="367" cm="1">
        <f t="array" ref="E37">(SUMPRODUCT(DCF!$D$9:$K$9, 1/(1+(Assumptions!$F$68+Assumptions!$F$69*$A37+Assumptions!$F$71+E$35))^DCF!$D$13:$K$13) + DCF!$K$8*Assumptions!$F$77/(1+(Assumptions!$F$68+Assumptions!$F$69*$A37+Assumptions!$F$71+E$35))^DCF!$K$13)/1000</f>
        <v>7.5507440766107923</v>
      </c>
      <c r="F37" s="368" cm="1">
        <f t="array" ref="F37">(SUMPRODUCT(DCF!$D$9:$K$9, 1/(1+(Assumptions!$F$68+Assumptions!$F$69*$A37+Assumptions!$F$71+F$35))^DCF!$D$13:$K$13) + DCF!$K$8*Assumptions!$F$77/(1+(Assumptions!$F$68+Assumptions!$F$69*$A37+Assumptions!$F$71+F$35))^DCF!$K$13)/1000</f>
        <v>7.3213843634334657</v>
      </c>
      <c r="G37" s="1210"/>
      <c r="H37" s="1210"/>
    </row>
    <row r="38" spans="1:8">
      <c r="A38" s="373">
        <v>1</v>
      </c>
      <c r="B38" s="367" cm="1">
        <f t="array" ref="B38">(SUMPRODUCT(DCF!$D$9:$K$9, 1/(1+(Assumptions!$F$68+Assumptions!$F$69*$A38+Assumptions!$F$71+B$35))^DCF!$D$13:$K$13) + DCF!$K$8*Assumptions!$F$77/(1+(Assumptions!$F$68+Assumptions!$F$69*$A38+Assumptions!$F$71+B$35))^DCF!$K$13)/1000</f>
        <v>7.9036368572604392</v>
      </c>
      <c r="C38" s="367" cm="1">
        <f t="array" ref="C38">(SUMPRODUCT(DCF!$D$9:$K$9, 1/(1+(Assumptions!$F$68+Assumptions!$F$69*$A38+Assumptions!$F$71+C$35))^DCF!$D$13:$K$13) + DCF!$K$8*Assumptions!$F$77/(1+(Assumptions!$F$68+Assumptions!$F$69*$A38+Assumptions!$F$71+C$35))^DCF!$K$13)/1000</f>
        <v>7.6614951504325264</v>
      </c>
      <c r="D38" s="367" cm="1">
        <f t="array" ref="D38">(SUMPRODUCT(DCF!$D$9:$K$9, 1/(1+(Assumptions!$F$68+Assumptions!$F$69*$A38+Assumptions!$F$71+D$35))^DCF!$D$13:$K$13) + DCF!$K$8*Assumptions!$F$77/(1+(Assumptions!$F$68+Assumptions!$F$69*$A38+Assumptions!$F$71+D$35))^DCF!$K$13)/1000</f>
        <v>7.4281338604055529</v>
      </c>
      <c r="E38" s="367" cm="1">
        <f t="array" ref="E38">(SUMPRODUCT(DCF!$D$9:$K$9, 1/(1+(Assumptions!$F$68+Assumptions!$F$69*$A38+Assumptions!$F$71+E$35))^DCF!$D$13:$K$13) + DCF!$K$8*Assumptions!$F$77/(1+(Assumptions!$F$68+Assumptions!$F$69*$A38+Assumptions!$F$71+E$35))^DCF!$K$13)/1000</f>
        <v>7.2031934444800632</v>
      </c>
      <c r="F38" s="368" cm="1">
        <f t="array" ref="F38">(SUMPRODUCT(DCF!$D$9:$K$9, 1/(1+(Assumptions!$F$68+Assumptions!$F$69*$A38+Assumptions!$F$71+F$35))^DCF!$D$13:$K$13) + DCF!$K$8*Assumptions!$F$77/(1+(Assumptions!$F$68+Assumptions!$F$69*$A38+Assumptions!$F$71+F$35))^DCF!$K$13)/1000</f>
        <v>6.9863306729688395</v>
      </c>
      <c r="G38" s="1210"/>
      <c r="H38" s="1210"/>
    </row>
    <row r="39" spans="1:8">
      <c r="A39" s="373">
        <v>1.2</v>
      </c>
      <c r="B39" s="367" cm="1">
        <f t="array" ref="B39">(SUMPRODUCT(DCF!$D$9:$K$9, 1/(1+(Assumptions!$F$68+Assumptions!$F$69*$A39+Assumptions!$F$71+B$35))^DCF!$D$13:$K$13) + DCF!$K$8*Assumptions!$F$77/(1+(Assumptions!$F$68+Assumptions!$F$69*$A39+Assumptions!$F$71+B$35))^DCF!$K$13)/1000</f>
        <v>7.4741211833098991</v>
      </c>
      <c r="C39" s="367" cm="1">
        <f t="array" ref="C39">(SUMPRODUCT(DCF!$D$9:$K$9, 1/(1+(Assumptions!$F$68+Assumptions!$F$69*$A39+Assumptions!$F$71+C$35))^DCF!$D$13:$K$13) + DCF!$K$8*Assumptions!$F$77/(1+(Assumptions!$F$68+Assumptions!$F$69*$A39+Assumptions!$F$71+C$35))^DCF!$K$13)/1000</f>
        <v>7.2475245610036092</v>
      </c>
      <c r="D39" s="367" cm="1">
        <f t="array" ref="D39">(SUMPRODUCT(DCF!$D$9:$K$9, 1/(1+(Assumptions!$F$68+Assumptions!$F$69*$A39+Assumptions!$F$71+D$35))^DCF!$D$13:$K$13) + DCF!$K$8*Assumptions!$F$77/(1+(Assumptions!$F$68+Assumptions!$F$69*$A39+Assumptions!$F$71+D$35))^DCF!$K$13)/1000</f>
        <v>7.0290729635412745</v>
      </c>
      <c r="E39" s="367" cm="1">
        <f t="array" ref="E39">(SUMPRODUCT(DCF!$D$9:$K$9, 1/(1+(Assumptions!$F$68+Assumptions!$F$69*$A39+Assumptions!$F$71+E$35))^DCF!$D$13:$K$13) + DCF!$K$8*Assumptions!$F$77/(1+(Assumptions!$F$68+Assumptions!$F$69*$A39+Assumptions!$F$71+E$35))^DCF!$K$13)/1000</f>
        <v>6.8184356261912695</v>
      </c>
      <c r="F39" s="368" cm="1">
        <f t="array" ref="F39">(SUMPRODUCT(DCF!$D$9:$K$9, 1/(1+(Assumptions!$F$68+Assumptions!$F$69*$A39+Assumptions!$F$71+F$35))^DCF!$D$13:$K$13) + DCF!$K$8*Assumptions!$F$77/(1+(Assumptions!$F$68+Assumptions!$F$69*$A39+Assumptions!$F$71+F$35))^DCF!$K$13)/1000</f>
        <v>6.6152966704789344</v>
      </c>
      <c r="G39" s="1210"/>
      <c r="H39" s="1210"/>
    </row>
    <row r="40" spans="1:8">
      <c r="A40" s="377">
        <v>1.4</v>
      </c>
      <c r="B40" s="371" cm="1">
        <f t="array" ref="B40">(SUMPRODUCT(DCF!$D$9:$K$9, 1/(1+(Assumptions!$F$68+Assumptions!$F$69*$A40+Assumptions!$F$71+B$35))^DCF!$D$13:$K$13) + DCF!$K$8*Assumptions!$F$77/(1+(Assumptions!$F$68+Assumptions!$F$69*$A40+Assumptions!$F$71+B$35))^DCF!$K$13)/1000</f>
        <v>7.0721277768997446</v>
      </c>
      <c r="C40" s="371" cm="1">
        <f t="array" ref="C40">(SUMPRODUCT(DCF!$D$9:$K$9, 1/(1+(Assumptions!$F$68+Assumptions!$F$69*$A40+Assumptions!$F$71+C$35))^DCF!$D$13:$K$13) + DCF!$K$8*Assumptions!$F$77/(1+(Assumptions!$F$68+Assumptions!$F$69*$A40+Assumptions!$F$71+C$35))^DCF!$K$13)/1000</f>
        <v>6.8599533233476695</v>
      </c>
      <c r="D40" s="371" cm="1">
        <f t="array" ref="D40">(SUMPRODUCT(DCF!$D$9:$K$9, 1/(1+(Assumptions!$F$68+Assumptions!$F$69*$A40+Assumptions!$F$71+D$35))^DCF!$D$13:$K$13) + DCF!$K$8*Assumptions!$F$77/(1+(Assumptions!$F$68+Assumptions!$F$69*$A40+Assumptions!$F$71+D$35))^DCF!$K$13)/1000</f>
        <v>6.6553392720119176</v>
      </c>
      <c r="E40" s="371" cm="1">
        <f t="array" ref="E40">(SUMPRODUCT(DCF!$D$9:$K$9, 1/(1+(Assumptions!$F$68+Assumptions!$F$69*$A40+Assumptions!$F$71+E$35))^DCF!$D$13:$K$13) + DCF!$K$8*Assumptions!$F$77/(1+(Assumptions!$F$68+Assumptions!$F$69*$A40+Assumptions!$F$71+E$35))^DCF!$K$13)/1000</f>
        <v>6.4579811234334157</v>
      </c>
      <c r="F40" s="372" cm="1">
        <f t="array" ref="F40">(SUMPRODUCT(DCF!$D$9:$K$9, 1/(1+(Assumptions!$F$68+Assumptions!$F$69*$A40+Assumptions!$F$71+F$35))^DCF!$D$13:$K$13) + DCF!$K$8*Assumptions!$F$77/(1+(Assumptions!$F$68+Assumptions!$F$69*$A40+Assumptions!$F$71+F$35))^DCF!$K$13)/1000</f>
        <v>6.2675879725584256</v>
      </c>
      <c r="G40" s="1210"/>
      <c r="H40" s="1210"/>
    </row>
    <row r="42" spans="1:8" ht="21.95" customHeight="1" thickBot="1">
      <c r="A42" s="1486" t="s">
        <v>1941</v>
      </c>
      <c r="B42" s="1534"/>
      <c r="C42" s="1534"/>
      <c r="D42" s="1534"/>
      <c r="E42" s="1534"/>
      <c r="F42" s="1534"/>
      <c r="G42" s="1534"/>
      <c r="H42" s="1534"/>
    </row>
    <row r="43" spans="1:8">
      <c r="A43" s="380" t="s">
        <v>88</v>
      </c>
      <c r="B43" s="381" t="s">
        <v>1817</v>
      </c>
      <c r="C43" s="381" t="s">
        <v>1818</v>
      </c>
      <c r="D43" s="381" t="s">
        <v>1819</v>
      </c>
      <c r="E43" s="382" t="s">
        <v>1942</v>
      </c>
      <c r="F43" s="1210"/>
      <c r="G43" s="1210"/>
      <c r="H43" s="1210"/>
    </row>
    <row r="44" spans="1:8" ht="30">
      <c r="A44" s="989" t="s">
        <v>1943</v>
      </c>
      <c r="B44" s="364">
        <f>MIN(B6:H12)</f>
        <v>4.5877068362084525</v>
      </c>
      <c r="C44" s="383">
        <f>E9</f>
        <v>7.4373042924201123</v>
      </c>
      <c r="D44" s="364">
        <f>MAX(B6:H12)</f>
        <v>10.85391220447025</v>
      </c>
      <c r="E44" s="362" t="str">
        <f>ROUND((B44*1000-Assumptions!$F$61+Assumptions!$F$62)/Assumptions!$F$54,1) &amp; "  —  " &amp; ROUND((D44*1000-Assumptions!$F$61+Assumptions!$F$62)/Assumptions!$F$54,1)</f>
        <v>12.9  —  28.2</v>
      </c>
      <c r="F44" s="1210"/>
      <c r="G44" s="1210"/>
      <c r="H44" s="1210"/>
    </row>
    <row r="45" spans="1:8" ht="60">
      <c r="A45" s="989" t="s">
        <v>1944</v>
      </c>
      <c r="B45" s="364">
        <f>MIN(B17:H23)</f>
        <v>4.2966212928119036</v>
      </c>
      <c r="C45" s="383">
        <f>E20</f>
        <v>5.7633255079869103</v>
      </c>
      <c r="D45" s="364">
        <f>MAX(B17:H23)</f>
        <v>8.7838807982148115</v>
      </c>
      <c r="E45" s="362" t="str">
        <f>ROUND((B45*1000-Assumptions!$F$61+Assumptions!$F$62)/Assumptions!$F$54,1) &amp; "  —  " &amp; ROUND((D45*1000-Assumptions!$F$61+Assumptions!$F$62)/Assumptions!$F$54,1)</f>
        <v>12.2  —  23.1</v>
      </c>
      <c r="F45" s="1210"/>
      <c r="G45" s="1210"/>
      <c r="H45" s="1210"/>
    </row>
    <row r="46" spans="1:8" ht="30.75" thickBot="1">
      <c r="A46" s="990" t="s">
        <v>1945</v>
      </c>
      <c r="B46" s="365">
        <f>MIN(B36:F40)</f>
        <v>6.2675879725584256</v>
      </c>
      <c r="C46" s="384">
        <f>D37</f>
        <v>7.7887131364433682</v>
      </c>
      <c r="D46" s="365">
        <f>MAX(B36:F40)</f>
        <v>8.6042861693741539</v>
      </c>
      <c r="E46" s="363" t="str">
        <f>ROUND((B46*1000-Assumptions!$F$61+Assumptions!$F$62)/Assumptions!$F$54,1) &amp; "  —  " &amp; ROUND((D46*1000-Assumptions!$F$61+Assumptions!$F$62)/Assumptions!$F$54,1)</f>
        <v>17  —  22.7</v>
      </c>
      <c r="F46" s="1210"/>
      <c r="G46" s="1210"/>
      <c r="H46" s="1210"/>
    </row>
    <row r="48" spans="1:8">
      <c r="A48" s="1498" t="str">
        <f>"Live DCF base = "&amp;TEXT(DCF!$C$38/Assumptions!$F$54,"$0.00")&amp;"/sh ("&amp;TEXT(DCF!$C$38/1000,"$0.00\B")&amp;" equity). Series G mark "&amp;TEXT(DCF!$C$52/1000,"$0.00\B")&amp;" = "&amp;TEXT(DCF!$C$52/Assumptions!$F$54,"$0.00")&amp;"/sh ("&amp;TEXT(DCF!$C$52/DCF!$C$38-1,"+0.0%;-0.0%")&amp;" vs live DCF). Sensitivity grids show pure-method dispersion; live DCF blends Exit Mult &amp; Gordon."</f>
        <v>Live DCF base = $17.86/sh ($7.32B equity). Series G mark $10.10B = $24.63/sh (+38.0% vs live DCF). Sensitivity grids show pure-method dispersion; live DCF blends Exit Mult &amp; Gordon.</v>
      </c>
      <c r="B48" s="1528"/>
      <c r="C48" s="1528"/>
      <c r="D48" s="1528"/>
      <c r="E48" s="1528"/>
      <c r="F48" s="1528"/>
      <c r="G48" s="1528"/>
      <c r="H48" s="1528"/>
    </row>
    <row r="50" spans="1:10" ht="15.75">
      <c r="A50" s="1586" t="s">
        <v>1946</v>
      </c>
      <c r="B50" s="1586"/>
      <c r="C50" s="1586"/>
      <c r="D50" s="1586"/>
      <c r="E50" s="1586"/>
      <c r="F50" s="1210"/>
      <c r="G50" s="1210"/>
      <c r="H50" s="1210"/>
      <c r="I50" s="1210"/>
      <c r="J50" s="1210"/>
    </row>
    <row r="51" spans="1:10">
      <c r="A51" s="1199" t="s">
        <v>1947</v>
      </c>
      <c r="B51" s="1210"/>
      <c r="C51" s="1210"/>
      <c r="D51" s="1210"/>
      <c r="E51" s="1210"/>
      <c r="F51" s="1210"/>
      <c r="G51" s="1210"/>
      <c r="H51" s="1210"/>
      <c r="I51" s="1210"/>
      <c r="J51" s="1210"/>
    </row>
    <row r="53" spans="1:10">
      <c r="A53" s="975" t="s">
        <v>1948</v>
      </c>
      <c r="B53" s="975" t="s">
        <v>1034</v>
      </c>
      <c r="C53" s="744" t="s">
        <v>1949</v>
      </c>
      <c r="D53" s="744" t="s">
        <v>1950</v>
      </c>
      <c r="E53" s="744" t="s">
        <v>1951</v>
      </c>
      <c r="F53" s="744" t="s">
        <v>1952</v>
      </c>
      <c r="G53" s="744" t="s">
        <v>1953</v>
      </c>
      <c r="H53" s="744" t="s">
        <v>1954</v>
      </c>
      <c r="I53" s="744" t="s">
        <v>1955</v>
      </c>
      <c r="J53" s="744" t="s">
        <v>1953</v>
      </c>
    </row>
    <row r="54" spans="1:10">
      <c r="A54" s="976">
        <v>0.08</v>
      </c>
      <c r="B54" s="1199" t="s">
        <v>1956</v>
      </c>
      <c r="C54" s="746">
        <f>(Members!$L$10/Members!$L$34)*Members!$L$15+(Members!$L$11/Members!$L$34)*Members!$L$16+(Members!$L$12/Members!$L$34)*A54</f>
        <v>0.11458071090007962</v>
      </c>
      <c r="D54" s="747">
        <f>Assumptions!$F$11*Assumptions!$F$37/C54</f>
        <v>1817.4088672010089</v>
      </c>
      <c r="E54" s="748">
        <f>D54/Members!$L$55</f>
        <v>5.4362756023809258</v>
      </c>
      <c r="F54" s="749">
        <f>Members!$L$34*(1-(A54-Assumptions!$F$21)*5)</f>
        <v>13.108929728657531</v>
      </c>
      <c r="G54" s="750">
        <f>F54/Members!$L$34-1</f>
        <v>0.19999999999999996</v>
      </c>
      <c r="H54" s="747">
        <f>F54*((Members!$L$34/Members!$L$35)+1)/2*Assumptions!$F$11*(1+Assumptions!$D$9)^7/(1+Assumptions!$D$9)^7</f>
        <v>3643.3083673115798</v>
      </c>
      <c r="I54" s="751">
        <f>DCF!$C$40*(F54/Members!$L$34)</f>
        <v>21.426008269899036</v>
      </c>
      <c r="J54" s="750">
        <f>I54/DCF!$C$40-1</f>
        <v>0.19999999999999996</v>
      </c>
    </row>
    <row r="55" spans="1:10">
      <c r="A55" s="977">
        <v>0.1</v>
      </c>
      <c r="B55" s="745" t="s">
        <v>1957</v>
      </c>
      <c r="C55" s="1210">
        <f>(Members!$L$10/Members!$L$34)*Members!$L$15+(Members!$L$11/Members!$L$34)*Members!$L$16+(Members!$L$12/Members!$L$34)*A55</f>
        <v>0.12628768443385957</v>
      </c>
      <c r="D55" s="1210">
        <f>Assumptions!$F$11*Assumptions!$F$37/C55</f>
        <v>1648.9335514664629</v>
      </c>
      <c r="E55" s="1210">
        <f>D55/Members!$L$55</f>
        <v>4.9323283260909845</v>
      </c>
      <c r="F55" s="1210">
        <f>Members!$L$34*(1-(A55-Assumptions!$F$21)*5)</f>
        <v>12.016518917936068</v>
      </c>
      <c r="G55" s="1210">
        <f>F55/Members!$L$34-1</f>
        <v>9.9999999999999867E-2</v>
      </c>
      <c r="H55" s="1210">
        <f>F55*((Members!$L$34/Members!$L$35)+1)/2*Assumptions!$F$11*(1+Assumptions!$D$9)^7/(1+Assumptions!$D$9)^7</f>
        <v>3339.699336702281</v>
      </c>
      <c r="I55" s="1210">
        <f>DCF!$C$40*(F55/Members!$L$34)</f>
        <v>19.640507580740781</v>
      </c>
      <c r="J55" s="1210">
        <f>I55/DCF!$C$40-1</f>
        <v>9.9999999999999867E-2</v>
      </c>
    </row>
    <row r="56" spans="1:10">
      <c r="A56" s="978">
        <v>0.12</v>
      </c>
      <c r="B56" s="1217" t="s">
        <v>1958</v>
      </c>
      <c r="C56" s="1210">
        <f>(Members!$L$10/Members!$L$34)*Members!$L$15+(Members!$L$11/Members!$L$34)*Members!$L$16+(Members!$L$12/Members!$L$34)*A56</f>
        <v>0.13799465796763954</v>
      </c>
      <c r="D56" s="1210">
        <f>Assumptions!$F$11*Assumptions!$F$37/C56</f>
        <v>1509.0439229091996</v>
      </c>
      <c r="E56" s="1210">
        <f>D56/Members!$L$55</f>
        <v>4.5138872210229799</v>
      </c>
      <c r="F56" s="1210">
        <f>Members!$L$34*(1-(A56-Assumptions!$F$21)*5)</f>
        <v>10.924108107214609</v>
      </c>
      <c r="G56" s="1210">
        <f>F56/Members!$L$34-1</f>
        <v>0</v>
      </c>
      <c r="H56" s="1210">
        <f>F56*((Members!$L$34/Members!$L$35)+1)/2*Assumptions!$F$11*(1+Assumptions!$D$9)^7/(1+Assumptions!$D$9)^7</f>
        <v>3036.0903060929832</v>
      </c>
      <c r="I56" s="1210">
        <f>DCF!$C$40*(F56/Members!$L$34)</f>
        <v>17.85500689158253</v>
      </c>
      <c r="J56" s="1210">
        <f>I56/DCF!$C$40-1</f>
        <v>0</v>
      </c>
    </row>
    <row r="57" spans="1:10">
      <c r="A57" s="976">
        <v>0.14000000000000001</v>
      </c>
      <c r="B57" s="1199" t="s">
        <v>1959</v>
      </c>
      <c r="C57" s="1210">
        <f>(Members!$L$10/Members!$L$34)*Members!$L$15+(Members!$L$11/Members!$L$34)*Members!$L$16+(Members!$L$12/Members!$L$34)*A57</f>
        <v>0.14970163150141949</v>
      </c>
      <c r="D57" s="1210">
        <f>Assumptions!$F$11*Assumptions!$F$37/C57</f>
        <v>1391.0336040527752</v>
      </c>
      <c r="E57" s="1210">
        <f>D57/Members!$L$55</f>
        <v>4.1608920151525455</v>
      </c>
      <c r="F57" s="1210">
        <f>Members!$L$34*(1-(A57-Assumptions!$F$21)*5)</f>
        <v>9.8316972964931466</v>
      </c>
      <c r="G57" s="1210">
        <f>F57/Members!$L$34-1</f>
        <v>-0.1000000000000002</v>
      </c>
      <c r="H57" s="1210">
        <f>F57*((Members!$L$34/Members!$L$35)+1)/2*Assumptions!$F$11*(1+Assumptions!$D$9)^7/(1+Assumptions!$D$9)^7</f>
        <v>2732.4812754836848</v>
      </c>
      <c r="I57" s="1210">
        <f>DCF!$C$40*(F57/Members!$L$34)</f>
        <v>16.069506202424272</v>
      </c>
      <c r="J57" s="1210">
        <f>I57/DCF!$C$40-1</f>
        <v>-0.10000000000000031</v>
      </c>
    </row>
    <row r="58" spans="1:10">
      <c r="A58" s="976">
        <v>0.16</v>
      </c>
      <c r="B58" s="1199" t="s">
        <v>1960</v>
      </c>
      <c r="C58" s="1210">
        <f>(Members!$L$10/Members!$L$34)*Members!$L$15+(Members!$L$11/Members!$L$34)*Members!$L$16+(Members!$L$12/Members!$L$34)*A58</f>
        <v>0.16140860503519944</v>
      </c>
      <c r="D58" s="1210">
        <f>Assumptions!$F$11*Assumptions!$F$37/C58</f>
        <v>1290.1418728858214</v>
      </c>
      <c r="E58" s="1210">
        <f>D58/Members!$L$55</f>
        <v>3.8591023262590425</v>
      </c>
      <c r="F58" s="1210">
        <f>Members!$L$34*(1-(A58-Assumptions!$F$21)*5)</f>
        <v>8.7392864857716859</v>
      </c>
      <c r="G58" s="1210">
        <f>F58/Members!$L$34-1</f>
        <v>-0.20000000000000018</v>
      </c>
      <c r="H58" s="1210">
        <f>F58*((Members!$L$34/Members!$L$35)+1)/2*Assumptions!$F$11*(1+Assumptions!$D$9)^7/(1+Assumptions!$D$9)^7</f>
        <v>2428.8722448743861</v>
      </c>
      <c r="I58" s="1210">
        <f>DCF!$C$40*(F58/Members!$L$34)</f>
        <v>14.28400551326602</v>
      </c>
      <c r="J58" s="1210">
        <f>I58/DCF!$C$40-1</f>
        <v>-0.20000000000000018</v>
      </c>
    </row>
    <row r="60" spans="1:10">
      <c r="A60" s="1207" t="s">
        <v>1961</v>
      </c>
      <c r="B60" s="741" t="s">
        <v>1962</v>
      </c>
      <c r="C60" s="1210"/>
      <c r="D60" s="1210"/>
      <c r="E60" s="1210"/>
      <c r="F60" s="1210"/>
      <c r="G60" s="1210"/>
      <c r="H60" s="1210"/>
      <c r="I60" s="1210"/>
      <c r="J60" s="1210"/>
    </row>
    <row r="61" spans="1:10">
      <c r="A61" s="718" t="s">
        <v>1963</v>
      </c>
      <c r="B61" s="717" t="s">
        <v>1964</v>
      </c>
      <c r="C61" s="1210"/>
      <c r="D61" s="1210"/>
      <c r="E61" s="1210"/>
      <c r="F61" s="1210"/>
      <c r="G61" s="1210"/>
      <c r="H61" s="1210"/>
      <c r="I61" s="1210"/>
      <c r="J61" s="1210"/>
    </row>
    <row r="63" spans="1:10" ht="15.75">
      <c r="A63" s="1503" t="s">
        <v>1965</v>
      </c>
      <c r="B63" s="1503"/>
      <c r="C63" s="1503"/>
      <c r="D63" s="1503"/>
      <c r="E63" s="1503"/>
      <c r="F63" s="1210"/>
      <c r="G63" s="1210"/>
      <c r="H63" s="1210"/>
      <c r="I63" s="1210"/>
      <c r="J63" s="1210"/>
    </row>
    <row r="64" spans="1:10">
      <c r="A64" s="786" t="s">
        <v>1966</v>
      </c>
      <c r="B64" s="1210"/>
      <c r="C64" s="1210"/>
      <c r="D64" s="1210"/>
      <c r="E64" s="1210"/>
      <c r="F64" s="1210"/>
      <c r="G64" s="1210"/>
      <c r="H64" s="1210"/>
      <c r="I64" s="1210"/>
      <c r="J64" s="1210"/>
    </row>
    <row r="65" spans="1:7">
      <c r="A65" s="789" t="s">
        <v>1558</v>
      </c>
      <c r="B65" s="981">
        <v>0.2</v>
      </c>
      <c r="C65" s="981">
        <v>0.25</v>
      </c>
      <c r="D65" s="980">
        <v>0.3</v>
      </c>
      <c r="E65" s="981">
        <v>0.35</v>
      </c>
      <c r="F65" s="981">
        <v>0.4</v>
      </c>
      <c r="G65" s="1210"/>
    </row>
    <row r="66" spans="1:7">
      <c r="A66" s="979">
        <v>0.1</v>
      </c>
      <c r="B66" s="982">
        <f>$A66*DCF!$C$60+B$65*DCF!$C$62+(1-$A66-B$65)*DCF!$C$61</f>
        <v>10305.594000000001</v>
      </c>
      <c r="C66" s="982">
        <f>$A66*DCF!$C$60+C$65*DCF!$C$62+(1-$A66-C$65)*DCF!$C$61</f>
        <v>11172.45</v>
      </c>
      <c r="D66" s="982">
        <f>$A66*DCF!$C$60+D$65*DCF!$C$62+(1-$A66-D$65)*DCF!$C$61</f>
        <v>12039.306</v>
      </c>
      <c r="E66" s="982">
        <f>$A66*DCF!$C$60+E$65*DCF!$C$62+(1-$A66-E$65)*DCF!$C$61</f>
        <v>12906.161999999998</v>
      </c>
      <c r="F66" s="982">
        <f>$A66*DCF!$C$60+F$65*DCF!$C$62+(1-$A66-F$65)*DCF!$C$61</f>
        <v>13773.017999999998</v>
      </c>
      <c r="G66" s="1210"/>
    </row>
    <row r="67" spans="1:7">
      <c r="A67" s="979">
        <v>0.15</v>
      </c>
      <c r="B67" s="982">
        <f>$A67*DCF!$C$60+B$65*DCF!$C$62+(1-$A67-B$65)*DCF!$C$61</f>
        <v>10064.403999999999</v>
      </c>
      <c r="C67" s="982">
        <f>$A67*DCF!$C$60+C$65*DCF!$C$62+(1-$A67-C$65)*DCF!$C$61</f>
        <v>10931.259999999998</v>
      </c>
      <c r="D67" s="982">
        <f>$A67*DCF!$C$60+D$65*DCF!$C$62+(1-$A67-D$65)*DCF!$C$61</f>
        <v>11798.116</v>
      </c>
      <c r="E67" s="982">
        <f>$A67*DCF!$C$60+E$65*DCF!$C$62+(1-$A67-E$65)*DCF!$C$61</f>
        <v>12664.972</v>
      </c>
      <c r="F67" s="982">
        <f>$A67*DCF!$C$60+F$65*DCF!$C$62+(1-$A67-F$65)*DCF!$C$61</f>
        <v>13531.828</v>
      </c>
      <c r="G67" s="1210"/>
    </row>
    <row r="68" spans="1:7">
      <c r="A68" s="980">
        <v>0.2</v>
      </c>
      <c r="B68" s="982">
        <f>$A68*DCF!$C$60+B$65*DCF!$C$62+(1-$A68-B$65)*DCF!$C$61</f>
        <v>9823.2139999999999</v>
      </c>
      <c r="C68" s="982">
        <f>$A68*DCF!$C$60+C$65*DCF!$C$62+(1-$A68-C$65)*DCF!$C$61</f>
        <v>10690.07</v>
      </c>
      <c r="D68" s="986">
        <f>$A68*DCF!$C$60+D$65*DCF!$C$62+(1-$A68-D$65)*DCF!$C$61</f>
        <v>11556.925999999999</v>
      </c>
      <c r="E68" s="982">
        <f>$A68*DCF!$C$60+E$65*DCF!$C$62+(1-$A68-E$65)*DCF!$C$61</f>
        <v>12423.781999999999</v>
      </c>
      <c r="F68" s="982">
        <f>$A68*DCF!$C$60+F$65*DCF!$C$62+(1-$A68-F$65)*DCF!$C$61</f>
        <v>13290.637999999999</v>
      </c>
      <c r="G68" s="981"/>
    </row>
    <row r="69" spans="1:7">
      <c r="A69" s="979">
        <v>0.25</v>
      </c>
      <c r="B69" s="982">
        <f>$A69*DCF!$C$60+B$65*DCF!$C$62+(1-$A69-B$65)*DCF!$C$61</f>
        <v>9582.0239999999994</v>
      </c>
      <c r="C69" s="982">
        <f>$A69*DCF!$C$60+C$65*DCF!$C$62+(1-$A69-C$65)*DCF!$C$61</f>
        <v>10448.879999999999</v>
      </c>
      <c r="D69" s="982">
        <f>$A69*DCF!$C$60+D$65*DCF!$C$62+(1-$A69-D$65)*DCF!$C$61</f>
        <v>11315.735999999999</v>
      </c>
      <c r="E69" s="982">
        <f>$A69*DCF!$C$60+E$65*DCF!$C$62+(1-$A69-E$65)*DCF!$C$61</f>
        <v>12182.592000000001</v>
      </c>
      <c r="F69" s="982">
        <f>$A69*DCF!$C$60+F$65*DCF!$C$62+(1-$A69-F$65)*DCF!$C$61</f>
        <v>13049.448</v>
      </c>
      <c r="G69" s="1210"/>
    </row>
    <row r="70" spans="1:7">
      <c r="A70" s="979">
        <v>0.3</v>
      </c>
      <c r="B70" s="982">
        <f>$A70*DCF!$C$60+B$65*DCF!$C$62+(1-$A70-B$65)*DCF!$C$61</f>
        <v>9340.8339999999989</v>
      </c>
      <c r="C70" s="982">
        <f>$A70*DCF!$C$60+C$65*DCF!$C$62+(1-$A70-C$65)*DCF!$C$61</f>
        <v>10207.689999999999</v>
      </c>
      <c r="D70" s="982">
        <f>$A70*DCF!$C$60+D$65*DCF!$C$62+(1-$A70-D$65)*DCF!$C$61</f>
        <v>11074.545999999998</v>
      </c>
      <c r="E70" s="982">
        <f>$A70*DCF!$C$60+E$65*DCF!$C$62+(1-$A70-E$65)*DCF!$C$61</f>
        <v>11941.401999999998</v>
      </c>
      <c r="F70" s="982">
        <f>$A70*DCF!$C$60+F$65*DCF!$C$62+(1-$A70-F$65)*DCF!$C$61</f>
        <v>12808.257999999998</v>
      </c>
      <c r="G70" s="1210"/>
    </row>
    <row r="72" spans="1:7">
      <c r="A72" s="786" t="str">
        <f>"Read: ProbWeighted Equity ranges "&amp;TEXT(MIN(B66:F70)/1000,"$0.00")&amp;"B (most pessimistic) to "&amp;TEXT(MAX(B66:F70)/1000,"$0.00")&amp;"B (most optimistic). Span = "&amp;TEXT((MAX(B66:F70)-MIN(B66:F70))/1000,"$0.00")&amp;"B; base case D68 = "&amp;TEXT(D68/1000,"$0.00")&amp;"B. Bookend: scenario-weighted DCF!C65 = "&amp;TEXT(DCF!$C$65/1000,"$0.00")&amp;"B (Jensen-adjusted upper anchor)."</f>
        <v>Read: ProbWeighted Equity ranges $9.34B (most pessimistic) to $13.77B (most optimistic). Span = $4.43B; base case D68 = $11.56B. Bookend: scenario-weighted DCF!C65 = $11.56B (Jensen-adjusted upper anchor).</v>
      </c>
      <c r="B72" s="1210"/>
      <c r="C72" s="1210"/>
      <c r="D72" s="1210"/>
      <c r="E72" s="1210"/>
      <c r="F72" s="1210"/>
      <c r="G72" s="1210"/>
    </row>
    <row r="73" spans="1:7">
      <c r="A73" s="1210"/>
      <c r="B73" s="979">
        <v>0.3</v>
      </c>
      <c r="C73" s="1210"/>
      <c r="D73" s="1210"/>
      <c r="E73" s="1210"/>
      <c r="F73" s="1210"/>
      <c r="G73" s="1210"/>
    </row>
    <row r="74" spans="1:7" ht="15.75">
      <c r="A74" s="1503" t="s">
        <v>1967</v>
      </c>
      <c r="B74" s="1503"/>
      <c r="C74" s="1503"/>
      <c r="D74" s="1503"/>
      <c r="E74" s="1503"/>
      <c r="F74" s="1210"/>
      <c r="G74" s="1210"/>
    </row>
    <row r="75" spans="1:7">
      <c r="A75" s="786" t="s">
        <v>1968</v>
      </c>
      <c r="B75" s="1210"/>
      <c r="C75" s="1210"/>
      <c r="D75" s="1210"/>
      <c r="E75" s="1210"/>
      <c r="F75" s="1210"/>
      <c r="G75" s="1210"/>
    </row>
    <row r="77" spans="1:7" ht="30">
      <c r="A77" s="993" t="s">
        <v>1969</v>
      </c>
      <c r="B77" s="994" t="s">
        <v>1952</v>
      </c>
      <c r="C77" s="994" t="s">
        <v>1954</v>
      </c>
      <c r="D77" s="994" t="s">
        <v>1970</v>
      </c>
      <c r="E77" s="994" t="s">
        <v>1971</v>
      </c>
      <c r="F77" s="994" t="s">
        <v>1972</v>
      </c>
      <c r="G77" s="994" t="s">
        <v>1973</v>
      </c>
    </row>
    <row r="78" spans="1:7" ht="45">
      <c r="A78" s="991" t="s">
        <v>1974</v>
      </c>
      <c r="B78" s="790">
        <v>8.39</v>
      </c>
      <c r="C78" s="982">
        <f>B78*DCF!$K$8/Members!$L$34</f>
        <v>2831.0054937139271</v>
      </c>
      <c r="D78" s="982">
        <f>((C78*DCF!$K$10)/DCF!$K$9)*DCF!$C$32+DCF!$C$36+DCF!$C$37</f>
        <v>5789.0760835113779</v>
      </c>
      <c r="E78" s="982">
        <f>((C78*(DCF!$K$10+0.06*(B78/Members!$L$34-1)))/DCF!$K$9)*DCF!$C$32+DCF!$C$36+DCF!$C$37</f>
        <v>5445.9707112058686</v>
      </c>
      <c r="F78" s="791">
        <f>(E78-D78)/DCF!$C$39</f>
        <v>-0.83684237147685181</v>
      </c>
      <c r="G78" s="791">
        <f>E78/DCF!$C$39</f>
        <v>13.282855393185045</v>
      </c>
    </row>
    <row r="79" spans="1:7" ht="30">
      <c r="A79" s="229" t="s">
        <v>1975</v>
      </c>
      <c r="B79" s="790">
        <v>9.5</v>
      </c>
      <c r="C79" s="982">
        <f>B79*DCF!$K$8/Members!$L$34</f>
        <v>3205.5485328107634</v>
      </c>
      <c r="D79" s="982">
        <f>((C79*DCF!$K$10)/DCF!$K$9)*DCF!$C$32+DCF!$C$36+DCF!$C$37</f>
        <v>6459.8995494960564</v>
      </c>
      <c r="E79" s="982">
        <f>((C79*(DCF!$K$10+0.06*(B79/Members!$L$34-1)))/DCF!$K$9)*DCF!$C$32+DCF!$C$36+DCF!$C$37</f>
        <v>6241.5727827732808</v>
      </c>
      <c r="F79" s="791">
        <f>(E79-D79)/DCF!$C$39</f>
        <v>-0.5325043090799404</v>
      </c>
      <c r="G79" s="791">
        <f>E79/DCF!$C$39</f>
        <v>15.223348250666538</v>
      </c>
    </row>
    <row r="80" spans="1:7" ht="45">
      <c r="A80" s="992" t="s">
        <v>1976</v>
      </c>
      <c r="B80" s="987">
        <f>Members!L34</f>
        <v>10.924108107214609</v>
      </c>
      <c r="C80" s="982">
        <f>B80*DCF!$K$8/Members!$L$34</f>
        <v>3686.0798647734691</v>
      </c>
      <c r="D80" s="982">
        <f>((C80*DCF!$K$10)/DCF!$K$9)*DCF!$C$32+DCF!$C$36+DCF!$C$37</f>
        <v>7320.5528255488371</v>
      </c>
      <c r="E80" s="982">
        <f>((C80*(DCF!$K$10+0.06*(B80/Members!$L$34-1)))/DCF!$K$9)*DCF!$C$32+DCF!$C$36+DCF!$C$37</f>
        <v>7320.5528255488371</v>
      </c>
      <c r="F80" s="791">
        <f>(E80-D80)/DCF!$C$39</f>
        <v>0</v>
      </c>
      <c r="G80" s="791">
        <f>E80/DCF!$C$39</f>
        <v>17.85500689158253</v>
      </c>
    </row>
    <row r="81" spans="1:7" ht="30">
      <c r="A81" s="229" t="s">
        <v>1977</v>
      </c>
      <c r="B81" s="790">
        <v>11.95</v>
      </c>
      <c r="C81" s="982">
        <f>B81*DCF!$K$8/Members!$L$34</f>
        <v>4032.2426281145913</v>
      </c>
      <c r="D81" s="982">
        <f>((C81*DCF!$K$10)/DCF!$K$9)*DCF!$C$32+DCF!$C$36+DCF!$C$37</f>
        <v>7940.5459383811594</v>
      </c>
      <c r="E81" s="982">
        <f>((C81*(DCF!$K$10+0.06*(B81/Members!$L$34-1)))/DCF!$K$9)*DCF!$C$32+DCF!$C$36+DCF!$C$37</f>
        <v>8138.3840336737239</v>
      </c>
      <c r="F81" s="791">
        <f>(E81-D81)/DCF!$C$39</f>
        <v>0.48253193973796221</v>
      </c>
      <c r="G81" s="791">
        <f>E81/DCF!$C$39</f>
        <v>19.849717155301764</v>
      </c>
    </row>
    <row r="82" spans="1:7" ht="30">
      <c r="A82" s="229" t="s">
        <v>1978</v>
      </c>
      <c r="B82" s="790">
        <v>13</v>
      </c>
      <c r="C82" s="982">
        <f>B82*DCF!$K$8/Members!$L$34</f>
        <v>4386.5400975305183</v>
      </c>
      <c r="D82" s="982">
        <f>((C82*DCF!$K$10)/DCF!$K$9)*DCF!$C$32+DCF!$C$36+DCF!$C$37</f>
        <v>8575.1086764747779</v>
      </c>
      <c r="E82" s="982">
        <f>((C82*(DCF!$K$10+0.06*(B82/Members!$L$34-1)))/DCF!$K$9)*DCF!$C$32+DCF!$C$36+DCF!$C$37</f>
        <v>9010.6090222985003</v>
      </c>
      <c r="F82" s="791">
        <f>(E82-D82)/DCF!$C$39</f>
        <v>1.0621959654237132</v>
      </c>
      <c r="G82" s="791">
        <f>E82/DCF!$C$39</f>
        <v>21.977095176337805</v>
      </c>
    </row>
    <row r="83" spans="1:7" ht="30">
      <c r="A83" s="229" t="s">
        <v>1979</v>
      </c>
      <c r="B83" s="790">
        <v>14.5</v>
      </c>
      <c r="C83" s="982">
        <f>B83*DCF!$K$8/Members!$L$34</f>
        <v>4892.6793395532704</v>
      </c>
      <c r="D83" s="982">
        <f>((C83*DCF!$K$10)/DCF!$K$9)*DCF!$C$32+DCF!$C$36+DCF!$C$37</f>
        <v>9481.626873751371</v>
      </c>
      <c r="E83" s="982">
        <f>((C83*(DCF!$K$10+0.06*(B83/Members!$L$34-1)))/DCF!$K$9)*DCF!$C$32+DCF!$C$36+DCF!$C$37</f>
        <v>10318.371249637908</v>
      </c>
      <c r="F83" s="791">
        <f>(E83-D83)/DCF!$C$39</f>
        <v>2.0408399411866767</v>
      </c>
      <c r="G83" s="791">
        <f>E83/DCF!$C$39</f>
        <v>25.166759145458315</v>
      </c>
    </row>
    <row r="85" spans="1:7">
      <c r="A85" s="786" t="str">
        <f>"Read: Members alone (Block A) is a $"&amp;TEXT((D83-D78)/DCF!$C$39,"0.0")&amp;"/sh swing ("&amp;TEXT(B78,"0.0")&amp;"M Lens D → "&amp;TEXT(B83,"0.0")&amp;"M Bull = $"&amp;TEXT(D78/DCF!$C$39,"0.00")&amp;" → $"&amp;TEXT(D83/DCF!$C$39,"0.00")&amp;"). Coupling adds $"&amp;TEXT(F83,"0.00")&amp;"/sh at Bull, subtracts $"&amp;TEXT(-F78,"0.00")&amp;"/sh at Lens D. Coupled-bull case (G83 = $"&amp;TEXT(G83,"0.00")&amp;") is the only path that crosses Series G $24.63 — requires 14.5M+ members AND scale-margin tailwind. Live DCF base ties at G80 = $"&amp;TEXT(G80,"0.00")&amp;"."</f>
        <v>Read: Members alone (Block A) is a $9.0/sh swing (8.4M Lens D → 14.5M Bull = $14.12 → $23.13). Coupling adds $2.04/sh at Bull, subtracts $0.84/sh at Lens D. Coupled-bull case (G83 = $25.17) is the only path that crosses Series G $24.63 — requires 14.5M+ members AND scale-margin tailwind. Live DCF base ties at G80 = $17.86.</v>
      </c>
      <c r="B85" s="1210"/>
      <c r="C85" s="1210"/>
      <c r="D85" s="1210"/>
      <c r="E85" s="1210"/>
      <c r="F85" s="1210"/>
      <c r="G85" s="1210"/>
    </row>
    <row r="87" spans="1:7">
      <c r="A87" s="1211" t="s">
        <v>1980</v>
      </c>
      <c r="B87" s="1210"/>
      <c r="C87" s="1210"/>
      <c r="D87" s="1210"/>
      <c r="E87" s="1210"/>
      <c r="F87" s="1210"/>
      <c r="G87" s="1210"/>
    </row>
    <row r="88" spans="1:7">
      <c r="A88" s="1201" t="s">
        <v>1981</v>
      </c>
      <c r="B88" s="1210"/>
      <c r="C88" s="1210"/>
      <c r="D88" s="1210"/>
      <c r="E88" s="1210"/>
      <c r="F88" s="1210"/>
      <c r="G88" s="1210"/>
    </row>
  </sheetData>
  <mergeCells count="11">
    <mergeCell ref="A63:E63"/>
    <mergeCell ref="A50:E50"/>
    <mergeCell ref="A74:E74"/>
    <mergeCell ref="A42:H42"/>
    <mergeCell ref="A48:H48"/>
    <mergeCell ref="A34:H34"/>
    <mergeCell ref="A1:H1"/>
    <mergeCell ref="A2:H2"/>
    <mergeCell ref="A4:H4"/>
    <mergeCell ref="A15:H15"/>
    <mergeCell ref="A26:H26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N23"/>
  <sheetViews>
    <sheetView showGridLines="0" zoomScaleNormal="100" workbookViewId="0">
      <selection activeCell="C9" sqref="C9"/>
    </sheetView>
  </sheetViews>
  <sheetFormatPr defaultColWidth="8.85546875" defaultRowHeight="15"/>
  <cols>
    <col min="1" max="1" width="53.28515625" customWidth="1"/>
    <col min="2" max="4" width="15" customWidth="1"/>
    <col min="5" max="5" width="63.28515625" customWidth="1"/>
  </cols>
  <sheetData>
    <row r="1" spans="1:14" ht="27.95" customHeight="1">
      <c r="A1" s="1514" t="s">
        <v>1982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</row>
    <row r="2" spans="1:14">
      <c r="A2" s="1520" t="s">
        <v>1983</v>
      </c>
      <c r="B2" s="1520"/>
      <c r="C2" s="1520"/>
      <c r="D2" s="1520"/>
      <c r="E2" s="1520"/>
      <c r="F2" s="1520"/>
      <c r="G2" s="1520"/>
      <c r="H2" s="1520"/>
      <c r="I2" s="1520"/>
      <c r="J2" s="1520"/>
      <c r="K2" s="1520"/>
      <c r="L2" s="1520"/>
      <c r="M2" s="1520"/>
      <c r="N2" s="1520"/>
    </row>
    <row r="4" spans="1:14" ht="21.95" customHeight="1">
      <c r="A4" s="598" t="s">
        <v>457</v>
      </c>
      <c r="B4" s="585" t="s">
        <v>1984</v>
      </c>
      <c r="C4" s="585" t="s">
        <v>1985</v>
      </c>
      <c r="D4" s="585" t="s">
        <v>223</v>
      </c>
      <c r="E4" s="601" t="s">
        <v>198</v>
      </c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>
      <c r="A5" s="599" t="s">
        <v>1986</v>
      </c>
      <c r="B5" s="586">
        <f>ABS(Members!D35*ARPU!D10/'Revenue Build'!D20-1)</f>
        <v>0</v>
      </c>
      <c r="C5" s="403" t="s">
        <v>1987</v>
      </c>
      <c r="D5" s="587" t="str">
        <f>IF(B5&lt;0.05,"PASS","FAIL")</f>
        <v>PASS</v>
      </c>
      <c r="E5" s="602" t="s">
        <v>1988</v>
      </c>
      <c r="F5" s="1210"/>
      <c r="G5" s="1210"/>
      <c r="H5" s="1210"/>
      <c r="I5" s="1210"/>
      <c r="J5" s="1210"/>
      <c r="K5" s="1210"/>
      <c r="L5" s="1210"/>
      <c r="M5" s="1210"/>
      <c r="N5" s="1210"/>
    </row>
    <row r="6" spans="1:14">
      <c r="A6" s="600" t="s">
        <v>1989</v>
      </c>
      <c r="B6" s="588">
        <f>ABS('P&amp;L'!E23-Members!E46)</f>
        <v>0</v>
      </c>
      <c r="C6" s="404" t="s">
        <v>1990</v>
      </c>
      <c r="D6" s="589" t="str">
        <f>IF(B6&lt;1,"PASS","FAIL")</f>
        <v>PASS</v>
      </c>
      <c r="E6" s="603" t="s">
        <v>1991</v>
      </c>
      <c r="F6" s="1210"/>
      <c r="G6" s="1210"/>
      <c r="H6" s="1210"/>
      <c r="I6" s="1210"/>
      <c r="J6" s="1210"/>
      <c r="K6" s="1210"/>
      <c r="L6" s="1210"/>
      <c r="M6" s="1210"/>
      <c r="N6" s="1210"/>
    </row>
    <row r="7" spans="1:14">
      <c r="A7" s="599" t="s">
        <v>1992</v>
      </c>
      <c r="B7" s="590">
        <f>Assumptions!$F$86</f>
        <v>1</v>
      </c>
      <c r="C7" s="591" t="s">
        <v>1993</v>
      </c>
      <c r="D7" s="587" t="str">
        <f>IF(ABS(B7-1)&lt;0.001,"PASS","FAIL")</f>
        <v>PASS</v>
      </c>
      <c r="E7" s="602" t="s">
        <v>1994</v>
      </c>
      <c r="F7" s="1210"/>
      <c r="G7" s="1210"/>
      <c r="H7" s="1210"/>
      <c r="I7" s="1210"/>
      <c r="J7" s="1210"/>
      <c r="K7" s="1210"/>
      <c r="L7" s="1210"/>
      <c r="M7" s="1210"/>
      <c r="N7" s="1210"/>
    </row>
    <row r="8" spans="1:14">
      <c r="A8" s="600" t="s">
        <v>1995</v>
      </c>
      <c r="B8" s="592">
        <f>DCF!C27</f>
        <v>0.73199848751485763</v>
      </c>
      <c r="C8" s="404" t="s">
        <v>1996</v>
      </c>
      <c r="D8" s="589" t="str">
        <f>IF(B8&lt;0.75,"PASS",IF(B8&lt;0.8,"WARN","FAIL"))</f>
        <v>PASS</v>
      </c>
      <c r="E8" s="603" t="s">
        <v>1997</v>
      </c>
      <c r="F8" s="1210"/>
      <c r="G8" s="1210"/>
      <c r="H8" s="1210"/>
      <c r="I8" s="1210"/>
      <c r="J8" s="1210"/>
      <c r="K8" s="1210"/>
      <c r="L8" s="1210"/>
      <c r="M8" s="1210"/>
      <c r="N8" s="1210"/>
    </row>
    <row r="9" spans="1:14">
      <c r="A9" s="599" t="s">
        <v>1998</v>
      </c>
      <c r="B9" s="593">
        <f>DCF!C24</f>
        <v>0.34620637696115641</v>
      </c>
      <c r="C9" s="403" t="s">
        <v>1999</v>
      </c>
      <c r="D9" s="587" t="str">
        <f>IF(B9&lt;0.25,"PASS",IF(B9&lt;0.35,"WARN","FAIL"))</f>
        <v>WARN</v>
      </c>
      <c r="E9" s="602" t="s">
        <v>2000</v>
      </c>
      <c r="F9" s="1210"/>
      <c r="G9" s="1210"/>
      <c r="H9" s="1210"/>
      <c r="I9" s="1210"/>
      <c r="J9" s="1210"/>
      <c r="K9" s="1210"/>
      <c r="L9" s="1210"/>
      <c r="M9" s="1210"/>
      <c r="N9" s="1210"/>
    </row>
    <row r="10" spans="1:14" ht="24">
      <c r="A10" s="600" t="s">
        <v>2001</v>
      </c>
      <c r="B10" s="594">
        <f>Assumptions!$F$160</f>
        <v>1</v>
      </c>
      <c r="C10" s="595" t="s">
        <v>1993</v>
      </c>
      <c r="D10" s="589" t="str">
        <f>IF(ABS(B10-1)&lt;0.001,"PASS","FAIL")</f>
        <v>PASS</v>
      </c>
      <c r="E10" s="603" t="s">
        <v>2002</v>
      </c>
      <c r="F10" s="1210"/>
      <c r="G10" s="1210"/>
      <c r="H10" s="1210"/>
      <c r="I10" s="1210"/>
      <c r="J10" s="1210"/>
      <c r="K10" s="1210"/>
      <c r="L10" s="1210"/>
      <c r="M10" s="1210"/>
      <c r="N10" s="1210"/>
    </row>
    <row r="11" spans="1:14">
      <c r="A11" s="599" t="s">
        <v>2003</v>
      </c>
      <c r="B11" s="590">
        <f>Assumptions!$F$73-Assumptions!$F$79</f>
        <v>7.8449999999999992E-2</v>
      </c>
      <c r="C11" s="403" t="s">
        <v>2004</v>
      </c>
      <c r="D11" s="587" t="str">
        <f>IF(B11&gt;0,"PASS","FAIL")</f>
        <v>PASS</v>
      </c>
      <c r="E11" s="602" t="s">
        <v>2005</v>
      </c>
      <c r="F11" s="1210"/>
      <c r="G11" s="1210"/>
      <c r="H11" s="1210"/>
      <c r="I11" s="1210"/>
      <c r="J11" s="1210"/>
      <c r="K11" s="1210"/>
      <c r="L11" s="1210"/>
      <c r="M11" s="1210"/>
      <c r="N11" s="1210"/>
    </row>
    <row r="12" spans="1:14">
      <c r="A12" s="600" t="s">
        <v>2006</v>
      </c>
      <c r="B12" s="596">
        <f>MAX(Members!E31:L31)/Members!D31</f>
        <v>1.6545496832614808</v>
      </c>
      <c r="C12" s="404" t="s">
        <v>2007</v>
      </c>
      <c r="D12" s="589" t="str">
        <f>IF(B12&lt;2,"PASS",IF(B12&lt;3,"WARN","FAIL"))</f>
        <v>PASS</v>
      </c>
      <c r="E12" s="603" t="s">
        <v>2008</v>
      </c>
      <c r="F12" s="1210"/>
      <c r="G12" s="1210"/>
      <c r="H12" s="1210"/>
      <c r="I12" s="1210"/>
      <c r="J12" s="1210"/>
      <c r="K12" s="1210"/>
      <c r="L12" s="1210"/>
      <c r="M12" s="1210"/>
      <c r="N12" s="1210"/>
    </row>
    <row r="13" spans="1:14">
      <c r="A13" s="599" t="s">
        <v>2009</v>
      </c>
      <c r="B13" s="597">
        <f>MIN(FCF!J22:L22)</f>
        <v>30.587625588077913</v>
      </c>
      <c r="C13" s="403" t="s">
        <v>2010</v>
      </c>
      <c r="D13" s="587" t="str">
        <f>IF(B13&gt;=20,"PASS","FAIL")</f>
        <v>PASS</v>
      </c>
      <c r="E13" s="602" t="s">
        <v>2011</v>
      </c>
      <c r="F13" s="1210"/>
      <c r="G13" s="1210"/>
      <c r="H13" s="1210"/>
      <c r="I13" s="1210"/>
      <c r="J13" s="1210"/>
      <c r="K13" s="1210"/>
      <c r="L13" s="1210"/>
      <c r="M13" s="1210"/>
      <c r="N13" s="1210"/>
    </row>
    <row r="14" spans="1:14">
      <c r="A14" s="111" t="s">
        <v>2012</v>
      </c>
      <c r="B14" s="127" t="str">
        <f>IF(ABS(ARPU!D8-ARPU!D20)/ARPU!D20&lt;0.1,"✓","⚠")</f>
        <v>✓</v>
      </c>
      <c r="C14" s="127" t="s">
        <v>2013</v>
      </c>
      <c r="D14" s="604" t="str">
        <f>IF(LEFT(B14,1)="✓","PASS","WARN")</f>
        <v>PASS</v>
      </c>
      <c r="E14" s="605" t="s">
        <v>2014</v>
      </c>
      <c r="F14" s="1210"/>
      <c r="G14" s="1210"/>
      <c r="H14" s="1210"/>
      <c r="I14" s="1210"/>
      <c r="J14" s="1210"/>
      <c r="K14" s="1210"/>
      <c r="L14" s="1210"/>
      <c r="M14" s="1210"/>
      <c r="N14" s="1210"/>
    </row>
    <row r="15" spans="1:14" ht="15.75" thickBot="1">
      <c r="A15" s="111" t="s">
        <v>2015</v>
      </c>
      <c r="B15" s="784">
        <f>MAX('P&amp;L'!J36:L36)</f>
        <v>43.826822246772053</v>
      </c>
      <c r="C15" s="127" t="s">
        <v>2016</v>
      </c>
      <c r="D15" s="604" t="str">
        <f>IF(B15&lt;=50,"PASS",IF(B15&lt;=55,"WARN","FAIL"))</f>
        <v>PASS</v>
      </c>
      <c r="E15" s="605" t="s">
        <v>2017</v>
      </c>
      <c r="F15" s="1210"/>
      <c r="G15" s="1210"/>
      <c r="H15" s="1210"/>
      <c r="I15" s="1210"/>
      <c r="J15" s="1210"/>
      <c r="K15" s="1210"/>
      <c r="L15" s="1210"/>
      <c r="M15" s="1210"/>
      <c r="N15" s="1210"/>
    </row>
    <row r="16" spans="1:14" ht="15.75" thickBot="1">
      <c r="A16" s="74" t="s">
        <v>2018</v>
      </c>
      <c r="B16" s="956">
        <f>Assumptions!I2</f>
        <v>1</v>
      </c>
      <c r="C16" s="957" t="s">
        <v>1993</v>
      </c>
      <c r="D16" s="958" t="str">
        <f>IF(ABS(B16-1)&lt;0.001,"PASS","FAIL")</f>
        <v>PASS</v>
      </c>
      <c r="E16" s="349"/>
      <c r="F16" s="1210"/>
      <c r="G16" s="1210"/>
      <c r="H16" s="1210"/>
      <c r="I16" s="1210"/>
      <c r="J16" s="1210"/>
      <c r="K16" s="1210"/>
      <c r="L16" s="1210"/>
      <c r="M16" s="1210"/>
      <c r="N16" s="1210"/>
    </row>
    <row r="17" spans="1:5" ht="21.95" customHeight="1">
      <c r="A17" s="1587" t="s">
        <v>2019</v>
      </c>
      <c r="B17" s="1588"/>
      <c r="C17" s="1588"/>
      <c r="D17" s="1588"/>
      <c r="E17" s="1588"/>
    </row>
    <row r="18" spans="1:5">
      <c r="A18" s="1194" t="s">
        <v>2020</v>
      </c>
      <c r="B18" s="606">
        <f>COUNTA(D5:D16)</f>
        <v>12</v>
      </c>
      <c r="C18" s="1194"/>
      <c r="D18" s="1194"/>
      <c r="E18" s="1194"/>
    </row>
    <row r="19" spans="1:5">
      <c r="A19" s="1194" t="s">
        <v>79</v>
      </c>
      <c r="B19" s="606">
        <f>COUNTIF(D5:D16,"PASS")</f>
        <v>11</v>
      </c>
      <c r="C19" s="1194"/>
      <c r="D19" s="1194"/>
      <c r="E19" s="1194"/>
    </row>
    <row r="20" spans="1:5">
      <c r="A20" s="1194" t="s">
        <v>80</v>
      </c>
      <c r="B20" s="607">
        <f>COUNTIF(D5:D16,"WARN")</f>
        <v>1</v>
      </c>
      <c r="C20" s="1194"/>
      <c r="D20" s="1194"/>
      <c r="E20" s="1194"/>
    </row>
    <row r="21" spans="1:5" ht="15.75" thickBot="1">
      <c r="A21" s="1194" t="s">
        <v>81</v>
      </c>
      <c r="B21" s="608">
        <f>COUNTIF(D5:D16,"FAIL")</f>
        <v>0</v>
      </c>
      <c r="C21" s="1194"/>
      <c r="D21" s="1194"/>
      <c r="E21" s="1194"/>
    </row>
    <row r="22" spans="1:5" ht="15.75" thickBot="1">
      <c r="A22" s="579" t="s">
        <v>82</v>
      </c>
      <c r="B22" s="579" t="str">
        <f>IF(B21&gt;0,"FAIL",IF(B20&gt;0,"WARN","PASS"))</f>
        <v>WARN</v>
      </c>
      <c r="C22" s="579"/>
      <c r="D22" s="579"/>
      <c r="E22" s="579"/>
    </row>
    <row r="23" spans="1:5" ht="15.75" thickTop="1">
      <c r="A23" s="1210"/>
      <c r="B23" s="1210"/>
      <c r="C23" s="1210"/>
      <c r="D23" s="1210"/>
      <c r="E23" s="1210"/>
    </row>
  </sheetData>
  <mergeCells count="3">
    <mergeCell ref="A1:N1"/>
    <mergeCell ref="A2:N2"/>
    <mergeCell ref="A17:E17"/>
  </mergeCells>
  <conditionalFormatting sqref="B22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"WARN"</formula>
    </cfRule>
  </conditionalFormatting>
  <conditionalFormatting sqref="D5:D13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"WARN"</formula>
    </cfRule>
  </conditionalFormatting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N35"/>
  <sheetViews>
    <sheetView showGridLines="0" topLeftCell="A24" workbookViewId="0">
      <selection activeCell="A20" sqref="A20:M20"/>
    </sheetView>
  </sheetViews>
  <sheetFormatPr defaultColWidth="8.85546875" defaultRowHeight="15"/>
  <cols>
    <col min="1" max="2" width="53.28515625" customWidth="1"/>
    <col min="3" max="3" width="13.28515625" customWidth="1"/>
    <col min="4" max="4" width="16.7109375" customWidth="1"/>
  </cols>
  <sheetData>
    <row r="1" spans="1:14" ht="27.95" customHeight="1">
      <c r="A1" s="1524" t="s">
        <v>2021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</row>
    <row r="2" spans="1:14">
      <c r="A2" s="1498"/>
      <c r="B2" s="1561"/>
      <c r="C2" s="1561"/>
      <c r="D2" s="1561"/>
      <c r="E2" s="1561"/>
      <c r="F2" s="1561"/>
      <c r="G2" s="1561"/>
      <c r="H2" s="1561"/>
      <c r="I2" s="1561"/>
      <c r="J2" s="1561"/>
      <c r="K2" s="1561"/>
      <c r="L2" s="1561"/>
      <c r="M2" s="1561"/>
      <c r="N2" s="1561"/>
    </row>
    <row r="3" spans="1:14" ht="21.95" customHeight="1">
      <c r="A3" s="557" t="s">
        <v>2022</v>
      </c>
      <c r="B3" s="557" t="s">
        <v>2023</v>
      </c>
      <c r="C3" s="557" t="s">
        <v>2024</v>
      </c>
      <c r="D3" s="1386"/>
      <c r="E3" s="1210"/>
      <c r="F3" s="1210"/>
      <c r="G3" s="1210"/>
      <c r="H3" s="1210"/>
      <c r="I3" s="1210"/>
      <c r="J3" s="1210"/>
      <c r="K3" s="1210"/>
      <c r="L3" s="1210"/>
      <c r="M3" s="1210"/>
      <c r="N3" s="1210"/>
    </row>
    <row r="4" spans="1:14">
      <c r="A4" s="3" t="s">
        <v>2025</v>
      </c>
      <c r="B4" s="36" t="s">
        <v>2026</v>
      </c>
      <c r="C4" s="609" t="s">
        <v>2027</v>
      </c>
      <c r="D4" s="1194"/>
      <c r="E4" s="1210"/>
      <c r="F4" s="1210"/>
      <c r="G4" s="1210"/>
      <c r="H4" s="1210"/>
      <c r="I4" s="1210"/>
      <c r="J4" s="1210"/>
      <c r="K4" s="1210"/>
      <c r="L4" s="1210"/>
      <c r="M4" s="1210"/>
      <c r="N4" s="1210"/>
    </row>
    <row r="5" spans="1:14">
      <c r="A5" s="201" t="s">
        <v>2028</v>
      </c>
      <c r="B5" s="313" t="s">
        <v>2029</v>
      </c>
      <c r="C5" s="610" t="s">
        <v>363</v>
      </c>
      <c r="D5" s="103"/>
      <c r="E5" s="1210"/>
      <c r="F5" s="1210"/>
      <c r="G5" s="1210"/>
      <c r="H5" s="1210"/>
      <c r="I5" s="1210"/>
      <c r="J5" s="1210"/>
      <c r="K5" s="1210"/>
      <c r="L5" s="1210"/>
      <c r="M5" s="1210"/>
      <c r="N5" s="1210"/>
    </row>
    <row r="6" spans="1:14">
      <c r="A6" s="3" t="s">
        <v>2030</v>
      </c>
      <c r="B6" s="36" t="s">
        <v>2031</v>
      </c>
      <c r="C6" s="609" t="s">
        <v>363</v>
      </c>
      <c r="D6" s="1194"/>
      <c r="E6" s="1210"/>
      <c r="F6" s="1210"/>
      <c r="G6" s="1210"/>
      <c r="H6" s="1210"/>
      <c r="I6" s="1210"/>
      <c r="J6" s="1210"/>
      <c r="K6" s="1210"/>
      <c r="L6" s="1210"/>
      <c r="M6" s="1210"/>
      <c r="N6" s="1210"/>
    </row>
    <row r="7" spans="1:14">
      <c r="A7" s="201" t="s">
        <v>2032</v>
      </c>
      <c r="B7" s="313" t="s">
        <v>2033</v>
      </c>
      <c r="C7" s="610" t="s">
        <v>363</v>
      </c>
      <c r="D7" s="103"/>
      <c r="E7" s="1210"/>
      <c r="F7" s="1210"/>
      <c r="G7" s="1210"/>
      <c r="H7" s="1210"/>
      <c r="I7" s="1210"/>
      <c r="J7" s="1210"/>
      <c r="K7" s="1210"/>
      <c r="L7" s="1210"/>
      <c r="M7" s="1210"/>
      <c r="N7" s="1210"/>
    </row>
    <row r="8" spans="1:14">
      <c r="A8" s="3" t="s">
        <v>2034</v>
      </c>
      <c r="B8" s="36" t="s">
        <v>2035</v>
      </c>
      <c r="C8" s="609" t="s">
        <v>363</v>
      </c>
      <c r="D8" s="1194"/>
      <c r="E8" s="1210"/>
      <c r="F8" s="1210"/>
      <c r="G8" s="1210"/>
      <c r="H8" s="1210"/>
      <c r="I8" s="1210"/>
      <c r="J8" s="1210"/>
      <c r="K8" s="1210"/>
      <c r="L8" s="1210"/>
      <c r="M8" s="1210"/>
      <c r="N8" s="1210"/>
    </row>
    <row r="9" spans="1:14">
      <c r="A9" s="201" t="s">
        <v>2036</v>
      </c>
      <c r="B9" s="313" t="s">
        <v>2037</v>
      </c>
      <c r="C9" s="610" t="s">
        <v>363</v>
      </c>
      <c r="D9" s="103"/>
      <c r="E9" s="1210"/>
      <c r="F9" s="1210"/>
      <c r="G9" s="1210"/>
      <c r="H9" s="1210"/>
      <c r="I9" s="1210"/>
      <c r="J9" s="1210"/>
      <c r="K9" s="1210"/>
      <c r="L9" s="1210"/>
      <c r="M9" s="1210"/>
      <c r="N9" s="1210"/>
    </row>
    <row r="10" spans="1:14">
      <c r="A10" s="3" t="s">
        <v>2038</v>
      </c>
      <c r="B10" s="36" t="s">
        <v>2039</v>
      </c>
      <c r="C10" s="609" t="s">
        <v>363</v>
      </c>
      <c r="D10" s="1194"/>
      <c r="E10" s="1210"/>
      <c r="F10" s="1210"/>
      <c r="G10" s="1210"/>
      <c r="H10" s="1210"/>
      <c r="I10" s="1210"/>
      <c r="J10" s="1210"/>
      <c r="K10" s="1210"/>
      <c r="L10" s="1210"/>
      <c r="M10" s="1210"/>
      <c r="N10" s="1210"/>
    </row>
    <row r="11" spans="1:14">
      <c r="A11" s="201" t="s">
        <v>2040</v>
      </c>
      <c r="B11" s="313" t="s">
        <v>2041</v>
      </c>
      <c r="C11" s="610" t="s">
        <v>363</v>
      </c>
      <c r="D11" s="103"/>
      <c r="E11" s="1210"/>
      <c r="F11" s="1210"/>
      <c r="G11" s="1210"/>
      <c r="H11" s="1210"/>
      <c r="I11" s="1210"/>
      <c r="J11" s="1210"/>
      <c r="K11" s="1210"/>
      <c r="L11" s="1210"/>
      <c r="M11" s="1210"/>
      <c r="N11" s="1210"/>
    </row>
    <row r="12" spans="1:14">
      <c r="A12" s="3" t="s">
        <v>2042</v>
      </c>
      <c r="B12" s="36" t="s">
        <v>2043</v>
      </c>
      <c r="C12" s="609" t="s">
        <v>363</v>
      </c>
      <c r="D12" s="1194"/>
      <c r="E12" s="1210"/>
      <c r="F12" s="1210"/>
      <c r="G12" s="1210"/>
      <c r="H12" s="1210"/>
      <c r="I12" s="1210"/>
      <c r="J12" s="1210"/>
      <c r="K12" s="1210"/>
      <c r="L12" s="1210"/>
      <c r="M12" s="1210"/>
      <c r="N12" s="1210"/>
    </row>
    <row r="13" spans="1:14">
      <c r="A13" s="201" t="s">
        <v>2044</v>
      </c>
      <c r="B13" s="313" t="s">
        <v>2045</v>
      </c>
      <c r="C13" s="610" t="s">
        <v>363</v>
      </c>
      <c r="D13" s="103"/>
      <c r="E13" s="1210"/>
      <c r="F13" s="1210"/>
      <c r="G13" s="1210"/>
      <c r="H13" s="1210"/>
      <c r="I13" s="1210"/>
      <c r="J13" s="1210"/>
      <c r="K13" s="1210"/>
      <c r="L13" s="1210"/>
      <c r="M13" s="1210"/>
      <c r="N13" s="1210"/>
    </row>
    <row r="14" spans="1:14">
      <c r="A14" s="3" t="s">
        <v>2046</v>
      </c>
      <c r="B14" s="36" t="s">
        <v>2047</v>
      </c>
      <c r="C14" s="609" t="s">
        <v>366</v>
      </c>
      <c r="D14" s="1194"/>
      <c r="E14" s="1210"/>
      <c r="F14" s="1210"/>
      <c r="G14" s="1210"/>
      <c r="H14" s="1210"/>
      <c r="I14" s="1210"/>
      <c r="J14" s="1210"/>
      <c r="K14" s="1210"/>
      <c r="L14" s="1210"/>
      <c r="M14" s="1210"/>
      <c r="N14" s="1210"/>
    </row>
    <row r="15" spans="1:14">
      <c r="A15" s="201" t="s">
        <v>2048</v>
      </c>
      <c r="B15" s="313" t="s">
        <v>2049</v>
      </c>
      <c r="C15" s="610" t="s">
        <v>366</v>
      </c>
      <c r="D15" s="103"/>
      <c r="E15" s="1210"/>
      <c r="F15" s="1210"/>
      <c r="G15" s="1210"/>
      <c r="H15" s="1210"/>
      <c r="I15" s="1210"/>
      <c r="J15" s="1210"/>
      <c r="K15" s="1210"/>
      <c r="L15" s="1210"/>
      <c r="M15" s="1210"/>
      <c r="N15" s="1210"/>
    </row>
    <row r="16" spans="1:14">
      <c r="A16" s="3" t="s">
        <v>2050</v>
      </c>
      <c r="B16" s="36" t="s">
        <v>2051</v>
      </c>
      <c r="C16" s="609" t="s">
        <v>366</v>
      </c>
      <c r="D16" s="1194"/>
      <c r="E16" s="1210"/>
      <c r="F16" s="1210"/>
      <c r="G16" s="1210"/>
      <c r="H16" s="1210"/>
      <c r="I16" s="1210"/>
      <c r="J16" s="1210"/>
      <c r="K16" s="1210"/>
      <c r="L16" s="1210"/>
      <c r="M16" s="1210"/>
      <c r="N16" s="1210"/>
    </row>
    <row r="17" spans="1:4">
      <c r="A17" s="201" t="s">
        <v>2052</v>
      </c>
      <c r="B17" s="313" t="s">
        <v>2053</v>
      </c>
      <c r="C17" s="610" t="s">
        <v>366</v>
      </c>
      <c r="D17" s="103"/>
    </row>
    <row r="18" spans="1:4">
      <c r="A18" s="3" t="s">
        <v>2054</v>
      </c>
      <c r="B18" s="36" t="s">
        <v>2055</v>
      </c>
      <c r="C18" s="609" t="s">
        <v>366</v>
      </c>
      <c r="D18" s="1194"/>
    </row>
    <row r="19" spans="1:4">
      <c r="A19" s="201" t="s">
        <v>2056</v>
      </c>
      <c r="B19" s="313" t="s">
        <v>2057</v>
      </c>
      <c r="C19" s="610" t="s">
        <v>366</v>
      </c>
      <c r="D19" s="103"/>
    </row>
    <row r="20" spans="1:4">
      <c r="A20" s="3" t="s">
        <v>2058</v>
      </c>
      <c r="B20" s="36" t="s">
        <v>2059</v>
      </c>
      <c r="C20" s="609" t="s">
        <v>366</v>
      </c>
      <c r="D20" s="1194"/>
    </row>
    <row r="21" spans="1:4">
      <c r="A21" s="201" t="s">
        <v>2060</v>
      </c>
      <c r="B21" s="313" t="s">
        <v>2061</v>
      </c>
      <c r="C21" s="610" t="s">
        <v>366</v>
      </c>
      <c r="D21" s="103"/>
    </row>
    <row r="22" spans="1:4">
      <c r="A22" s="3" t="s">
        <v>2062</v>
      </c>
      <c r="B22" s="36" t="s">
        <v>2063</v>
      </c>
      <c r="C22" s="609" t="s">
        <v>366</v>
      </c>
      <c r="D22" s="1194"/>
    </row>
    <row r="23" spans="1:4">
      <c r="A23" s="201" t="s">
        <v>2064</v>
      </c>
      <c r="B23" s="313" t="s">
        <v>2065</v>
      </c>
      <c r="C23" s="610" t="s">
        <v>366</v>
      </c>
      <c r="D23" s="103"/>
    </row>
    <row r="24" spans="1:4">
      <c r="A24" s="3" t="s">
        <v>2066</v>
      </c>
      <c r="B24" s="36" t="s">
        <v>2067</v>
      </c>
      <c r="C24" s="609" t="s">
        <v>366</v>
      </c>
      <c r="D24" s="1194"/>
    </row>
    <row r="25" spans="1:4">
      <c r="A25" s="201" t="s">
        <v>2068</v>
      </c>
      <c r="B25" s="313" t="s">
        <v>2069</v>
      </c>
      <c r="C25" s="610" t="s">
        <v>366</v>
      </c>
      <c r="D25" s="103"/>
    </row>
    <row r="26" spans="1:4">
      <c r="A26" s="3" t="s">
        <v>2070</v>
      </c>
      <c r="B26" s="36" t="s">
        <v>2071</v>
      </c>
      <c r="C26" s="609" t="s">
        <v>366</v>
      </c>
      <c r="D26" s="1194"/>
    </row>
    <row r="28" spans="1:4" ht="21.95" customHeight="1">
      <c r="A28" s="1486" t="s">
        <v>2072</v>
      </c>
      <c r="B28" s="1589"/>
      <c r="C28" s="1589"/>
      <c r="D28" s="1589"/>
    </row>
    <row r="29" spans="1:4">
      <c r="A29" s="188" t="s">
        <v>167</v>
      </c>
      <c r="B29" s="188" t="s">
        <v>2073</v>
      </c>
      <c r="C29" s="188" t="s">
        <v>2074</v>
      </c>
      <c r="D29" s="188" t="s">
        <v>2075</v>
      </c>
    </row>
    <row r="30" spans="1:4" ht="51.75">
      <c r="A30" s="1194" t="s">
        <v>2076</v>
      </c>
      <c r="B30" s="611" t="s">
        <v>2077</v>
      </c>
      <c r="C30" s="612" t="s">
        <v>2078</v>
      </c>
      <c r="D30" s="1194" t="s">
        <v>2079</v>
      </c>
    </row>
    <row r="31" spans="1:4" ht="77.25">
      <c r="A31" s="1194" t="s">
        <v>2080</v>
      </c>
      <c r="B31" s="611" t="s">
        <v>2081</v>
      </c>
      <c r="C31" s="612" t="s">
        <v>2082</v>
      </c>
      <c r="D31" s="613">
        <v>46092</v>
      </c>
    </row>
    <row r="32" spans="1:4" ht="39">
      <c r="A32" s="1194" t="s">
        <v>2083</v>
      </c>
      <c r="B32" s="611" t="s">
        <v>2084</v>
      </c>
      <c r="C32" s="612" t="s">
        <v>2085</v>
      </c>
      <c r="D32" s="614">
        <v>46113</v>
      </c>
    </row>
    <row r="33" spans="1:4" ht="51.75">
      <c r="A33" s="1194" t="s">
        <v>2086</v>
      </c>
      <c r="B33" s="611" t="s">
        <v>2087</v>
      </c>
      <c r="C33" s="612" t="s">
        <v>2088</v>
      </c>
      <c r="D33" s="614">
        <v>46113</v>
      </c>
    </row>
    <row r="34" spans="1:4" ht="77.25">
      <c r="A34" s="1194" t="s">
        <v>2089</v>
      </c>
      <c r="B34" s="611" t="s">
        <v>2090</v>
      </c>
      <c r="C34" s="612" t="s">
        <v>2091</v>
      </c>
      <c r="D34" s="613">
        <v>45785</v>
      </c>
    </row>
    <row r="35" spans="1:4" ht="64.5">
      <c r="A35" s="1194" t="s">
        <v>2092</v>
      </c>
      <c r="B35" s="611" t="s">
        <v>2093</v>
      </c>
      <c r="C35" s="612" t="s">
        <v>2094</v>
      </c>
      <c r="D35" s="613">
        <v>45930</v>
      </c>
    </row>
  </sheetData>
  <mergeCells count="3">
    <mergeCell ref="A1:N1"/>
    <mergeCell ref="A2:N2"/>
    <mergeCell ref="A28:D2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205-03DC-47B3-A0A3-C1A9156EDCD2}">
  <sheetPr>
    <tabColor rgb="FFC00000"/>
  </sheetPr>
  <dimension ref="A1:N27"/>
  <sheetViews>
    <sheetView showGridLines="0" topLeftCell="A6" workbookViewId="0">
      <selection activeCell="A20" sqref="A20:M20"/>
    </sheetView>
  </sheetViews>
  <sheetFormatPr defaultColWidth="8.85546875" defaultRowHeight="15"/>
  <cols>
    <col min="1" max="1" width="15" style="33" customWidth="1"/>
    <col min="2" max="2" width="13.28515625" customWidth="1"/>
    <col min="3" max="4" width="46.7109375" customWidth="1"/>
    <col min="5" max="5" width="12.42578125" customWidth="1"/>
    <col min="6" max="6" width="15" customWidth="1"/>
  </cols>
  <sheetData>
    <row r="1" spans="1:14" ht="27.95" customHeight="1">
      <c r="A1" s="1532" t="s">
        <v>2095</v>
      </c>
      <c r="B1" s="1532"/>
      <c r="C1" s="1532"/>
      <c r="D1" s="1532"/>
      <c r="E1" s="1532"/>
      <c r="F1" s="1532"/>
      <c r="G1" s="1532"/>
      <c r="H1" s="1532"/>
      <c r="I1" s="1532"/>
      <c r="J1" s="1532"/>
      <c r="K1" s="1532"/>
      <c r="L1" s="1532"/>
      <c r="M1" s="1532"/>
      <c r="N1" s="1532"/>
    </row>
    <row r="2" spans="1:14">
      <c r="A2" s="1590" t="s">
        <v>2096</v>
      </c>
      <c r="B2" s="1590"/>
      <c r="C2" s="1590"/>
      <c r="D2" s="1590"/>
      <c r="E2" s="1590"/>
      <c r="F2" s="1590"/>
      <c r="G2" s="1590"/>
      <c r="H2" s="1590"/>
      <c r="I2" s="1590"/>
      <c r="J2" s="1590"/>
      <c r="K2" s="1590"/>
      <c r="L2" s="1590"/>
      <c r="M2" s="1590"/>
      <c r="N2" s="1590"/>
    </row>
    <row r="4" spans="1:14" ht="21.95" customHeight="1" thickBot="1">
      <c r="A4" s="615" t="s">
        <v>2097</v>
      </c>
      <c r="B4" s="615" t="s">
        <v>2098</v>
      </c>
      <c r="C4" s="615" t="s">
        <v>2099</v>
      </c>
      <c r="D4" s="615" t="s">
        <v>2100</v>
      </c>
      <c r="E4" s="615" t="s">
        <v>2101</v>
      </c>
      <c r="F4" s="615" t="s">
        <v>223</v>
      </c>
      <c r="G4" s="1210"/>
      <c r="H4" s="1210"/>
      <c r="I4" s="1210"/>
      <c r="J4" s="1210"/>
      <c r="K4" s="1210"/>
      <c r="L4" s="1210"/>
      <c r="M4" s="1210"/>
      <c r="N4" s="1210"/>
    </row>
    <row r="5" spans="1:14" ht="66.95" customHeight="1">
      <c r="A5" s="1211" t="s">
        <v>2102</v>
      </c>
      <c r="B5" s="1194" t="s">
        <v>2103</v>
      </c>
      <c r="C5" s="611" t="s">
        <v>2104</v>
      </c>
      <c r="D5" s="611" t="s">
        <v>2105</v>
      </c>
      <c r="E5" s="617" t="s">
        <v>228</v>
      </c>
      <c r="F5" s="123" t="s">
        <v>2106</v>
      </c>
      <c r="G5" s="1210"/>
      <c r="H5" s="1210"/>
      <c r="I5" s="1210"/>
      <c r="J5" s="1210"/>
      <c r="K5" s="1210"/>
      <c r="L5" s="1210"/>
      <c r="M5" s="1210"/>
      <c r="N5" s="1210"/>
    </row>
    <row r="6" spans="1:14" ht="59.1" customHeight="1">
      <c r="A6" s="1200" t="s">
        <v>2102</v>
      </c>
      <c r="B6" s="103" t="s">
        <v>2107</v>
      </c>
      <c r="C6" s="616" t="s">
        <v>2108</v>
      </c>
      <c r="D6" s="616" t="s">
        <v>2109</v>
      </c>
      <c r="E6" s="618" t="s">
        <v>228</v>
      </c>
      <c r="F6" s="122" t="s">
        <v>2106</v>
      </c>
      <c r="G6" s="1210"/>
      <c r="H6" s="1210"/>
      <c r="I6" s="1210"/>
      <c r="J6" s="1210"/>
      <c r="K6" s="1210"/>
      <c r="L6" s="1210"/>
      <c r="M6" s="1210"/>
      <c r="N6" s="1210"/>
    </row>
    <row r="7" spans="1:14" ht="102" customHeight="1">
      <c r="A7" s="1211" t="s">
        <v>2110</v>
      </c>
      <c r="B7" s="1194" t="s">
        <v>2111</v>
      </c>
      <c r="C7" s="611" t="s">
        <v>2112</v>
      </c>
      <c r="D7" s="611" t="s">
        <v>2113</v>
      </c>
      <c r="E7" s="619" t="s">
        <v>2114</v>
      </c>
      <c r="F7" s="619" t="s">
        <v>2115</v>
      </c>
      <c r="G7" s="1210"/>
      <c r="H7" s="1210"/>
      <c r="I7" s="1210"/>
      <c r="J7" s="1210"/>
      <c r="K7" s="1210"/>
      <c r="L7" s="1210"/>
      <c r="M7" s="1210"/>
      <c r="N7" s="1210"/>
    </row>
    <row r="8" spans="1:14" ht="119.1" customHeight="1">
      <c r="A8" s="1200" t="s">
        <v>2110</v>
      </c>
      <c r="B8" s="103" t="s">
        <v>2116</v>
      </c>
      <c r="C8" s="616" t="s">
        <v>2117</v>
      </c>
      <c r="D8" s="616" t="s">
        <v>2118</v>
      </c>
      <c r="E8" s="620" t="s">
        <v>2114</v>
      </c>
      <c r="F8" s="620" t="s">
        <v>2115</v>
      </c>
      <c r="G8" s="1210"/>
      <c r="H8" s="1210"/>
      <c r="I8" s="1210"/>
      <c r="J8" s="1210"/>
      <c r="K8" s="1210"/>
      <c r="L8" s="1210"/>
      <c r="M8" s="1210"/>
      <c r="N8" s="1210"/>
    </row>
    <row r="9" spans="1:14" ht="105" customHeight="1">
      <c r="A9" s="1211" t="s">
        <v>2110</v>
      </c>
      <c r="B9" s="1194" t="s">
        <v>2119</v>
      </c>
      <c r="C9" s="611" t="s">
        <v>2120</v>
      </c>
      <c r="D9" s="611" t="s">
        <v>2121</v>
      </c>
      <c r="E9" s="621" t="s">
        <v>276</v>
      </c>
      <c r="F9" s="123" t="s">
        <v>2106</v>
      </c>
      <c r="G9" s="1210"/>
      <c r="H9" s="1210"/>
      <c r="I9" s="1210"/>
      <c r="J9" s="1210"/>
      <c r="K9" s="1210"/>
      <c r="L9" s="1210"/>
      <c r="M9" s="1210"/>
      <c r="N9" s="1210"/>
    </row>
    <row r="10" spans="1:14" ht="84.95" customHeight="1">
      <c r="A10" s="1200" t="s">
        <v>2110</v>
      </c>
      <c r="B10" s="103" t="s">
        <v>2122</v>
      </c>
      <c r="C10" s="616" t="s">
        <v>2123</v>
      </c>
      <c r="D10" s="616" t="s">
        <v>2124</v>
      </c>
      <c r="E10" s="622" t="s">
        <v>276</v>
      </c>
      <c r="F10" s="122" t="s">
        <v>2106</v>
      </c>
      <c r="G10" s="1210"/>
      <c r="H10" s="1210"/>
      <c r="I10" s="1210"/>
      <c r="J10" s="1210"/>
      <c r="K10" s="1210"/>
      <c r="L10" s="1210"/>
      <c r="M10" s="1210"/>
      <c r="N10" s="1210"/>
    </row>
    <row r="11" spans="1:14" ht="138.94999999999999" customHeight="1">
      <c r="A11" s="1211" t="s">
        <v>2110</v>
      </c>
      <c r="B11" s="1194" t="s">
        <v>2125</v>
      </c>
      <c r="C11" s="611" t="s">
        <v>2126</v>
      </c>
      <c r="D11" s="611" t="s">
        <v>2127</v>
      </c>
      <c r="E11" s="623" t="s">
        <v>2114</v>
      </c>
      <c r="F11" s="619" t="s">
        <v>2115</v>
      </c>
      <c r="G11" s="1210"/>
      <c r="H11" s="1210"/>
      <c r="I11" s="1210"/>
      <c r="J11" s="1210"/>
      <c r="K11" s="1210"/>
      <c r="L11" s="1210"/>
      <c r="M11" s="1210"/>
      <c r="N11" s="1210"/>
    </row>
    <row r="12" spans="1:14" ht="78" customHeight="1">
      <c r="A12" s="1200" t="s">
        <v>2128</v>
      </c>
      <c r="B12" s="103" t="s">
        <v>2129</v>
      </c>
      <c r="C12" s="616" t="s">
        <v>2130</v>
      </c>
      <c r="D12" s="616" t="s">
        <v>2131</v>
      </c>
      <c r="E12" s="622" t="s">
        <v>276</v>
      </c>
      <c r="F12" s="122" t="s">
        <v>2106</v>
      </c>
      <c r="G12" s="1210"/>
      <c r="H12" s="1210"/>
      <c r="I12" s="1210"/>
      <c r="J12" s="1210"/>
      <c r="K12" s="1210"/>
      <c r="L12" s="1210"/>
      <c r="M12" s="1210"/>
      <c r="N12" s="1210"/>
    </row>
    <row r="13" spans="1:14" ht="105" customHeight="1">
      <c r="A13" s="1211" t="s">
        <v>2132</v>
      </c>
      <c r="B13" s="1194" t="s">
        <v>2133</v>
      </c>
      <c r="C13" s="611" t="s">
        <v>2134</v>
      </c>
      <c r="D13" s="611" t="s">
        <v>2135</v>
      </c>
      <c r="E13" s="624" t="s">
        <v>388</v>
      </c>
      <c r="F13" s="123" t="s">
        <v>2136</v>
      </c>
      <c r="G13" s="1210"/>
      <c r="H13" s="1210"/>
      <c r="I13" s="1210"/>
      <c r="J13" s="1210"/>
      <c r="K13" s="1210"/>
      <c r="L13" s="1210"/>
      <c r="M13" s="1210"/>
      <c r="N13" s="1210"/>
    </row>
    <row r="14" spans="1:14" ht="62.1" customHeight="1">
      <c r="A14" s="1200" t="s">
        <v>2137</v>
      </c>
      <c r="B14" s="103" t="s">
        <v>2138</v>
      </c>
      <c r="C14" s="616" t="s">
        <v>2139</v>
      </c>
      <c r="D14" s="616" t="s">
        <v>2140</v>
      </c>
      <c r="E14" s="625" t="s">
        <v>388</v>
      </c>
      <c r="F14" s="122" t="s">
        <v>2136</v>
      </c>
      <c r="G14" s="1210"/>
      <c r="H14" s="1210"/>
      <c r="I14" s="1210"/>
      <c r="J14" s="1210"/>
      <c r="K14" s="1210"/>
      <c r="L14" s="1210"/>
      <c r="M14" s="1210"/>
      <c r="N14" s="1210"/>
    </row>
    <row r="15" spans="1:14">
      <c r="B15" s="1210"/>
      <c r="C15" s="229"/>
      <c r="D15" s="229"/>
      <c r="E15" s="1210"/>
      <c r="F15" s="1210"/>
      <c r="G15" s="1210"/>
      <c r="H15" s="1210"/>
      <c r="I15" s="1210"/>
      <c r="J15" s="1210"/>
      <c r="K15" s="1210"/>
      <c r="L15" s="1210"/>
      <c r="M15" s="1210"/>
      <c r="N15" s="1210"/>
    </row>
    <row r="16" spans="1:14" ht="21.95" customHeight="1">
      <c r="A16" s="1486" t="s">
        <v>2141</v>
      </c>
      <c r="B16" s="1578"/>
      <c r="C16" s="1578"/>
      <c r="D16" s="1578"/>
      <c r="E16" s="1578"/>
      <c r="F16" s="1578"/>
      <c r="G16" s="1210"/>
      <c r="H16" s="1210"/>
      <c r="I16" s="1210"/>
      <c r="J16" s="1210"/>
      <c r="K16" s="1210"/>
      <c r="L16" s="1210"/>
      <c r="M16" s="1210"/>
      <c r="N16" s="1210"/>
    </row>
    <row r="17" spans="1:6" ht="119.1" customHeight="1">
      <c r="A17" s="1211" t="s">
        <v>2142</v>
      </c>
      <c r="B17" s="1194"/>
      <c r="C17" s="611" t="s">
        <v>2143</v>
      </c>
      <c r="D17" s="611"/>
      <c r="E17" s="617" t="s">
        <v>2144</v>
      </c>
      <c r="F17" s="123"/>
    </row>
    <row r="18" spans="1:6" ht="90.95" customHeight="1">
      <c r="A18" s="1200" t="s">
        <v>416</v>
      </c>
      <c r="B18" s="103"/>
      <c r="C18" s="616" t="s">
        <v>2145</v>
      </c>
      <c r="D18" s="616"/>
      <c r="E18" s="626" t="s">
        <v>2114</v>
      </c>
      <c r="F18" s="620" t="s">
        <v>2115</v>
      </c>
    </row>
    <row r="19" spans="1:6" ht="174" customHeight="1">
      <c r="A19" s="1211" t="s">
        <v>2146</v>
      </c>
      <c r="B19" s="1194"/>
      <c r="C19" s="611" t="s">
        <v>2147</v>
      </c>
      <c r="D19" s="611" t="s">
        <v>2148</v>
      </c>
      <c r="E19" s="623" t="s">
        <v>2114</v>
      </c>
      <c r="F19" s="619" t="s">
        <v>2115</v>
      </c>
    </row>
    <row r="20" spans="1:6" ht="165.95" customHeight="1">
      <c r="A20" s="1200" t="s">
        <v>1283</v>
      </c>
      <c r="B20" s="103"/>
      <c r="C20" s="616" t="s">
        <v>2149</v>
      </c>
      <c r="D20" s="616" t="s">
        <v>2150</v>
      </c>
      <c r="E20" s="626" t="s">
        <v>2114</v>
      </c>
      <c r="F20" s="627" t="s">
        <v>2151</v>
      </c>
    </row>
    <row r="21" spans="1:6" ht="111.95" customHeight="1">
      <c r="A21" s="1211" t="s">
        <v>2152</v>
      </c>
      <c r="B21" s="1194"/>
      <c r="C21" s="611" t="s">
        <v>2153</v>
      </c>
      <c r="D21" s="611"/>
      <c r="E21" s="123" t="s">
        <v>2154</v>
      </c>
      <c r="F21" s="123"/>
    </row>
    <row r="22" spans="1:6">
      <c r="A22" s="1200" t="s">
        <v>2155</v>
      </c>
      <c r="B22" s="1200" t="s">
        <v>2156</v>
      </c>
      <c r="C22" s="103" t="s">
        <v>2157</v>
      </c>
      <c r="D22" s="103" t="s">
        <v>2158</v>
      </c>
      <c r="E22" s="618" t="s">
        <v>228</v>
      </c>
      <c r="F22" s="620" t="s">
        <v>2115</v>
      </c>
    </row>
    <row r="23" spans="1:6">
      <c r="A23" s="1211" t="s">
        <v>2159</v>
      </c>
      <c r="B23" s="1211" t="s">
        <v>2160</v>
      </c>
      <c r="C23" s="1194" t="s">
        <v>2161</v>
      </c>
      <c r="D23" s="1194" t="s">
        <v>2162</v>
      </c>
      <c r="E23" s="623" t="s">
        <v>2114</v>
      </c>
      <c r="F23" s="619" t="s">
        <v>2115</v>
      </c>
    </row>
    <row r="24" spans="1:6">
      <c r="A24" s="1200" t="s">
        <v>2163</v>
      </c>
      <c r="B24" s="1200" t="s">
        <v>2164</v>
      </c>
      <c r="C24" s="103" t="s">
        <v>2165</v>
      </c>
      <c r="D24" s="103" t="s">
        <v>2166</v>
      </c>
      <c r="E24" s="622" t="s">
        <v>2167</v>
      </c>
      <c r="F24" s="627" t="s">
        <v>2168</v>
      </c>
    </row>
    <row r="26" spans="1:6">
      <c r="A26" s="33" t="s">
        <v>2169</v>
      </c>
      <c r="B26" s="1210"/>
      <c r="C26" s="1210"/>
      <c r="D26" s="1210"/>
      <c r="E26" s="1210"/>
      <c r="F26" s="1210"/>
    </row>
    <row r="27" spans="1:6">
      <c r="A27" s="33" t="s">
        <v>2170</v>
      </c>
      <c r="B27" s="1210" t="s">
        <v>2171</v>
      </c>
      <c r="C27" s="1210" t="s">
        <v>2172</v>
      </c>
      <c r="D27" s="1210" t="s">
        <v>2173</v>
      </c>
      <c r="E27" s="1210" t="s">
        <v>2114</v>
      </c>
      <c r="F27" s="1210" t="s">
        <v>2115</v>
      </c>
    </row>
  </sheetData>
  <mergeCells count="3">
    <mergeCell ref="A1:N1"/>
    <mergeCell ref="A2:N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2026-04-17T03:03:59Z</dcterms:created>
  <dcterms:modified xsi:type="dcterms:W3CDTF">2026-05-10T23:22:37Z</dcterms:modified>
  <cp:category/>
  <cp:contentStatus/>
</cp:coreProperties>
</file>