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comments10.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landonprojects/whoop_val/model/"/>
    </mc:Choice>
  </mc:AlternateContent>
  <xr:revisionPtr revIDLastSave="0" documentId="8_{E26ADC59-16C4-B04C-86E0-85EC3C511449}" xr6:coauthVersionLast="47" xr6:coauthVersionMax="47" xr10:uidLastSave="{00000000-0000-0000-0000-000000000000}"/>
  <bookViews>
    <workbookView xWindow="0" yWindow="0" windowWidth="38400" windowHeight="21600" firstSheet="8" activeTab="15" xr2:uid="{00000000-000D-0000-FFFF-FFFF00000000}"/>
  </bookViews>
  <sheets>
    <sheet name="Cover" sheetId="1" r:id="rId1"/>
    <sheet name="Assumptions" sheetId="2" r:id="rId2"/>
    <sheet name="Assumptions Audit" sheetId="21" r:id="rId3"/>
    <sheet name="Members" sheetId="3" r:id="rId4"/>
    <sheet name="ARPU" sheetId="4" r:id="rId5"/>
    <sheet name="Revenue Build" sheetId="5" r:id="rId6"/>
    <sheet name="P&amp;L" sheetId="6" r:id="rId7"/>
    <sheet name="FCF" sheetId="7" r:id="rId8"/>
    <sheet name="WC &amp; Cash" sheetId="19" r:id="rId9"/>
    <sheet name="DCF" sheetId="8" r:id="rId10"/>
    <sheet name="WACC Bottom-Up" sheetId="20" r:id="rId11"/>
    <sheet name="RealOptions" sheetId="9" r:id="rId12"/>
    <sheet name="Comps" sheetId="10" r:id="rId13"/>
    <sheet name="Precedents" sheetId="11" r:id="rId14"/>
    <sheet name="Cap Table" sheetId="12" r:id="rId15"/>
    <sheet name="Football Field" sheetId="13" r:id="rId16"/>
    <sheet name="Scenarios" sheetId="14" r:id="rId17"/>
    <sheet name="Sensitivity" sheetId="15" r:id="rId18"/>
    <sheet name="Checks" sheetId="16" r:id="rId19"/>
    <sheet name="Sources" sheetId="17" r:id="rId20"/>
    <sheet name="CalibrationLog" sheetId="18" r:id="rId21"/>
  </sheets>
  <definedNames>
    <definedName name="Scenario">Assumptions!$B$3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3" l="1"/>
  <c r="D28" i="13"/>
  <c r="G18" i="13"/>
  <c r="D18" i="13"/>
  <c r="E11" i="13"/>
  <c r="D11" i="13"/>
  <c r="C11" i="13"/>
  <c r="D19" i="13"/>
  <c r="L33" i="19"/>
  <c r="K33" i="19"/>
  <c r="J33" i="19"/>
  <c r="I33" i="19"/>
  <c r="H33" i="19"/>
  <c r="G33" i="19"/>
  <c r="F33" i="19"/>
  <c r="E18" i="21"/>
  <c r="D18" i="21"/>
  <c r="C18" i="21"/>
  <c r="B18" i="21"/>
  <c r="G104" i="20"/>
  <c r="F104" i="20"/>
  <c r="E104" i="20"/>
  <c r="D104" i="20"/>
  <c r="C104" i="20"/>
  <c r="B104" i="20"/>
  <c r="G103" i="20"/>
  <c r="F103" i="20"/>
  <c r="E103" i="20"/>
  <c r="D103" i="20"/>
  <c r="C103" i="20"/>
  <c r="B103" i="20"/>
  <c r="D102" i="20"/>
  <c r="C102" i="20"/>
  <c r="B102" i="20"/>
  <c r="D101" i="20"/>
  <c r="C101" i="20"/>
  <c r="B101" i="20"/>
  <c r="G100" i="20"/>
  <c r="F100" i="20"/>
  <c r="E100" i="20"/>
  <c r="D100" i="20"/>
  <c r="C100" i="20"/>
  <c r="B100" i="20"/>
  <c r="D90" i="20"/>
  <c r="C90" i="20"/>
  <c r="B90" i="20"/>
  <c r="D86" i="20"/>
  <c r="C86" i="20"/>
  <c r="D85" i="20"/>
  <c r="C85" i="20"/>
  <c r="D84" i="20"/>
  <c r="C84" i="20"/>
  <c r="C80" i="20"/>
  <c r="C71" i="20"/>
  <c r="C70" i="20"/>
  <c r="C69" i="20"/>
  <c r="C66" i="20"/>
  <c r="I52" i="20"/>
  <c r="D52" i="20"/>
  <c r="C52" i="20"/>
  <c r="B52" i="20"/>
  <c r="I51" i="20"/>
  <c r="D51" i="20"/>
  <c r="C51" i="20"/>
  <c r="B51" i="20"/>
  <c r="I50" i="20"/>
  <c r="D50" i="20"/>
  <c r="C50" i="20"/>
  <c r="B50" i="20"/>
  <c r="L23" i="20"/>
  <c r="I23" i="20"/>
  <c r="L22" i="20"/>
  <c r="I22" i="20"/>
  <c r="L21" i="20"/>
  <c r="I21" i="20"/>
  <c r="L20" i="20"/>
  <c r="I20" i="20"/>
  <c r="L19" i="20"/>
  <c r="I19" i="20"/>
  <c r="L18" i="20"/>
  <c r="I18" i="20"/>
  <c r="L17" i="20"/>
  <c r="I17" i="20"/>
  <c r="F60" i="2"/>
  <c r="F36" i="2"/>
  <c r="F53" i="2"/>
  <c r="I14" i="13"/>
  <c r="B117" i="10"/>
  <c r="D116" i="10"/>
  <c r="C116" i="10"/>
  <c r="B116" i="10"/>
  <c r="D115" i="10"/>
  <c r="C115" i="10"/>
  <c r="B115" i="10"/>
  <c r="D114" i="10"/>
  <c r="C114" i="10"/>
  <c r="B114" i="10"/>
  <c r="D113" i="10"/>
  <c r="C113" i="10"/>
  <c r="B113" i="10"/>
  <c r="D112" i="10"/>
  <c r="C112" i="10"/>
  <c r="B112" i="10"/>
  <c r="D111" i="10"/>
  <c r="C111" i="10"/>
  <c r="B111" i="10"/>
  <c r="D110" i="10"/>
  <c r="C110" i="10"/>
  <c r="B110" i="10"/>
  <c r="D109" i="10"/>
  <c r="C109" i="10"/>
  <c r="B109" i="10"/>
  <c r="D108" i="10"/>
  <c r="C108" i="10"/>
  <c r="B108" i="10"/>
  <c r="F102" i="10"/>
  <c r="F101" i="10"/>
  <c r="F100" i="10"/>
  <c r="F99" i="10"/>
  <c r="B91" i="10"/>
  <c r="B82" i="10"/>
  <c r="B81" i="10"/>
  <c r="B74" i="10"/>
  <c r="D62" i="10"/>
  <c r="E92" i="10" s="1"/>
  <c r="C62" i="10"/>
  <c r="B62" i="10"/>
  <c r="D61" i="10"/>
  <c r="D65" i="10" s="1"/>
  <c r="C61" i="10"/>
  <c r="C65" i="10" s="1"/>
  <c r="B61" i="10"/>
  <c r="B65" i="10" s="1"/>
  <c r="D51" i="10"/>
  <c r="D92" i="10" s="1"/>
  <c r="C51" i="10"/>
  <c r="B51" i="10"/>
  <c r="D50" i="10"/>
  <c r="C50" i="10"/>
  <c r="C54" i="10" s="1"/>
  <c r="B50" i="10"/>
  <c r="B54" i="10" s="1"/>
  <c r="D40" i="10"/>
  <c r="C92" i="10" s="1"/>
  <c r="C40" i="10"/>
  <c r="B40" i="10"/>
  <c r="D39" i="10"/>
  <c r="C90" i="10" s="1"/>
  <c r="C39" i="10"/>
  <c r="C43" i="10" s="1"/>
  <c r="B39" i="10"/>
  <c r="B43" i="10" s="1"/>
  <c r="I29" i="10"/>
  <c r="I28" i="10"/>
  <c r="I27" i="10"/>
  <c r="I26" i="10"/>
  <c r="I25" i="10"/>
  <c r="I24" i="10"/>
  <c r="I23" i="10"/>
  <c r="I22" i="10"/>
  <c r="I21" i="10"/>
  <c r="I20" i="10"/>
  <c r="I19" i="10"/>
  <c r="F78" i="2"/>
  <c r="B35" i="9"/>
  <c r="D25" i="9"/>
  <c r="C25" i="9"/>
  <c r="B25" i="9"/>
  <c r="D20" i="9"/>
  <c r="C20" i="9"/>
  <c r="B20" i="9"/>
  <c r="D17" i="9"/>
  <c r="C17" i="9"/>
  <c r="B17" i="9"/>
  <c r="D14" i="9"/>
  <c r="C14" i="9"/>
  <c r="B14" i="9"/>
  <c r="D7" i="9"/>
  <c r="D30" i="9" s="1"/>
  <c r="C7" i="9"/>
  <c r="C30" i="9" s="1"/>
  <c r="B7" i="9"/>
  <c r="B8" i="9" s="1"/>
  <c r="E161" i="2"/>
  <c r="D161" i="2"/>
  <c r="F161" i="2" s="1"/>
  <c r="B10" i="16" s="1"/>
  <c r="C161" i="2"/>
  <c r="F160" i="2"/>
  <c r="F159" i="2"/>
  <c r="F158" i="2"/>
  <c r="F157" i="2"/>
  <c r="F156" i="2"/>
  <c r="F152" i="2"/>
  <c r="F151" i="2"/>
  <c r="C17" i="5"/>
  <c r="D33" i="4"/>
  <c r="D32" i="4"/>
  <c r="D30" i="4"/>
  <c r="D21" i="4"/>
  <c r="F122" i="2"/>
  <c r="F150" i="2"/>
  <c r="D9" i="4" s="1"/>
  <c r="C120" i="10" l="1"/>
  <c r="F91" i="10"/>
  <c r="D90" i="10"/>
  <c r="C93" i="10"/>
  <c r="E90" i="10"/>
  <c r="D93" i="10"/>
  <c r="E93" i="10"/>
  <c r="D91" i="10"/>
  <c r="C91" i="10"/>
  <c r="E91" i="10"/>
  <c r="C121" i="10"/>
  <c r="C122" i="10" s="1"/>
  <c r="D54" i="10"/>
  <c r="D43" i="10"/>
  <c r="C8" i="13" s="1"/>
  <c r="B33" i="13" s="1"/>
  <c r="C8" i="9"/>
  <c r="B106" i="20"/>
  <c r="C106" i="20"/>
  <c r="D106" i="20"/>
  <c r="B30" i="9"/>
  <c r="D8" i="9"/>
  <c r="N17" i="20"/>
  <c r="M17" i="20"/>
  <c r="N18" i="20"/>
  <c r="M18" i="20"/>
  <c r="N19" i="20"/>
  <c r="M19" i="20"/>
  <c r="D31" i="20" s="1"/>
  <c r="N20" i="20"/>
  <c r="M20" i="20"/>
  <c r="N21" i="20"/>
  <c r="M21" i="20"/>
  <c r="N22" i="20"/>
  <c r="M22" i="20"/>
  <c r="N23" i="20"/>
  <c r="M23" i="20"/>
  <c r="D71" i="20"/>
  <c r="E71" i="20" s="1"/>
  <c r="D70" i="20"/>
  <c r="E70" i="20" s="1"/>
  <c r="D69" i="20"/>
  <c r="E69" i="20" s="1"/>
  <c r="H100" i="20"/>
  <c r="H103" i="20"/>
  <c r="C111" i="20"/>
  <c r="H104" i="20"/>
  <c r="D17" i="13"/>
  <c r="D34" i="13"/>
  <c r="B34" i="13"/>
  <c r="F48" i="2"/>
  <c r="C49" i="6"/>
  <c r="D46" i="6"/>
  <c r="F67" i="2"/>
  <c r="D39" i="6" s="1"/>
  <c r="E30" i="19"/>
  <c r="D30" i="19"/>
  <c r="D29" i="19"/>
  <c r="C45" i="1"/>
  <c r="C34" i="1"/>
  <c r="D10" i="16"/>
  <c r="F149" i="2"/>
  <c r="F148" i="2"/>
  <c r="F147" i="2"/>
  <c r="F144" i="2"/>
  <c r="F143" i="2"/>
  <c r="F140" i="2"/>
  <c r="F139" i="2"/>
  <c r="F138" i="2"/>
  <c r="F137" i="2"/>
  <c r="F134" i="2"/>
  <c r="F133" i="2"/>
  <c r="F132" i="2"/>
  <c r="F131" i="2"/>
  <c r="F130" i="2"/>
  <c r="D49" i="3"/>
  <c r="D51" i="3" s="1"/>
  <c r="F123" i="2"/>
  <c r="F121" i="2"/>
  <c r="F118" i="2"/>
  <c r="F117" i="2"/>
  <c r="C10" i="5"/>
  <c r="C9" i="5"/>
  <c r="F102" i="2"/>
  <c r="F101" i="2"/>
  <c r="F100" i="2"/>
  <c r="F99" i="2"/>
  <c r="F98" i="2"/>
  <c r="F97" i="2"/>
  <c r="E94" i="2"/>
  <c r="C12" i="13" s="1"/>
  <c r="B35" i="13" s="1"/>
  <c r="D94" i="2"/>
  <c r="C94" i="2"/>
  <c r="E12" i="13" s="1"/>
  <c r="F93" i="2"/>
  <c r="F91" i="2"/>
  <c r="F90" i="2"/>
  <c r="E87" i="2"/>
  <c r="D87" i="2"/>
  <c r="F87" i="2" s="1"/>
  <c r="B7" i="16" s="1"/>
  <c r="D7" i="16" s="1"/>
  <c r="C87" i="2"/>
  <c r="F86" i="2"/>
  <c r="F85" i="2"/>
  <c r="F84" i="2"/>
  <c r="F81" i="2"/>
  <c r="F80" i="2"/>
  <c r="F79" i="2"/>
  <c r="C21" i="8"/>
  <c r="F77" i="2"/>
  <c r="E74" i="2"/>
  <c r="D74" i="2"/>
  <c r="C74" i="2"/>
  <c r="F73" i="2"/>
  <c r="F72" i="2"/>
  <c r="F71" i="2"/>
  <c r="F70" i="2"/>
  <c r="F69" i="2"/>
  <c r="F65" i="2"/>
  <c r="E64" i="2"/>
  <c r="D64" i="2"/>
  <c r="F64" i="2" s="1"/>
  <c r="C64" i="2"/>
  <c r="F63" i="2"/>
  <c r="F62" i="2"/>
  <c r="F61" i="2"/>
  <c r="F59" i="2"/>
  <c r="F58" i="2"/>
  <c r="F57" i="2"/>
  <c r="F56" i="2"/>
  <c r="F55" i="2"/>
  <c r="C39" i="8" s="1"/>
  <c r="F52" i="2"/>
  <c r="F51" i="2"/>
  <c r="F50" i="2"/>
  <c r="F49" i="2"/>
  <c r="F47" i="2"/>
  <c r="F46" i="2"/>
  <c r="F45" i="2"/>
  <c r="F44" i="2"/>
  <c r="F43" i="2"/>
  <c r="F42" i="2"/>
  <c r="F41" i="2"/>
  <c r="F40" i="2"/>
  <c r="F39" i="2"/>
  <c r="F38" i="2"/>
  <c r="F37" i="2"/>
  <c r="F35" i="2"/>
  <c r="F34" i="2"/>
  <c r="F33" i="2"/>
  <c r="F32" i="2"/>
  <c r="F31" i="2"/>
  <c r="F28" i="2"/>
  <c r="F27" i="2"/>
  <c r="F26" i="2"/>
  <c r="F25" i="2"/>
  <c r="F24" i="2"/>
  <c r="F23" i="2"/>
  <c r="F21" i="2"/>
  <c r="E17" i="3" s="1"/>
  <c r="F20" i="2"/>
  <c r="G16" i="3" s="1"/>
  <c r="F19" i="2"/>
  <c r="I15" i="3" s="1"/>
  <c r="F18" i="2"/>
  <c r="F17" i="2"/>
  <c r="F16" i="2"/>
  <c r="F15" i="2"/>
  <c r="F14" i="2"/>
  <c r="F13" i="2"/>
  <c r="F11" i="2"/>
  <c r="E10" i="2"/>
  <c r="E12" i="2" s="1"/>
  <c r="D10" i="2"/>
  <c r="C10" i="2"/>
  <c r="C12" i="2" s="1"/>
  <c r="F9" i="2"/>
  <c r="F8" i="2"/>
  <c r="D9" i="3" s="1"/>
  <c r="F94" i="2" l="1"/>
  <c r="E35" i="13"/>
  <c r="E34" i="13"/>
  <c r="E36" i="13"/>
  <c r="E33" i="13"/>
  <c r="E31" i="13"/>
  <c r="E32" i="13"/>
  <c r="H11" i="13"/>
  <c r="L48" i="3"/>
  <c r="K48" i="3"/>
  <c r="H48" i="3"/>
  <c r="G48" i="3"/>
  <c r="J48" i="3"/>
  <c r="I48" i="3"/>
  <c r="F48" i="3"/>
  <c r="E48" i="3"/>
  <c r="F74" i="2"/>
  <c r="F12" i="8" s="1"/>
  <c r="F14" i="8" s="1"/>
  <c r="C79" i="20"/>
  <c r="C81" i="20" s="1"/>
  <c r="D8" i="4"/>
  <c r="D10" i="4" s="1"/>
  <c r="D34" i="4"/>
  <c r="D35" i="4" s="1"/>
  <c r="D36" i="4" s="1"/>
  <c r="B14" i="16" s="1"/>
  <c r="D14" i="16" s="1"/>
  <c r="C36" i="8"/>
  <c r="C38" i="1" s="1"/>
  <c r="F8" i="13"/>
  <c r="G17" i="13"/>
  <c r="G101" i="20"/>
  <c r="F101" i="20"/>
  <c r="E101" i="20"/>
  <c r="F32" i="20"/>
  <c r="E32" i="20"/>
  <c r="D32" i="20"/>
  <c r="C32" i="20"/>
  <c r="F52" i="20"/>
  <c r="F51" i="20"/>
  <c r="F50" i="20"/>
  <c r="B41" i="20"/>
  <c r="F41" i="20" s="1"/>
  <c r="F31" i="20"/>
  <c r="E31" i="20"/>
  <c r="C31" i="20"/>
  <c r="F30" i="20"/>
  <c r="E30" i="20"/>
  <c r="D30" i="20"/>
  <c r="C30" i="20"/>
  <c r="C35" i="13"/>
  <c r="D12" i="13"/>
  <c r="D35" i="13" s="1"/>
  <c r="F11" i="13"/>
  <c r="J11" i="13"/>
  <c r="G11" i="13"/>
  <c r="F12" i="13"/>
  <c r="H12" i="13"/>
  <c r="F10" i="2"/>
  <c r="D12" i="2"/>
  <c r="F12" i="2" s="1"/>
  <c r="D40" i="4" s="1"/>
  <c r="D9" i="5"/>
  <c r="D12" i="3"/>
  <c r="J15" i="3"/>
  <c r="H16" i="3"/>
  <c r="F17" i="3"/>
  <c r="C15" i="3"/>
  <c r="C20" i="3" s="1"/>
  <c r="K15" i="3"/>
  <c r="I16" i="3"/>
  <c r="G17" i="3"/>
  <c r="D15" i="3"/>
  <c r="D20" i="3" s="1"/>
  <c r="L15" i="3"/>
  <c r="J16" i="3"/>
  <c r="H17" i="3"/>
  <c r="E15" i="3"/>
  <c r="C16" i="3"/>
  <c r="C21" i="3" s="1"/>
  <c r="C27" i="3" s="1"/>
  <c r="K16" i="3"/>
  <c r="I17" i="3"/>
  <c r="F15" i="3"/>
  <c r="D16" i="3"/>
  <c r="D21" i="3" s="1"/>
  <c r="D27" i="3" s="1"/>
  <c r="L16" i="3"/>
  <c r="J17" i="3"/>
  <c r="G15" i="3"/>
  <c r="E16" i="3"/>
  <c r="C17" i="3"/>
  <c r="C22" i="3" s="1"/>
  <c r="K17" i="3"/>
  <c r="H15" i="3"/>
  <c r="F16" i="3"/>
  <c r="D17" i="3"/>
  <c r="L17" i="3"/>
  <c r="D12" i="8" l="1"/>
  <c r="D14" i="8" s="1"/>
  <c r="E12" i="8"/>
  <c r="E14" i="8" s="1"/>
  <c r="D26" i="9"/>
  <c r="D27" i="9" s="1"/>
  <c r="C26" i="9"/>
  <c r="C27" i="9" s="1"/>
  <c r="B26" i="9"/>
  <c r="B27" i="9" s="1"/>
  <c r="G12" i="8"/>
  <c r="G14" i="8" s="1"/>
  <c r="H12" i="8"/>
  <c r="H14" i="8" s="1"/>
  <c r="I12" i="8"/>
  <c r="I14" i="8" s="1"/>
  <c r="K12" i="8"/>
  <c r="K14" i="8" s="1"/>
  <c r="D17" i="5"/>
  <c r="E10" i="4"/>
  <c r="J12" i="8"/>
  <c r="J14" i="8" s="1"/>
  <c r="B11" i="16"/>
  <c r="D11" i="16" s="1"/>
  <c r="E85" i="20"/>
  <c r="F85" i="20" s="1"/>
  <c r="E84" i="20"/>
  <c r="F84" i="20" s="1"/>
  <c r="E86" i="20"/>
  <c r="F86" i="20" s="1"/>
  <c r="J12" i="13"/>
  <c r="G12" i="13"/>
  <c r="K50" i="20"/>
  <c r="K51" i="20"/>
  <c r="K52" i="20"/>
  <c r="E52" i="20"/>
  <c r="E51" i="20"/>
  <c r="E50" i="20"/>
  <c r="B40" i="20"/>
  <c r="F40" i="20" s="1"/>
  <c r="G30" i="20"/>
  <c r="G31" i="20"/>
  <c r="G52" i="20"/>
  <c r="G51" i="20"/>
  <c r="G50" i="20"/>
  <c r="B42" i="20"/>
  <c r="F42" i="20" s="1"/>
  <c r="G32" i="20"/>
  <c r="C110" i="20"/>
  <c r="H101" i="20"/>
  <c r="C28" i="3"/>
  <c r="D26" i="3"/>
  <c r="D22" i="3"/>
  <c r="D28" i="3" s="1"/>
  <c r="C26" i="3"/>
  <c r="C23" i="3"/>
  <c r="C34" i="3" l="1"/>
  <c r="F10" i="4"/>
  <c r="E17" i="5"/>
  <c r="H50" i="20"/>
  <c r="H51" i="20"/>
  <c r="H52" i="20"/>
  <c r="E12" i="3"/>
  <c r="D31" i="3"/>
  <c r="D13" i="6" s="1"/>
  <c r="C12" i="5"/>
  <c r="C25" i="5" s="1"/>
  <c r="C35" i="3"/>
  <c r="C13" i="5" s="1"/>
  <c r="E11" i="3"/>
  <c r="D23" i="3"/>
  <c r="C11" i="5"/>
  <c r="C40" i="3"/>
  <c r="C14" i="5"/>
  <c r="C38" i="3"/>
  <c r="F17" i="5" l="1"/>
  <c r="G10" i="4"/>
  <c r="G102" i="20"/>
  <c r="G106" i="20" s="1"/>
  <c r="J52" i="20"/>
  <c r="F102" i="20"/>
  <c r="J51" i="20"/>
  <c r="E102" i="20"/>
  <c r="E106" i="20" s="1"/>
  <c r="J50" i="20"/>
  <c r="C20" i="5"/>
  <c r="C26" i="5" s="1"/>
  <c r="D10" i="5"/>
  <c r="D38" i="3"/>
  <c r="E10" i="3"/>
  <c r="D40" i="3"/>
  <c r="D14" i="5"/>
  <c r="D11" i="5"/>
  <c r="E21" i="3"/>
  <c r="E27" i="3" s="1"/>
  <c r="D34" i="3"/>
  <c r="D16" i="19" s="1"/>
  <c r="E22" i="3"/>
  <c r="H10" i="4" l="1"/>
  <c r="G17" i="5"/>
  <c r="C109" i="20"/>
  <c r="C112" i="20" s="1"/>
  <c r="H102" i="20"/>
  <c r="F106" i="20"/>
  <c r="H106" i="20" s="1"/>
  <c r="D22" i="19"/>
  <c r="E50" i="3"/>
  <c r="C21" i="5"/>
  <c r="C8" i="6"/>
  <c r="E28" i="3"/>
  <c r="F12" i="3" s="1"/>
  <c r="E20" i="3"/>
  <c r="E23" i="3" s="1"/>
  <c r="D39" i="3"/>
  <c r="D12" i="5"/>
  <c r="D25" i="5" s="1"/>
  <c r="D41" i="3"/>
  <c r="E9" i="3"/>
  <c r="D35" i="3"/>
  <c r="H17" i="5" l="1"/>
  <c r="I10" i="4"/>
  <c r="D39" i="4"/>
  <c r="D41" i="4" s="1"/>
  <c r="D42" i="4" s="1"/>
  <c r="D13" i="5"/>
  <c r="E14" i="5"/>
  <c r="E11" i="5"/>
  <c r="E40" i="3"/>
  <c r="E26" i="3"/>
  <c r="E9" i="5"/>
  <c r="F22" i="3"/>
  <c r="J10" i="4" l="1"/>
  <c r="I17" i="5"/>
  <c r="D20" i="5"/>
  <c r="F11" i="3"/>
  <c r="K10" i="4" l="1"/>
  <c r="J17" i="5"/>
  <c r="D22" i="5"/>
  <c r="B6" i="10"/>
  <c r="E47" i="3"/>
  <c r="B5" i="16"/>
  <c r="D5" i="16" s="1"/>
  <c r="D8" i="6"/>
  <c r="D26" i="5"/>
  <c r="D21" i="5"/>
  <c r="D27" i="5"/>
  <c r="F21" i="3"/>
  <c r="L10" i="4" l="1"/>
  <c r="L17" i="5" s="1"/>
  <c r="K17" i="5"/>
  <c r="D42" i="10"/>
  <c r="C42" i="10"/>
  <c r="C53" i="10"/>
  <c r="C64" i="10"/>
  <c r="D64" i="10"/>
  <c r="B53" i="10"/>
  <c r="B90" i="10"/>
  <c r="F90" i="10" s="1"/>
  <c r="B64" i="10"/>
  <c r="B83" i="10"/>
  <c r="D53" i="10"/>
  <c r="B42" i="10"/>
  <c r="D27" i="6"/>
  <c r="D28" i="6" s="1"/>
  <c r="D12" i="6"/>
  <c r="D14" i="6" s="1"/>
  <c r="D19" i="19"/>
  <c r="D25" i="19" s="1"/>
  <c r="C8" i="8"/>
  <c r="D15" i="7"/>
  <c r="D14" i="7"/>
  <c r="D25" i="6"/>
  <c r="D26" i="6" s="1"/>
  <c r="D23" i="6"/>
  <c r="D24" i="6" s="1"/>
  <c r="D21" i="6"/>
  <c r="D9" i="6"/>
  <c r="E49" i="3"/>
  <c r="E51" i="3" s="1"/>
  <c r="E31" i="3" s="1"/>
  <c r="E13" i="6" s="1"/>
  <c r="E23" i="6"/>
  <c r="F27" i="3"/>
  <c r="F28" i="3" s="1"/>
  <c r="D15" i="6" l="1"/>
  <c r="D16" i="6" s="1"/>
  <c r="D18" i="19"/>
  <c r="D24" i="19" s="1"/>
  <c r="B6" i="16"/>
  <c r="D6" i="16" s="1"/>
  <c r="E38" i="3"/>
  <c r="E10" i="5"/>
  <c r="F10" i="3"/>
  <c r="E34" i="3"/>
  <c r="E16" i="19" s="1"/>
  <c r="D22" i="6"/>
  <c r="D29" i="6"/>
  <c r="G12" i="3"/>
  <c r="F50" i="3" l="1"/>
  <c r="E22" i="19"/>
  <c r="E39" i="3"/>
  <c r="E12" i="5"/>
  <c r="E25" i="5" s="1"/>
  <c r="F9" i="3"/>
  <c r="F9" i="5" s="1"/>
  <c r="E35" i="3"/>
  <c r="E13" i="5" s="1"/>
  <c r="F20" i="3"/>
  <c r="F23" i="3" s="1"/>
  <c r="D17" i="19"/>
  <c r="D23" i="19" s="1"/>
  <c r="D26" i="19" s="1"/>
  <c r="D16" i="7" s="1"/>
  <c r="D34" i="6"/>
  <c r="D32" i="6"/>
  <c r="D33" i="6" s="1"/>
  <c r="D36" i="6" s="1"/>
  <c r="G22" i="3"/>
  <c r="F26" i="3" l="1"/>
  <c r="G11" i="3" s="1"/>
  <c r="D9" i="7"/>
  <c r="D40" i="6"/>
  <c r="D35" i="6"/>
  <c r="F11" i="5"/>
  <c r="F40" i="3"/>
  <c r="F14" i="5"/>
  <c r="E20" i="5"/>
  <c r="E26" i="5" l="1"/>
  <c r="F47" i="3"/>
  <c r="E8" i="6"/>
  <c r="E22" i="5"/>
  <c r="E21" i="5"/>
  <c r="G21" i="3"/>
  <c r="G27" i="3" s="1"/>
  <c r="G28" i="3" s="1"/>
  <c r="H12" i="3" s="1"/>
  <c r="D47" i="6"/>
  <c r="D48" i="6"/>
  <c r="D41" i="6" s="1"/>
  <c r="D10" i="7" s="1"/>
  <c r="D11" i="7" s="1"/>
  <c r="E27" i="6" l="1"/>
  <c r="E28" i="6" s="1"/>
  <c r="E12" i="6"/>
  <c r="E14" i="6" s="1"/>
  <c r="D42" i="6"/>
  <c r="D43" i="6" s="1"/>
  <c r="D18" i="7"/>
  <c r="D49" i="6"/>
  <c r="E46" i="6" s="1"/>
  <c r="F49" i="3"/>
  <c r="F51" i="3" s="1"/>
  <c r="F31" i="3" s="1"/>
  <c r="F13" i="6" s="1"/>
  <c r="F23" i="6"/>
  <c r="E19" i="19"/>
  <c r="E25" i="19" s="1"/>
  <c r="D8" i="8"/>
  <c r="E15" i="7"/>
  <c r="E14" i="7"/>
  <c r="E9" i="6"/>
  <c r="E25" i="6"/>
  <c r="E26" i="6" s="1"/>
  <c r="E21" i="6"/>
  <c r="E24" i="6"/>
  <c r="H22" i="3"/>
  <c r="E15" i="6" l="1"/>
  <c r="E16" i="6" s="1"/>
  <c r="B8" i="10" s="1"/>
  <c r="E18" i="19"/>
  <c r="E24" i="19" s="1"/>
  <c r="E29" i="6"/>
  <c r="E22" i="6"/>
  <c r="F10" i="5"/>
  <c r="G10" i="3"/>
  <c r="F38" i="3"/>
  <c r="F34" i="3"/>
  <c r="F16" i="19" s="1"/>
  <c r="D31" i="19"/>
  <c r="D33" i="19" s="1"/>
  <c r="C9" i="8"/>
  <c r="C10" i="8" s="1"/>
  <c r="D21" i="7"/>
  <c r="B10" i="10" l="1"/>
  <c r="B9" i="10"/>
  <c r="E29" i="19"/>
  <c r="E39" i="6"/>
  <c r="G50" i="3"/>
  <c r="F22" i="19"/>
  <c r="F39" i="3"/>
  <c r="F12" i="5"/>
  <c r="F25" i="5" s="1"/>
  <c r="G9" i="3"/>
  <c r="F35" i="3"/>
  <c r="F13" i="5" s="1"/>
  <c r="G20" i="3"/>
  <c r="G23" i="3" s="1"/>
  <c r="E17" i="19"/>
  <c r="E23" i="19" s="1"/>
  <c r="E26" i="19" s="1"/>
  <c r="E16" i="7" s="1"/>
  <c r="E34" i="6"/>
  <c r="E32" i="6"/>
  <c r="E33" i="6" s="1"/>
  <c r="E36" i="6" s="1"/>
  <c r="C66" i="10" l="1"/>
  <c r="B66" i="10"/>
  <c r="C44" i="10"/>
  <c r="D44" i="10"/>
  <c r="B92" i="10"/>
  <c r="D55" i="10"/>
  <c r="B44" i="10"/>
  <c r="B84" i="10"/>
  <c r="C55" i="10"/>
  <c r="D66" i="10"/>
  <c r="B55" i="10"/>
  <c r="B93" i="10"/>
  <c r="F93" i="10" s="1"/>
  <c r="D45" i="10"/>
  <c r="D56" i="10"/>
  <c r="E8" i="13" s="1"/>
  <c r="B45" i="10"/>
  <c r="B56" i="10"/>
  <c r="C56" i="10"/>
  <c r="D67" i="10"/>
  <c r="C67" i="10"/>
  <c r="B67" i="10"/>
  <c r="C45" i="10"/>
  <c r="G26" i="3"/>
  <c r="H11" i="3" s="1"/>
  <c r="H21" i="3" s="1"/>
  <c r="H27" i="3" s="1"/>
  <c r="H28" i="3" s="1"/>
  <c r="I12" i="3" s="1"/>
  <c r="I22" i="3" s="1"/>
  <c r="E9" i="7"/>
  <c r="E35" i="6"/>
  <c r="G11" i="5"/>
  <c r="G40" i="3"/>
  <c r="G14" i="5"/>
  <c r="F20" i="5"/>
  <c r="G9" i="5"/>
  <c r="E40" i="6"/>
  <c r="B71" i="10" l="1"/>
  <c r="D8" i="13"/>
  <c r="B73" i="10"/>
  <c r="C123" i="10"/>
  <c r="C124" i="10" s="1"/>
  <c r="C117" i="10"/>
  <c r="F92" i="10"/>
  <c r="B72" i="10"/>
  <c r="C33" i="13"/>
  <c r="H8" i="13"/>
  <c r="F26" i="5"/>
  <c r="G47" i="3"/>
  <c r="E47" i="6"/>
  <c r="E48" i="6"/>
  <c r="E41" i="6" s="1"/>
  <c r="E10" i="7" s="1"/>
  <c r="E11" i="7" s="1"/>
  <c r="F8" i="6"/>
  <c r="F22" i="5"/>
  <c r="F21" i="5"/>
  <c r="J8" i="13" l="1"/>
  <c r="G8" i="13"/>
  <c r="D33" i="13"/>
  <c r="F27" i="6"/>
  <c r="F28" i="6" s="1"/>
  <c r="F12" i="6"/>
  <c r="F14" i="6" s="1"/>
  <c r="E42" i="6"/>
  <c r="E43" i="6" s="1"/>
  <c r="G49" i="3"/>
  <c r="G51" i="3" s="1"/>
  <c r="G31" i="3" s="1"/>
  <c r="G13" i="6" s="1"/>
  <c r="G23" i="6"/>
  <c r="F19" i="19"/>
  <c r="F25" i="19" s="1"/>
  <c r="E8" i="8"/>
  <c r="F15" i="7"/>
  <c r="F14" i="7"/>
  <c r="F9" i="6"/>
  <c r="F25" i="6"/>
  <c r="F26" i="6" s="1"/>
  <c r="F21" i="6"/>
  <c r="F24" i="6"/>
  <c r="E18" i="7"/>
  <c r="E49" i="6"/>
  <c r="F46" i="6" s="1"/>
  <c r="F15" i="6" l="1"/>
  <c r="F16" i="6" s="1"/>
  <c r="E31" i="19"/>
  <c r="E33" i="19" s="1"/>
  <c r="C37" i="8" s="1"/>
  <c r="C37" i="1" s="1"/>
  <c r="D9" i="8"/>
  <c r="E21" i="7"/>
  <c r="E22" i="7" s="1"/>
  <c r="F18" i="19"/>
  <c r="F24" i="19" s="1"/>
  <c r="F29" i="6"/>
  <c r="F22" i="6"/>
  <c r="G10" i="5"/>
  <c r="H10" i="3"/>
  <c r="H20" i="3" s="1"/>
  <c r="G38" i="3"/>
  <c r="G34" i="3"/>
  <c r="G16" i="19" s="1"/>
  <c r="H50" i="3" l="1"/>
  <c r="G22" i="19"/>
  <c r="G12" i="5"/>
  <c r="G25" i="5" s="1"/>
  <c r="H9" i="3"/>
  <c r="G39" i="3"/>
  <c r="G35" i="3"/>
  <c r="G13" i="5" s="1"/>
  <c r="H26" i="3"/>
  <c r="H23" i="3"/>
  <c r="F17" i="19"/>
  <c r="F23" i="19" s="1"/>
  <c r="F26" i="19" s="1"/>
  <c r="F16" i="7" s="1"/>
  <c r="F34" i="6"/>
  <c r="F32" i="6"/>
  <c r="F33" i="6" s="1"/>
  <c r="F36" i="6" s="1"/>
  <c r="D15" i="8"/>
  <c r="D10" i="8"/>
  <c r="F29" i="19"/>
  <c r="F39" i="6"/>
  <c r="F40" i="6" l="1"/>
  <c r="F47" i="6" s="1"/>
  <c r="F9" i="7"/>
  <c r="F35" i="6"/>
  <c r="H11" i="5"/>
  <c r="H40" i="3"/>
  <c r="H14" i="5"/>
  <c r="I11" i="3"/>
  <c r="G20" i="5"/>
  <c r="H9" i="5"/>
  <c r="G26" i="5" l="1"/>
  <c r="H47" i="3"/>
  <c r="F48" i="6"/>
  <c r="F41" i="6" s="1"/>
  <c r="F10" i="7" s="1"/>
  <c r="F11" i="7" s="1"/>
  <c r="G8" i="6"/>
  <c r="G21" i="5"/>
  <c r="G22" i="5"/>
  <c r="I21" i="3"/>
  <c r="I27" i="3" s="1"/>
  <c r="I28" i="3" s="1"/>
  <c r="J12" i="3" s="1"/>
  <c r="G27" i="6" l="1"/>
  <c r="G12" i="6"/>
  <c r="G14" i="6" s="1"/>
  <c r="F49" i="6"/>
  <c r="G46" i="6" s="1"/>
  <c r="F42" i="6"/>
  <c r="F43" i="6" s="1"/>
  <c r="F18" i="7"/>
  <c r="J22" i="3"/>
  <c r="H49" i="3"/>
  <c r="H51" i="3" s="1"/>
  <c r="H31" i="3" s="1"/>
  <c r="H13" i="6" s="1"/>
  <c r="H23" i="6"/>
  <c r="G19" i="19"/>
  <c r="G25" i="19" s="1"/>
  <c r="F8" i="8"/>
  <c r="G15" i="7"/>
  <c r="G14" i="7"/>
  <c r="G9" i="6"/>
  <c r="G28" i="6"/>
  <c r="G25" i="6"/>
  <c r="G26" i="6" s="1"/>
  <c r="G21" i="6"/>
  <c r="G24" i="6"/>
  <c r="G15" i="6" l="1"/>
  <c r="G16" i="6" s="1"/>
  <c r="G18" i="19"/>
  <c r="G24" i="19" s="1"/>
  <c r="G29" i="6"/>
  <c r="G22" i="6"/>
  <c r="H10" i="5"/>
  <c r="I10" i="3"/>
  <c r="H38" i="3"/>
  <c r="H34" i="3"/>
  <c r="H16" i="19" s="1"/>
  <c r="F31" i="19"/>
  <c r="E9" i="8"/>
  <c r="F21" i="7"/>
  <c r="F22" i="7" s="1"/>
  <c r="E15" i="8" l="1"/>
  <c r="E10" i="8"/>
  <c r="G29" i="19"/>
  <c r="G39" i="6"/>
  <c r="I50" i="3"/>
  <c r="H22" i="19"/>
  <c r="H12" i="5"/>
  <c r="H25" i="5" s="1"/>
  <c r="I9" i="3"/>
  <c r="H39" i="3"/>
  <c r="H35" i="3"/>
  <c r="H13" i="5" s="1"/>
  <c r="I20" i="3"/>
  <c r="I23" i="3" s="1"/>
  <c r="G17" i="19"/>
  <c r="G23" i="19" s="1"/>
  <c r="G26" i="19" s="1"/>
  <c r="G16" i="7" s="1"/>
  <c r="G34" i="6"/>
  <c r="G32" i="6"/>
  <c r="G33" i="6" s="1"/>
  <c r="G36" i="6" s="1"/>
  <c r="I26" i="3" l="1"/>
  <c r="J11" i="3" s="1"/>
  <c r="G9" i="7"/>
  <c r="G35" i="6"/>
  <c r="I11" i="5"/>
  <c r="I40" i="3"/>
  <c r="I14" i="5"/>
  <c r="H20" i="5"/>
  <c r="I9" i="5"/>
  <c r="G40" i="6"/>
  <c r="H26" i="5" l="1"/>
  <c r="I47" i="3"/>
  <c r="G47" i="6"/>
  <c r="G48" i="6"/>
  <c r="G41" i="6" s="1"/>
  <c r="G10" i="7" s="1"/>
  <c r="G11" i="7" s="1"/>
  <c r="H8" i="6"/>
  <c r="H22" i="5"/>
  <c r="H21" i="5"/>
  <c r="J21" i="3"/>
  <c r="J27" i="3" s="1"/>
  <c r="J28" i="3" s="1"/>
  <c r="K12" i="3" s="1"/>
  <c r="H27" i="6" l="1"/>
  <c r="H28" i="6" s="1"/>
  <c r="H12" i="6"/>
  <c r="H14" i="6" s="1"/>
  <c r="G42" i="6"/>
  <c r="G43" i="6" s="1"/>
  <c r="K22" i="3"/>
  <c r="I49" i="3"/>
  <c r="I51" i="3" s="1"/>
  <c r="I31" i="3" s="1"/>
  <c r="I13" i="6" s="1"/>
  <c r="I23" i="6"/>
  <c r="H19" i="19"/>
  <c r="H25" i="19" s="1"/>
  <c r="G8" i="8"/>
  <c r="H15" i="7"/>
  <c r="H14" i="7"/>
  <c r="H9" i="6"/>
  <c r="H25" i="6"/>
  <c r="H26" i="6" s="1"/>
  <c r="H21" i="6"/>
  <c r="H24" i="6"/>
  <c r="G18" i="7"/>
  <c r="G49" i="6"/>
  <c r="H46" i="6" s="1"/>
  <c r="H15" i="6" l="1"/>
  <c r="H16" i="6" s="1"/>
  <c r="G31" i="19"/>
  <c r="F9" i="8"/>
  <c r="G21" i="7"/>
  <c r="G22" i="7" s="1"/>
  <c r="H18" i="19"/>
  <c r="H24" i="19" s="1"/>
  <c r="H29" i="6"/>
  <c r="H22" i="6"/>
  <c r="I10" i="5"/>
  <c r="J10" i="3"/>
  <c r="I38" i="3"/>
  <c r="I34" i="3"/>
  <c r="I16" i="19" s="1"/>
  <c r="J50" i="3" l="1"/>
  <c r="I22" i="19"/>
  <c r="I12" i="5"/>
  <c r="I25" i="5" s="1"/>
  <c r="J9" i="3"/>
  <c r="I39" i="3"/>
  <c r="I35" i="3"/>
  <c r="I13" i="5" s="1"/>
  <c r="J20" i="3"/>
  <c r="J23" i="3" s="1"/>
  <c r="H17" i="19"/>
  <c r="H23" i="19" s="1"/>
  <c r="H26" i="19" s="1"/>
  <c r="H16" i="7" s="1"/>
  <c r="H34" i="6"/>
  <c r="H32" i="6"/>
  <c r="H33" i="6" s="1"/>
  <c r="H36" i="6" s="1"/>
  <c r="F15" i="8"/>
  <c r="F10" i="8"/>
  <c r="H29" i="19"/>
  <c r="H39" i="6"/>
  <c r="J26" i="3" l="1"/>
  <c r="K11" i="3" s="1"/>
  <c r="H40" i="6"/>
  <c r="H47" i="6" s="1"/>
  <c r="H9" i="7"/>
  <c r="H35" i="6"/>
  <c r="J11" i="5"/>
  <c r="J40" i="3"/>
  <c r="J14" i="5"/>
  <c r="I20" i="5"/>
  <c r="J9" i="5"/>
  <c r="I26" i="5" l="1"/>
  <c r="J47" i="3"/>
  <c r="H48" i="6"/>
  <c r="H41" i="6" s="1"/>
  <c r="H10" i="7" s="1"/>
  <c r="H11" i="7" s="1"/>
  <c r="I8" i="6"/>
  <c r="I22" i="5"/>
  <c r="I21" i="5"/>
  <c r="K21" i="3"/>
  <c r="K27" i="3" s="1"/>
  <c r="K28" i="3" s="1"/>
  <c r="L12" i="3" s="1"/>
  <c r="I27" i="6" l="1"/>
  <c r="I12" i="6"/>
  <c r="I14" i="6" s="1"/>
  <c r="H49" i="6"/>
  <c r="I46" i="6" s="1"/>
  <c r="H42" i="6"/>
  <c r="H43" i="6" s="1"/>
  <c r="H18" i="7"/>
  <c r="L22" i="3"/>
  <c r="J49" i="3"/>
  <c r="J51" i="3" s="1"/>
  <c r="J31" i="3" s="1"/>
  <c r="J13" i="6" s="1"/>
  <c r="J23" i="6"/>
  <c r="I19" i="19"/>
  <c r="I25" i="19" s="1"/>
  <c r="H8" i="8"/>
  <c r="I15" i="7"/>
  <c r="I14" i="7"/>
  <c r="I9" i="6"/>
  <c r="I28" i="6"/>
  <c r="I25" i="6"/>
  <c r="I26" i="6" s="1"/>
  <c r="I21" i="6"/>
  <c r="I24" i="6"/>
  <c r="I15" i="6" l="1"/>
  <c r="I16" i="6" s="1"/>
  <c r="I18" i="19"/>
  <c r="I24" i="19" s="1"/>
  <c r="I29" i="6"/>
  <c r="I22" i="6"/>
  <c r="J10" i="5"/>
  <c r="K10" i="3"/>
  <c r="K20" i="3" s="1"/>
  <c r="J38" i="3"/>
  <c r="J34" i="3"/>
  <c r="J16" i="19" s="1"/>
  <c r="H31" i="19"/>
  <c r="G9" i="8"/>
  <c r="H21" i="7"/>
  <c r="H22" i="7" s="1"/>
  <c r="G15" i="8" l="1"/>
  <c r="G10" i="8"/>
  <c r="I29" i="19"/>
  <c r="I39" i="6"/>
  <c r="K50" i="3"/>
  <c r="J22" i="19"/>
  <c r="K9" i="3"/>
  <c r="J39" i="3"/>
  <c r="J12" i="5"/>
  <c r="J25" i="5" s="1"/>
  <c r="J35" i="3"/>
  <c r="J13" i="5" s="1"/>
  <c r="K26" i="3"/>
  <c r="K23" i="3"/>
  <c r="I17" i="19"/>
  <c r="I23" i="19" s="1"/>
  <c r="I26" i="19" s="1"/>
  <c r="I16" i="7" s="1"/>
  <c r="I34" i="6"/>
  <c r="I32" i="6"/>
  <c r="I33" i="6" s="1"/>
  <c r="I36" i="6" s="1"/>
  <c r="I9" i="7" l="1"/>
  <c r="I35" i="6"/>
  <c r="K11" i="5"/>
  <c r="K40" i="3"/>
  <c r="K14" i="5"/>
  <c r="L11" i="3"/>
  <c r="J20" i="5"/>
  <c r="K9" i="5"/>
  <c r="I40" i="6"/>
  <c r="J26" i="5" l="1"/>
  <c r="K47" i="3"/>
  <c r="I47" i="6"/>
  <c r="I48" i="6"/>
  <c r="I41" i="6" s="1"/>
  <c r="I10" i="7" s="1"/>
  <c r="I11" i="7" s="1"/>
  <c r="J8" i="6"/>
  <c r="J22" i="5"/>
  <c r="J21" i="5"/>
  <c r="L21" i="3"/>
  <c r="L27" i="3" s="1"/>
  <c r="L28" i="3" s="1"/>
  <c r="J27" i="6" l="1"/>
  <c r="J28" i="6" s="1"/>
  <c r="J12" i="6"/>
  <c r="J14" i="6" s="1"/>
  <c r="I42" i="6"/>
  <c r="I43" i="6" s="1"/>
  <c r="K49" i="3"/>
  <c r="K51" i="3" s="1"/>
  <c r="K31" i="3" s="1"/>
  <c r="K13" i="6" s="1"/>
  <c r="K23" i="6"/>
  <c r="J19" i="19"/>
  <c r="J25" i="19" s="1"/>
  <c r="I8" i="8"/>
  <c r="J15" i="7"/>
  <c r="J14" i="7"/>
  <c r="J9" i="6"/>
  <c r="J25" i="6"/>
  <c r="J26" i="6" s="1"/>
  <c r="J21" i="6"/>
  <c r="J24" i="6"/>
  <c r="I18" i="7"/>
  <c r="I49" i="6"/>
  <c r="J46" i="6" s="1"/>
  <c r="J15" i="6" l="1"/>
  <c r="J16" i="6" s="1"/>
  <c r="I31" i="19"/>
  <c r="H9" i="8"/>
  <c r="I21" i="7"/>
  <c r="I22" i="7" s="1"/>
  <c r="J18" i="19"/>
  <c r="J24" i="19" s="1"/>
  <c r="J29" i="6"/>
  <c r="J22" i="6"/>
  <c r="K10" i="5"/>
  <c r="L10" i="3"/>
  <c r="K38" i="3"/>
  <c r="K34" i="3"/>
  <c r="K16" i="19" s="1"/>
  <c r="K22" i="19" l="1"/>
  <c r="L50" i="3"/>
  <c r="L9" i="3"/>
  <c r="K39" i="3"/>
  <c r="K12" i="5"/>
  <c r="K25" i="5" s="1"/>
  <c r="K35" i="3"/>
  <c r="K13" i="5" s="1"/>
  <c r="L20" i="3"/>
  <c r="L23" i="3" s="1"/>
  <c r="J17" i="19"/>
  <c r="J23" i="19" s="1"/>
  <c r="J26" i="19" s="1"/>
  <c r="J16" i="7" s="1"/>
  <c r="J34" i="6"/>
  <c r="J32" i="6"/>
  <c r="J33" i="6" s="1"/>
  <c r="J36" i="6" s="1"/>
  <c r="H15" i="8"/>
  <c r="H10" i="8"/>
  <c r="J29" i="19"/>
  <c r="J39" i="6"/>
  <c r="L26" i="3" l="1"/>
  <c r="J40" i="6"/>
  <c r="J47" i="6" s="1"/>
  <c r="J9" i="7"/>
  <c r="J35" i="6"/>
  <c r="L40" i="3"/>
  <c r="L14" i="5"/>
  <c r="L11" i="5"/>
  <c r="K20" i="5"/>
  <c r="L9" i="5"/>
  <c r="K26" i="5" l="1"/>
  <c r="L47" i="3"/>
  <c r="J48" i="6"/>
  <c r="J41" i="6" s="1"/>
  <c r="J10" i="7" s="1"/>
  <c r="J11" i="7" s="1"/>
  <c r="K8" i="6"/>
  <c r="K22" i="5"/>
  <c r="K21" i="5"/>
  <c r="K27" i="6" l="1"/>
  <c r="K12" i="6"/>
  <c r="K14" i="6" s="1"/>
  <c r="J49" i="6"/>
  <c r="K46" i="6" s="1"/>
  <c r="J42" i="6"/>
  <c r="J43" i="6" s="1"/>
  <c r="J18" i="7"/>
  <c r="L49" i="3"/>
  <c r="L51" i="3" s="1"/>
  <c r="L31" i="3" s="1"/>
  <c r="L13" i="6" s="1"/>
  <c r="L23" i="6"/>
  <c r="K19" i="19"/>
  <c r="K25" i="19" s="1"/>
  <c r="J8" i="8"/>
  <c r="K15" i="7"/>
  <c r="K14" i="7"/>
  <c r="K9" i="6"/>
  <c r="K28" i="6"/>
  <c r="K25" i="6"/>
  <c r="K26" i="6" s="1"/>
  <c r="K21" i="6"/>
  <c r="K24" i="6"/>
  <c r="K15" i="6" l="1"/>
  <c r="K16" i="6" s="1"/>
  <c r="K18" i="19"/>
  <c r="K24" i="19" s="1"/>
  <c r="K29" i="6"/>
  <c r="K22" i="6"/>
  <c r="L10" i="5"/>
  <c r="L38" i="3"/>
  <c r="B12" i="16"/>
  <c r="D12" i="16" s="1"/>
  <c r="L34" i="3"/>
  <c r="J31" i="19"/>
  <c r="I9" i="8"/>
  <c r="J21" i="7"/>
  <c r="J22" i="7" s="1"/>
  <c r="B13" i="9" l="1"/>
  <c r="B15" i="9" s="1"/>
  <c r="B18" i="9" s="1"/>
  <c r="B21" i="9" s="1"/>
  <c r="B28" i="9" s="1"/>
  <c r="B31" i="9" s="1"/>
  <c r="L16" i="19"/>
  <c r="L22" i="19" s="1"/>
  <c r="D13" i="9"/>
  <c r="D15" i="9" s="1"/>
  <c r="D18" i="9" s="1"/>
  <c r="D21" i="9" s="1"/>
  <c r="D28" i="9" s="1"/>
  <c r="D31" i="9" s="1"/>
  <c r="C13" i="9"/>
  <c r="C15" i="9" s="1"/>
  <c r="C18" i="9" s="1"/>
  <c r="C21" i="9" s="1"/>
  <c r="C28" i="9" s="1"/>
  <c r="C31" i="9" s="1"/>
  <c r="I15" i="8"/>
  <c r="I10" i="8"/>
  <c r="K29" i="19"/>
  <c r="K39" i="6"/>
  <c r="L39" i="3"/>
  <c r="L12" i="5"/>
  <c r="L25" i="5" s="1"/>
  <c r="L35" i="3"/>
  <c r="L13" i="5" s="1"/>
  <c r="K17" i="19"/>
  <c r="K34" i="6"/>
  <c r="K32" i="6"/>
  <c r="K33" i="6" s="1"/>
  <c r="K36" i="6" s="1"/>
  <c r="C32" i="9" l="1"/>
  <c r="B36" i="9"/>
  <c r="D32" i="9"/>
  <c r="C44" i="8"/>
  <c r="C43" i="8"/>
  <c r="B32" i="9"/>
  <c r="K9" i="7"/>
  <c r="K35" i="6"/>
  <c r="K23" i="19"/>
  <c r="K26" i="19" s="1"/>
  <c r="K16" i="7" s="1"/>
  <c r="L17" i="19"/>
  <c r="L23" i="19" s="1"/>
  <c r="L20" i="5"/>
  <c r="L26" i="5" s="1"/>
  <c r="K40" i="6"/>
  <c r="C45" i="8" l="1"/>
  <c r="C46" i="8" s="1"/>
  <c r="C42" i="1" s="1"/>
  <c r="B37" i="9"/>
  <c r="K47" i="6"/>
  <c r="K48" i="6"/>
  <c r="K41" i="6" s="1"/>
  <c r="K10" i="7" s="1"/>
  <c r="K11" i="7" s="1"/>
  <c r="L8" i="6"/>
  <c r="L22" i="5"/>
  <c r="L21" i="5"/>
  <c r="L27" i="6" l="1"/>
  <c r="L12" i="6"/>
  <c r="L14" i="6" s="1"/>
  <c r="K42" i="6"/>
  <c r="K43" i="6" s="1"/>
  <c r="L19" i="19"/>
  <c r="L25" i="19" s="1"/>
  <c r="K8" i="8"/>
  <c r="C18" i="8" s="1"/>
  <c r="C22" i="8" s="1"/>
  <c r="C25" i="8" s="1"/>
  <c r="C26" i="8" s="1"/>
  <c r="L15" i="7"/>
  <c r="L14" i="7"/>
  <c r="L9" i="6"/>
  <c r="L28" i="6"/>
  <c r="L25" i="6"/>
  <c r="L26" i="6" s="1"/>
  <c r="L21" i="6"/>
  <c r="L24" i="6"/>
  <c r="K18" i="7"/>
  <c r="K49" i="6"/>
  <c r="L46" i="6" s="1"/>
  <c r="L15" i="6" l="1"/>
  <c r="L16" i="6" s="1"/>
  <c r="K31" i="19"/>
  <c r="J9" i="8"/>
  <c r="K21" i="7"/>
  <c r="K22" i="7" s="1"/>
  <c r="L18" i="19"/>
  <c r="L24" i="19" s="1"/>
  <c r="L26" i="19" s="1"/>
  <c r="L16" i="7" s="1"/>
  <c r="L29" i="6"/>
  <c r="L22" i="6"/>
  <c r="C31" i="8"/>
  <c r="L32" i="6" l="1"/>
  <c r="L34" i="6"/>
  <c r="J15" i="8"/>
  <c r="J10" i="8"/>
  <c r="L29" i="19"/>
  <c r="L39" i="6"/>
  <c r="L40" i="6" l="1"/>
  <c r="L47" i="6" s="1"/>
  <c r="C19" i="8"/>
  <c r="L33" i="6"/>
  <c r="L36" i="6" s="1"/>
  <c r="L9" i="7"/>
  <c r="L35" i="6"/>
  <c r="L48" i="6" l="1"/>
  <c r="L41" i="6" s="1"/>
  <c r="L10" i="7" s="1"/>
  <c r="L11" i="7" s="1"/>
  <c r="L18" i="7" s="1"/>
  <c r="L49" i="6" l="1"/>
  <c r="L42" i="6"/>
  <c r="L43" i="6" s="1"/>
  <c r="L31" i="19" l="1"/>
  <c r="K9" i="8"/>
  <c r="L21" i="7"/>
  <c r="L22" i="7" s="1"/>
  <c r="B13" i="16" s="1"/>
  <c r="D13" i="16" s="1"/>
  <c r="C20" i="8" l="1"/>
  <c r="C23" i="8" s="1"/>
  <c r="K15" i="8"/>
  <c r="C27" i="8" s="1"/>
  <c r="K10" i="8"/>
  <c r="C17" i="15" a="1"/>
  <c r="C17" i="15" s="1"/>
  <c r="D17" i="15" a="1"/>
  <c r="D17" i="15" s="1"/>
  <c r="E17" i="15" a="1"/>
  <c r="E17" i="15" s="1"/>
  <c r="F17" i="15" a="1"/>
  <c r="F17" i="15" s="1"/>
  <c r="G17" i="15" a="1"/>
  <c r="G17" i="15" s="1"/>
  <c r="H17" i="15" a="1"/>
  <c r="H17" i="15" s="1"/>
  <c r="C18" i="15" a="1"/>
  <c r="C18" i="15" s="1"/>
  <c r="D18" i="15" a="1"/>
  <c r="D18" i="15" s="1"/>
  <c r="E18" i="15" a="1"/>
  <c r="E18" i="15" s="1"/>
  <c r="F18" i="15" a="1"/>
  <c r="F18" i="15" s="1"/>
  <c r="G18" i="15" a="1"/>
  <c r="G18" i="15" s="1"/>
  <c r="H18" i="15" a="1"/>
  <c r="H18" i="15" s="1"/>
  <c r="C19" i="15" a="1"/>
  <c r="C19" i="15" s="1"/>
  <c r="D19" i="15" a="1"/>
  <c r="D19" i="15" s="1"/>
  <c r="E19" i="15" a="1"/>
  <c r="E19" i="15" s="1"/>
  <c r="F19" i="15" a="1"/>
  <c r="F19" i="15" s="1"/>
  <c r="G19" i="15" a="1"/>
  <c r="G19" i="15" s="1"/>
  <c r="H19" i="15" a="1"/>
  <c r="H19" i="15" s="1"/>
  <c r="C20" i="15" a="1"/>
  <c r="C20" i="15" s="1"/>
  <c r="D20" i="15" a="1"/>
  <c r="D20" i="15" s="1"/>
  <c r="E20" i="15" a="1"/>
  <c r="E20" i="15" s="1"/>
  <c r="C30" i="15" s="1"/>
  <c r="F20" i="15" a="1"/>
  <c r="F20" i="15" s="1"/>
  <c r="G20" i="15" a="1"/>
  <c r="G20" i="15" s="1"/>
  <c r="H20" i="15" a="1"/>
  <c r="H20" i="15" s="1"/>
  <c r="C21" i="15" a="1"/>
  <c r="C21" i="15" s="1"/>
  <c r="D21" i="15" a="1"/>
  <c r="D21" i="15" s="1"/>
  <c r="E21" i="15" a="1"/>
  <c r="E21" i="15" s="1"/>
  <c r="F21" i="15" a="1"/>
  <c r="F21" i="15" s="1"/>
  <c r="G21" i="15" a="1"/>
  <c r="G21" i="15" s="1"/>
  <c r="H21" i="15" a="1"/>
  <c r="H21" i="15" s="1"/>
  <c r="C22" i="15" a="1"/>
  <c r="C22" i="15" s="1"/>
  <c r="D22" i="15" a="1"/>
  <c r="D22" i="15" s="1"/>
  <c r="E22" i="15" a="1"/>
  <c r="E22" i="15" s="1"/>
  <c r="F22" i="15" a="1"/>
  <c r="F22" i="15" s="1"/>
  <c r="G22" i="15" a="1"/>
  <c r="G22" i="15" s="1"/>
  <c r="H22" i="15" a="1"/>
  <c r="H22" i="15" s="1"/>
  <c r="C23" i="15" a="1"/>
  <c r="C23" i="15" s="1"/>
  <c r="D23" i="15" a="1"/>
  <c r="D23" i="15" s="1"/>
  <c r="E23" i="15" a="1"/>
  <c r="E23" i="15" s="1"/>
  <c r="F23" i="15" a="1"/>
  <c r="F23" i="15" s="1"/>
  <c r="G23" i="15" a="1"/>
  <c r="G23" i="15" s="1"/>
  <c r="H23" i="15" a="1"/>
  <c r="H23" i="15" s="1"/>
  <c r="B18" i="15" a="1"/>
  <c r="B18" i="15" s="1"/>
  <c r="B19" i="15" a="1"/>
  <c r="B19" i="15" s="1"/>
  <c r="B20" i="15" a="1"/>
  <c r="B20" i="15" s="1"/>
  <c r="B21" i="15" a="1"/>
  <c r="B21" i="15" s="1"/>
  <c r="B22" i="15" a="1"/>
  <c r="B22" i="15" s="1"/>
  <c r="B23" i="15" a="1"/>
  <c r="B23" i="15" s="1"/>
  <c r="B17" i="15" a="1"/>
  <c r="B17" i="15" s="1"/>
  <c r="C6" i="15" a="1"/>
  <c r="C6" i="15" s="1"/>
  <c r="D6" i="15" a="1"/>
  <c r="D6" i="15" s="1"/>
  <c r="E6" i="15" a="1"/>
  <c r="E6" i="15" s="1"/>
  <c r="F6" i="15" a="1"/>
  <c r="F6" i="15" s="1"/>
  <c r="G6" i="15" a="1"/>
  <c r="G6" i="15" s="1"/>
  <c r="H6" i="15" a="1"/>
  <c r="H6" i="15" s="1"/>
  <c r="C7" i="15" a="1"/>
  <c r="C7" i="15" s="1"/>
  <c r="D7" i="15" a="1"/>
  <c r="D7" i="15" s="1"/>
  <c r="E7" i="15" a="1"/>
  <c r="E7" i="15" s="1"/>
  <c r="F7" i="15" a="1"/>
  <c r="F7" i="15" s="1"/>
  <c r="G7" i="15" a="1"/>
  <c r="G7" i="15" s="1"/>
  <c r="H7" i="15" a="1"/>
  <c r="H7" i="15" s="1"/>
  <c r="C8" i="15" a="1"/>
  <c r="C8" i="15" s="1"/>
  <c r="D8" i="15" a="1"/>
  <c r="D8" i="15" s="1"/>
  <c r="E8" i="15" a="1"/>
  <c r="E8" i="15" s="1"/>
  <c r="F8" i="15" a="1"/>
  <c r="F8" i="15" s="1"/>
  <c r="G8" i="15" a="1"/>
  <c r="G8" i="15" s="1"/>
  <c r="H8" i="15" a="1"/>
  <c r="H8" i="15" s="1"/>
  <c r="C9" i="15" a="1"/>
  <c r="C9" i="15" s="1"/>
  <c r="D9" i="15" a="1"/>
  <c r="D9" i="15" s="1"/>
  <c r="E9" i="15" a="1"/>
  <c r="E9" i="15" s="1"/>
  <c r="C29" i="15" s="1"/>
  <c r="D6" i="13" s="1"/>
  <c r="D31" i="13" s="1"/>
  <c r="F9" i="15" a="1"/>
  <c r="F9" i="15" s="1"/>
  <c r="G9" i="15" a="1"/>
  <c r="G9" i="15" s="1"/>
  <c r="H9" i="15" a="1"/>
  <c r="H9" i="15" s="1"/>
  <c r="C10" i="15" a="1"/>
  <c r="C10" i="15" s="1"/>
  <c r="D10" i="15" a="1"/>
  <c r="D10" i="15" s="1"/>
  <c r="E10" i="15" a="1"/>
  <c r="E10" i="15" s="1"/>
  <c r="F10" i="15" a="1"/>
  <c r="F10" i="15" s="1"/>
  <c r="G10" i="15" a="1"/>
  <c r="G10" i="15" s="1"/>
  <c r="H10" i="15" a="1"/>
  <c r="H10" i="15" s="1"/>
  <c r="C11" i="15" a="1"/>
  <c r="C11" i="15" s="1"/>
  <c r="D11" i="15" a="1"/>
  <c r="D11" i="15" s="1"/>
  <c r="E11" i="15" a="1"/>
  <c r="E11" i="15" s="1"/>
  <c r="F11" i="15" a="1"/>
  <c r="F11" i="15" s="1"/>
  <c r="G11" i="15" a="1"/>
  <c r="G11" i="15" s="1"/>
  <c r="H11" i="15" a="1"/>
  <c r="H11" i="15" s="1"/>
  <c r="C12" i="15" a="1"/>
  <c r="C12" i="15" s="1"/>
  <c r="D12" i="15" a="1"/>
  <c r="D12" i="15" s="1"/>
  <c r="E12" i="15" a="1"/>
  <c r="E12" i="15" s="1"/>
  <c r="F12" i="15" a="1"/>
  <c r="F12" i="15" s="1"/>
  <c r="G12" i="15" a="1"/>
  <c r="G12" i="15" s="1"/>
  <c r="H12" i="15" a="1"/>
  <c r="H12" i="15" s="1"/>
  <c r="B7" i="15" a="1"/>
  <c r="B7" i="15" s="1"/>
  <c r="B8" i="15" a="1"/>
  <c r="B8" i="15" s="1"/>
  <c r="B9" i="15" a="1"/>
  <c r="B9" i="15" s="1"/>
  <c r="B10" i="15" a="1"/>
  <c r="B10" i="15" s="1"/>
  <c r="B11" i="15" a="1"/>
  <c r="B11" i="15" s="1"/>
  <c r="B12" i="15" a="1"/>
  <c r="B12" i="15" s="1"/>
  <c r="B6" i="15" a="1"/>
  <c r="B6" i="15" s="1"/>
  <c r="C24" i="8" l="1"/>
  <c r="B9" i="16" s="1"/>
  <c r="D9" i="16" s="1"/>
  <c r="D7" i="13"/>
  <c r="D32" i="13" s="1"/>
  <c r="D22" i="13"/>
  <c r="D21" i="13"/>
  <c r="G21" i="13" s="1"/>
  <c r="J6" i="13"/>
  <c r="D16" i="13" s="1"/>
  <c r="G6" i="13"/>
  <c r="D29" i="15"/>
  <c r="E6" i="13" s="1"/>
  <c r="B29" i="15"/>
  <c r="D30" i="15"/>
  <c r="B30" i="15"/>
  <c r="C30" i="8"/>
  <c r="C32" i="8" s="1"/>
  <c r="C47" i="8" s="1"/>
  <c r="B8" i="16"/>
  <c r="D8" i="16" s="1"/>
  <c r="D36" i="13" l="1"/>
  <c r="B36" i="13"/>
  <c r="E7" i="13"/>
  <c r="B21" i="13"/>
  <c r="B22" i="13"/>
  <c r="B17" i="16"/>
  <c r="C54" i="1" s="1"/>
  <c r="B19" i="16"/>
  <c r="C56" i="1" s="1"/>
  <c r="B18" i="16"/>
  <c r="C55" i="1" s="1"/>
  <c r="B16" i="16"/>
  <c r="E30" i="15"/>
  <c r="H6" i="13"/>
  <c r="D23" i="13"/>
  <c r="G22" i="13"/>
  <c r="G23" i="13" s="1"/>
  <c r="E29" i="15"/>
  <c r="C6" i="13"/>
  <c r="C31" i="13" s="1"/>
  <c r="C49" i="1"/>
  <c r="G16" i="13"/>
  <c r="C51" i="1"/>
  <c r="C36" i="1"/>
  <c r="C35" i="8"/>
  <c r="C38" i="8" s="1"/>
  <c r="C7" i="13" l="1"/>
  <c r="B32" i="13" s="1"/>
  <c r="B31" i="13"/>
  <c r="C51" i="8"/>
  <c r="C50" i="8"/>
  <c r="C53" i="8" s="1"/>
  <c r="C46" i="1" s="1"/>
  <c r="F6" i="13"/>
  <c r="H7" i="13"/>
  <c r="G7" i="13"/>
  <c r="C50" i="1"/>
  <c r="C39" i="1"/>
  <c r="C40" i="8"/>
  <c r="C40" i="1" s="1"/>
  <c r="B20" i="16"/>
  <c r="C57" i="1" s="1"/>
  <c r="C54" i="8" l="1"/>
  <c r="C47" i="1" s="1"/>
  <c r="C43" i="1"/>
  <c r="C32" i="13"/>
  <c r="F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C40" authorId="0" shapeId="0" xr:uid="{F24EE6C8-DB2D-4E32-BFB0-481F60541CED}">
      <text>
        <r>
          <rPr>
            <sz val="11"/>
            <color theme="1"/>
            <rFont val="Calibri"/>
            <family val="2"/>
            <scheme val="minor"/>
          </rPr>
          <t>BEAR R&amp;D terminal: 12% — WHOOP becomes Garmin (commodity device, R&amp;D plateaus). Per peer benchmarks: Garmin 11%, Peloton (distress) 6%.</t>
        </r>
      </text>
    </comment>
    <comment ref="D40" authorId="0" shapeId="0" xr:uid="{9B0AC414-2FD2-4A20-8709-7052841012F2}">
      <text>
        <r>
          <rPr>
            <sz val="11"/>
            <color theme="1"/>
            <rFont val="Calibri"/>
            <family val="2"/>
            <scheme val="minor"/>
          </rPr>
          <t>BASE R&amp;D terminal: 15% — WHOOP becomes Masimo (continued device + software investment). Above B3 median 9% reflecting AI/biomarker development as core differentiator.</t>
        </r>
      </text>
    </comment>
    <comment ref="E40" authorId="0" shapeId="0" xr:uid="{664E147F-774B-48A0-A4AF-D5DFBBAAA808}">
      <text>
        <r>
          <rPr>
            <sz val="11"/>
            <color theme="1"/>
            <rFont val="Calibri"/>
            <family val="2"/>
            <scheme val="minor"/>
          </rPr>
          <t>BULL R&amp;D terminal: 18% — WHOOP becomes Dexcom-plus (continuous sensor/AI investment is the moat). Higher than Dexcom 14% to reflect platform thesis.</t>
        </r>
      </text>
    </comment>
    <comment ref="C46" authorId="0" shapeId="0" xr:uid="{8730474C-3835-4AD2-B916-8B752657C500}">
      <text>
        <r>
          <rPr>
            <sz val="11"/>
            <color rgb="FF000000"/>
            <rFont val="Calibri"/>
            <family val="2"/>
          </rPr>
          <t>BEAR G&amp;A terminal: 13% — inefficient global org, healthcare compliance overhead. Above iRhythm 14% but below early-stage.</t>
        </r>
      </text>
    </comment>
    <comment ref="D46" authorId="0" shapeId="0" xr:uid="{BFBC1A7F-FC1D-45E9-A6A0-A1C54D489ADC}">
      <text>
        <r>
          <rPr>
            <sz val="11"/>
            <color theme="1"/>
            <rFont val="Calibri"/>
            <family val="2"/>
            <scheme val="minor"/>
          </rPr>
          <t>BASE G&amp;A terminal: 11% — Dexcom benchmark; reflects multi-jurisdiction regulated public co with healthcare partnerships.</t>
        </r>
      </text>
    </comment>
    <comment ref="E46" authorId="0" shapeId="0" xr:uid="{D5B2855B-0A74-4E87-AFFF-93284FAF70EC}">
      <text>
        <r>
          <rPr>
            <sz val="11"/>
            <color theme="1"/>
            <rFont val="Calibri"/>
            <family val="2"/>
            <scheme val="minor"/>
          </rPr>
          <t>BULL G&amp;A terminal: 9% — ResMed-like efficiency. Achievable but aspirational for a regulated global health platform.</t>
        </r>
      </text>
    </comment>
    <comment ref="C47" authorId="0" shapeId="0" xr:uid="{75A666E5-4974-46C8-89E4-F37D0E8E3936}">
      <text>
        <r>
          <rPr>
            <sz val="11"/>
            <color theme="1"/>
            <rFont val="Calibri"/>
            <family val="2"/>
            <scheme val="minor"/>
          </rPr>
          <t>BEAR SBC current: 16% — pre-IPO unicorn norm 12-18%. Aggressive grant pace from 600+ planned hires.</t>
        </r>
      </text>
    </comment>
    <comment ref="D47" authorId="0" shapeId="0" xr:uid="{472C5778-4274-4AC9-B059-4E23F622469E}">
      <text>
        <r>
          <rPr>
            <sz val="11"/>
            <color theme="1"/>
            <rFont val="Calibri"/>
            <family val="2"/>
            <scheme val="minor"/>
          </rPr>
          <t>BASE SBC current: 14% — mid-range pre-IPO.</t>
        </r>
      </text>
    </comment>
    <comment ref="E47" authorId="0" shapeId="0" xr:uid="{ACC962E2-E8FD-44AA-B644-EB6A18953B98}">
      <text>
        <r>
          <rPr>
            <sz val="11"/>
            <color theme="1"/>
            <rFont val="Calibri"/>
            <family val="2"/>
            <scheme val="minor"/>
          </rPr>
          <t>BULL SBC current: 12% — lower end of pre-IPO range; suggests disciplined granting.</t>
        </r>
      </text>
    </comment>
    <comment ref="C48" authorId="0" shapeId="0" xr:uid="{F61BA9F7-5815-4581-88A3-966D0268F258}">
      <text>
        <r>
          <rPr>
            <sz val="11"/>
            <color theme="1"/>
            <rFont val="Calibri"/>
            <family val="2"/>
            <scheme val="minor"/>
          </rPr>
          <t>BEAR SBC terminal: 10% — elevated post-IPO; suggests slow scaling. Above iRhythm 13% but below Peloton.</t>
        </r>
      </text>
    </comment>
    <comment ref="D48" authorId="0" shapeId="0" xr:uid="{2A9DA7AD-87CC-4F89-8474-AB9D53B99F36}">
      <text>
        <r>
          <rPr>
            <sz val="11"/>
            <color theme="1"/>
            <rFont val="Calibri"/>
            <family val="2"/>
            <scheme val="minor"/>
          </rPr>
          <t>BASE SBC terminal: 8% — Dexcom benchmark. Mature public health-data co norm.</t>
        </r>
      </text>
    </comment>
    <comment ref="E48" authorId="0" shapeId="0" xr:uid="{A39F8ADF-A92F-4DA3-929A-41F445A70D5E}">
      <text>
        <r>
          <rPr>
            <sz val="11"/>
            <color theme="1"/>
            <rFont val="Calibri"/>
            <family val="2"/>
            <scheme val="minor"/>
          </rPr>
          <t>BULL SBC terminal: 6% — Spotify/ResMed range. Disciplined granting at scale.</t>
        </r>
      </text>
    </comment>
    <comment ref="C67" authorId="0" shapeId="0" xr:uid="{892B3EE0-CAA8-4155-9BFD-97E2735E9489}">
      <text>
        <r>
          <rPr>
            <sz val="11"/>
            <color theme="1"/>
            <rFont val="Calibri"/>
            <family val="2"/>
            <scheme val="minor"/>
          </rPr>
          <t>Bear: rates fall to ~2.5% with Fed cuts. Conservative.</t>
        </r>
      </text>
    </comment>
    <comment ref="D67" authorId="0" shapeId="0" xr:uid="{2279693B-D0FB-4747-ADE8-3C660232F4B6}">
      <text>
        <r>
          <rPr>
            <sz val="11"/>
            <color theme="1"/>
            <rFont val="Calibri"/>
            <family val="2"/>
            <scheme val="minor"/>
          </rPr>
          <t>Base: ~3.5% — institutional money market / Treasury bill yields. SOFR proxy.</t>
        </r>
      </text>
    </comment>
    <comment ref="E67" authorId="0" shapeId="0" xr:uid="{FE2FEEEA-3CFC-4EDA-9FED-3A979061923F}">
      <text>
        <r>
          <rPr>
            <sz val="11"/>
            <color theme="1"/>
            <rFont val="Calibri"/>
            <family val="2"/>
            <scheme val="minor"/>
          </rPr>
          <t>Bull: ~4.5% — elevated rates persist; corporate cash earns at upper end.</t>
        </r>
      </text>
    </comment>
    <comment ref="I137" authorId="0" shapeId="0" xr:uid="{D6C5EAE7-B3CA-4F1B-88FA-E95489DD2379}">
      <text>
        <r>
          <rPr>
            <sz val="11"/>
            <color theme="1"/>
            <rFont val="Calibri"/>
            <family val="2"/>
            <scheme val="minor"/>
          </rPr>
          <t>Source: BusinessWire 9/30/2025 launch press release. 350K waitlist disclosed; member count from Series G.</t>
        </r>
      </text>
    </comment>
    <comment ref="I138" authorId="0" shapeId="0" xr:uid="{43FD3CF9-DC09-476F-B29D-A009C9793098}">
      <text>
        <r>
          <rPr>
            <sz val="11"/>
            <color theme="1"/>
            <rFont val="Calibri"/>
            <family val="2"/>
            <scheme val="minor"/>
          </rPr>
          <t>Source: BusinessWire WHOOP press release 9/30/2025. https://www.businesswire.com/news/home/20250930178710/en/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D47" authorId="0" shapeId="0" xr:uid="{11AD4866-A1A5-4394-9818-33466F526430}">
      <text>
        <r>
          <rPr>
            <sz val="11"/>
            <color theme="1"/>
            <rFont val="Calibri"/>
            <family val="2"/>
            <scheme val="minor"/>
          </rPr>
          <t>2025 S&amp;M back-solve: ~30% of $650M revenue. Hardcoded historical anchor.</t>
        </r>
      </text>
    </comment>
    <comment ref="D48" authorId="0" shapeId="0" xr:uid="{772E57F7-231F-4B19-A5A2-2339BEDC5068}">
      <text>
        <r>
          <rPr>
            <sz val="11"/>
            <color theme="1"/>
            <rFont val="Calibri"/>
            <family val="2"/>
            <scheme val="minor"/>
          </rPr>
          <t>2025 calibration blended CAC ($195M / 1.5M gross adds = $130).</t>
        </r>
      </text>
    </comment>
    <comment ref="D50" authorId="0" shapeId="0" xr:uid="{2E4B12BB-32E1-4BE4-8415-18DFE34D3EB7}">
      <text>
        <r>
          <rPr>
            <sz val="11"/>
            <color theme="1"/>
            <rFont val="Calibri"/>
            <family val="2"/>
            <scheme val="minor"/>
          </rPr>
          <t>2025: calibration year, penetration diagnostic begins 2026.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C10" authorId="0" shapeId="0" xr:uid="{CBEFB5A1-1593-D745-A2A1-8F308488D73F}">
      <text>
        <r>
          <rPr>
            <b/>
            <sz val="10"/>
            <color rgb="FF000000"/>
            <rFont val="Tahoma"/>
            <family val="2"/>
          </rPr>
          <t>Landon Brice:</t>
        </r>
        <r>
          <rPr>
            <sz val="10"/>
            <color rgb="FF000000"/>
            <rFont val="Tahoma"/>
            <family val="2"/>
          </rPr>
          <t xml:space="preserve">
2024 historical: not used (engine fully runs from 2025).</t>
        </r>
      </text>
    </comment>
    <comment ref="D19" authorId="0" shapeId="0" xr:uid="{542AFE5F-A704-4929-AA43-75A4437CF5AE}">
      <text>
        <r>
          <rPr>
            <sz val="11"/>
            <color theme="1"/>
            <rFont val="Calibri"/>
            <family val="2"/>
            <scheme val="minor"/>
          </rPr>
          <t>2025: launched 9/30. ~3mo × ~30% ramp = ~7.5% of full-year potential.</t>
        </r>
      </text>
    </comment>
    <comment ref="D22" authorId="0" shapeId="0" xr:uid="{F89669B0-521E-2841-A9FB-3AA30FE51C54}">
      <text>
        <r>
          <rPr>
            <b/>
            <sz val="10"/>
            <color rgb="FF000000"/>
            <rFont val="Tahoma"/>
            <family val="2"/>
          </rPr>
          <t>Landon Brice:</t>
        </r>
        <r>
          <rPr>
            <sz val="10"/>
            <color rgb="FF000000"/>
            <rFont val="Tahoma"/>
            <family val="2"/>
          </rPr>
          <t xml:space="preserve">
</t>
        </r>
        <r>
          <rPr>
            <sz val="10"/>
            <color rgb="FF000000"/>
            <rFont val="Tahoma"/>
            <family val="2"/>
          </rPr>
          <t>Matches old 5-component build for 2025: $258.68 sub + $1.41 partial Labs + $18 acc + $0 BP = $278.</t>
        </r>
      </text>
    </comment>
    <comment ref="D26" authorId="0" shapeId="0" xr:uid="{E0A44CF0-0467-4DCD-BF90-1AFDF22232F8}">
      <text>
        <r>
          <rPr>
            <sz val="11"/>
            <color theme="1"/>
            <rFont val="Calibri"/>
            <family val="2"/>
            <scheme val="minor"/>
          </rPr>
          <t>2025: feature in beta, no paid add-on yet.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D12" authorId="0" shapeId="0" xr:uid="{D3CE433F-DDC7-804E-AA33-F991F1D930AD}">
      <text>
        <r>
          <rPr>
            <b/>
            <sz val="10"/>
            <color rgb="FF000000"/>
            <rFont val="Tahoma"/>
            <family val="2"/>
          </rPr>
          <t>Landon Brice:</t>
        </r>
        <r>
          <rPr>
            <sz val="10"/>
            <color rgb="FF000000"/>
            <rFont val="Tahoma"/>
            <family val="2"/>
          </rPr>
          <t xml:space="preserve">
2025 historical: hardcoded 40% blended COGS = 60% GM. Methodology Sec 6 anchor.</t>
        </r>
      </text>
    </comment>
    <comment ref="L24" authorId="0" shapeId="0" xr:uid="{889D7046-4208-4BDC-96D0-5BEF5F82AB8D}">
      <text>
        <r>
          <rPr>
            <sz val="11"/>
            <color theme="1"/>
            <rFont val="Calibri"/>
            <family val="2"/>
            <scheme val="minor"/>
          </rPr>
          <t>FLAG: S&amp;M as % of current revenue runs 16-20%, vs methodology stated ~30% current. Architecture-driven gap: Members tab computes S&amp;M = prior-yr revenue × phase S&amp;M%, so as revenue grows, current-year S&amp;M / current-year revenue is structurally lower than the input rate. NOT an error — it's the consequence of fixed-S&amp;M%-of-prior-rev design. Two reconciliation paths: (a) restate methodology to prior-yr basis, or (b) raise S&amp;M phase % inputs to compensate.</t>
        </r>
      </text>
    </comment>
    <comment ref="D27" authorId="0" shapeId="0" xr:uid="{60ACBF2B-38EB-4FA2-B67F-E2AA9A0C2A23}">
      <text>
        <r>
          <rPr>
            <sz val="11"/>
            <color theme="1"/>
            <rFont val="Calibri"/>
            <family val="2"/>
            <scheme val="minor"/>
          </rPr>
          <t>2025 historical: SBC at current rate (no interpolation). 2026+ tapers from current to terminal.</t>
        </r>
      </text>
    </comment>
    <comment ref="F32" authorId="0" shapeId="0" xr:uid="{FDCCDD18-56DF-40E6-8DF1-D1F0EDB21C0E}">
      <text>
        <r>
          <rPr>
            <sz val="11"/>
            <color theme="1"/>
            <rFont val="Calibri"/>
            <family val="2"/>
            <scheme val="minor"/>
          </rPr>
          <t>FLAG: 2027 EBITDA margin DIPS to 12% from 18% in 2026 despite revenue growth 28%. Driver: Members!F30 gross adds spike to 1.24M (Phase 1 deployment year), bulging hardware COGS to $148M. Mechanically correct but visually jarring. If we accept Phase 1 = 2026-2027 lump deployment, this is real. If smoother gross adds curve preferred, revisit Members!E50:F50 logic.</t>
        </r>
      </text>
    </comment>
    <comment ref="L32" authorId="0" shapeId="0" xr:uid="{AC5777F6-C777-43D9-827D-340B63ECD868}">
      <text>
        <r>
          <rPr>
            <sz val="11"/>
            <color theme="1"/>
            <rFont val="Calibri"/>
            <family val="2"/>
            <scheme val="minor"/>
          </rPr>
          <t>EBITDA margin 2033 = 33%. CALIBRATED: R&amp;D scenarios (12/15/18 Bear/Base/Bull), G&amp;A (13/11/9), SBC tapering 14%→8%. Squarely in methodology terminal range (28-32%, slight edge over). Per Assumptions C40/D40/E40, C46/D46/E46, F47/F48.</t>
        </r>
      </text>
    </comment>
    <comment ref="D39" authorId="0" shapeId="0" xr:uid="{A6C0CB2D-3DD8-446F-B22A-1F9F90448F54}">
      <text>
        <r>
          <rPr>
            <sz val="11"/>
            <color theme="1"/>
            <rFont val="Calibri"/>
            <family val="2"/>
            <scheme val="minor"/>
          </rPr>
          <t>Interest income on idle cash — NOW WIRED. Uses prior-year ending cash × yield (Assumptions F66, 3.5% base). Non-circular by construction. Does NOT flow into UFCF (DCF uses NOPAT, not NI).</t>
        </r>
      </text>
    </comment>
    <comment ref="E39" authorId="0" shapeId="0" xr:uid="{0262E4E5-1198-48B2-970B-B1FFFCB283E9}">
      <text>
        <r>
          <rPr>
            <sz val="11"/>
            <color rgb="FF000000"/>
            <rFont val="Calibri"/>
            <family val="2"/>
          </rPr>
          <t xml:space="preserve">2026: prior-yr ending cash + half of Series G proceeds (deployed Q1, half-year convention) </t>
        </r>
        <r>
          <rPr>
            <sz val="11"/>
            <color rgb="FF000000"/>
            <rFont val="Calibri"/>
            <family val="2"/>
          </rPr>
          <t>×</t>
        </r>
        <r>
          <rPr>
            <sz val="11"/>
            <color rgb="FF000000"/>
            <rFont val="Calibri"/>
            <family val="2"/>
          </rPr>
          <t xml:space="preserve"> yield.</t>
        </r>
      </text>
    </comment>
    <comment ref="D41" authorId="0" shapeId="0" xr:uid="{0B0D33CD-886A-41FF-9777-6EB785084765}">
      <text>
        <r>
          <rPr>
            <sz val="11"/>
            <color theme="1"/>
            <rFont val="Calibri"/>
            <family val="2"/>
            <scheme val="minor"/>
          </rPr>
          <t>Tax = MAX(0, Pretax − NOL utilized) × 23% effective rate. NOL utilization on row 47 (capped at 80% of pretax per TCJA). Schedule rows 44-48.</t>
        </r>
      </text>
    </comment>
    <comment ref="L43" authorId="0" shapeId="0" xr:uid="{286B1F4A-61A8-485B-B5C4-E2A3EAFA6334}">
      <text>
        <r>
          <rPr>
            <sz val="11"/>
            <color theme="1"/>
            <rFont val="Calibri"/>
            <family val="2"/>
            <scheme val="minor"/>
          </rPr>
          <t>Net Margin 2033 = 22%. Reflects calibrated OpEx tapers (R&amp;D/G&amp;A/SBC) + NOL + interest income. UFCF / DCF NOT affected by NI items (uses NOPAT, unlevered).</t>
        </r>
      </text>
    </comment>
    <comment ref="C46" authorId="0" shapeId="0" xr:uid="{39EC7610-01BA-433A-A4A8-BF41F74FC0E5}">
      <text>
        <r>
          <rPr>
            <sz val="11"/>
            <color theme="1"/>
            <rFont val="Calibri"/>
            <family val="2"/>
            <scheme val="minor"/>
          </rPr>
          <t>Pre-2025 NOL balance assumed $0. WHOOP has been pre-tax loss-making historically; revise if known carryforward exists.</t>
        </r>
      </text>
    </comment>
    <comment ref="D48" authorId="0" shapeId="0" xr:uid="{BB041C0B-1061-4F59-8BE9-8F29A5D5D7A3}">
      <text>
        <r>
          <rPr>
            <sz val="11"/>
            <color rgb="FF000000"/>
            <rFont val="Calibri"/>
            <family val="2"/>
          </rPr>
          <t>NOL utilization capped at 80% of current pretax income (post-TCJA rule). Cannot exceed beginning NOL balance.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F18" authorId="0" shapeId="0" xr:uid="{768607A7-240E-457E-9C83-B2B473199A65}">
      <text>
        <r>
          <rPr>
            <sz val="11"/>
            <color theme="1"/>
            <rFont val="Calibri"/>
            <family val="2"/>
            <scheme val="minor"/>
          </rPr>
          <t>FLAG: 2027 UFCF dips to $15M from $67M in 2026 — cascade from P&amp;L 2027 EBITDA dip (gross adds bulge → hardware COGS spike). Same root cause as P&amp;L F31. Mechanically correct.</t>
        </r>
      </text>
    </comment>
    <comment ref="L18" authorId="0" shapeId="0" xr:uid="{0A39DE51-46B0-4369-9F81-B9C7F924EC03}">
      <text>
        <r>
          <rPr>
            <sz val="11"/>
            <color theme="1"/>
            <rFont val="Calibri"/>
            <family val="2"/>
            <scheme val="minor"/>
          </rPr>
          <t>FCF margin trajectory: 13% (2026) → 27% (2033). Improved from prior 8% → 19% before WC wiring. Within methodology priors (Phase 3: 20-26%, terminal: 25-28%).</t>
        </r>
      </text>
    </comment>
    <comment ref="L22" authorId="0" shapeId="0" xr:uid="{5186CF52-2A2A-4510-9114-E52D0970AA4B}">
      <text>
        <r>
          <rPr>
            <sz val="11"/>
            <color theme="1"/>
            <rFont val="Calibri"/>
            <family val="2"/>
            <scheme val="minor"/>
          </rPr>
          <t>Rule of 40 (Growth + FCF Margin): 86 (2026) → 42 (2033). Methodology check passes (Phase 3 ≥ 20). Healthy cash generation profile.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D8" authorId="0" shapeId="0" xr:uid="{51F56F2A-1758-49FC-B2B6-00F330FA5673}">
      <text>
        <r>
          <rPr>
            <sz val="11"/>
            <color theme="1"/>
            <rFont val="Calibri"/>
            <family val="2"/>
            <scheme val="minor"/>
          </rPr>
          <t>Mid-period assumption: average annual subscriber is 6 months into their contract, so 6 months of revenue still to recognize. → Deferred Rev = Members × ARPU × 0.5</t>
        </r>
      </text>
    </comment>
    <comment ref="D9" authorId="0" shapeId="0" xr:uid="{8F4BD9A7-1B42-4E45-835F-77C14C807093}">
      <text>
        <r>
          <rPr>
            <sz val="11"/>
            <color theme="1"/>
            <rFont val="Calibri"/>
            <family val="2"/>
            <scheme val="minor"/>
          </rPr>
          <t>Inventory = ~45 days of next-year hardware COGS. Reflects buffer stock for new member acquisitions; consumer hardware norm 30-60 days.</t>
        </r>
      </text>
    </comment>
    <comment ref="D10" authorId="0" shapeId="0" xr:uid="{139ED07F-7C72-46C2-93DB-1E4903CF826A}">
      <text>
        <r>
          <rPr>
            <sz val="11"/>
            <color theme="1"/>
            <rFont val="Calibri"/>
            <family val="2"/>
            <scheme val="minor"/>
          </rPr>
          <t>AP = ~18 days of COGS payable. Within 15-20 day range typical for hardware/subscription hybrid.</t>
        </r>
      </text>
    </comment>
    <comment ref="D11" authorId="0" shapeId="0" xr:uid="{14C3E613-B66A-43FD-B543-2907C313AAB9}">
      <text>
        <r>
          <rPr>
            <sz val="11"/>
            <color theme="1"/>
            <rFont val="Calibri"/>
            <family val="2"/>
            <scheme val="minor"/>
          </rPr>
          <t>Plug bucket: prepaids, accrued comp/marketing, other receivables. ~1.5% of revenue is a typical fitness/subscription benchmark.</t>
        </r>
      </text>
    </comment>
    <comment ref="D12" authorId="0" shapeId="0" xr:uid="{07F85D4B-D572-4A89-A8E8-054C8BFDACF5}">
      <text>
        <r>
          <rPr>
            <sz val="11"/>
            <color theme="1"/>
            <rFont val="Calibri"/>
            <family val="2"/>
            <scheme val="minor"/>
          </rPr>
          <t>Cash on BS pre-Series G. Estimate $50-100M from 2024 ops + pre-Series G runway.</t>
        </r>
      </text>
    </comment>
    <comment ref="D13" authorId="0" shapeId="0" xr:uid="{C483F1B5-1250-483C-9133-7A78E936B737}">
      <text>
        <r>
          <rPr>
            <sz val="11"/>
            <color theme="1"/>
            <rFont val="Calibri"/>
            <family val="2"/>
            <scheme val="minor"/>
          </rPr>
          <t>$575M Series G closed Q1 2026, lands in 2026 column.</t>
        </r>
      </text>
    </comment>
    <comment ref="L17" authorId="0" shapeId="0" xr:uid="{4C3CB2DB-30EC-4E06-96A0-CB790F92050F}">
      <text>
        <r>
          <rPr>
            <sz val="11"/>
            <color theme="1"/>
            <rFont val="Calibri"/>
            <family val="2"/>
            <scheme val="minor"/>
          </rPr>
          <t>2033 inventory = 2032 × 1.05 (no 2034 hardware COGS available; assume 5% growth)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C24" authorId="0" shapeId="0" xr:uid="{5EFD5891-BFCB-4AA4-81B6-BE317CC8A692}">
      <text>
        <r>
          <rPr>
            <sz val="11"/>
            <color rgb="FF000000"/>
            <rFont val="Calibri"/>
            <family val="2"/>
          </rPr>
          <t>PASS: 2.9% divergence between Exit Multiple TV ($11.45B at 3.5x) and Gordon TV ($11.78B at 3% perpetuity). Methodology Sec 4 threshold: 25%. Cleared after exit multiple tightened from 4.5x to 3.5x (Gordon already at 3%, gap closed).</t>
        </r>
      </text>
    </comment>
    <comment ref="C25" authorId="0" shapeId="0" xr:uid="{4C5BD419-911C-45D8-886E-7870CFAA4349}">
      <text>
        <r>
          <rPr>
            <sz val="11"/>
            <color rgb="FF000000"/>
            <rFont val="Calibri"/>
            <family val="2"/>
          </rPr>
          <t>Selected = Exit Multiple per Assumptions F76. To switch to Gordon, change to =C29.</t>
        </r>
      </text>
    </comment>
    <comment ref="C26" authorId="0" shapeId="0" xr:uid="{0E568DA4-CE97-429E-9112-C9C37BCB7B4C}">
      <text>
        <r>
          <rPr>
            <sz val="11"/>
            <color theme="1"/>
            <rFont val="Calibri"/>
            <family val="2"/>
            <scheme val="minor"/>
          </rPr>
          <t>TV is at end of 2033 (year 8.5 mid-year equivalent). Discounted using K13 = 7.5-year discount factor (TV received at end of forecast period, discounted same as terminal year FCF).</t>
        </r>
      </text>
    </comment>
    <comment ref="C27" authorId="0" shapeId="0" xr:uid="{3D89DECD-4B56-4B23-AA64-F2BFCB3E1D11}">
      <text>
        <r>
          <rPr>
            <sz val="11"/>
            <color theme="1"/>
            <rFont val="Calibri"/>
            <family val="2"/>
            <scheme val="minor"/>
          </rPr>
          <t>PASS: TV is 72% of total EV. Methodology Sec 4 threshold: 75%. Cleared after WC schedule wiring (forecast PV rose from $1.3B to $2.0B) and exit multiple tightening (TV dropped from $16.1B to $11.5B at 3.5x). Acceptable structure for hypergrowth profile.</t>
        </r>
      </text>
    </comment>
    <comment ref="C37" authorId="0" shapeId="0" xr:uid="{619BA4F1-E636-7F4F-ABB5-BF525332029F}">
      <text>
        <r>
          <rPr>
            <b/>
            <sz val="10"/>
            <color rgb="FF000000"/>
            <rFont val="Tahoma"/>
            <family val="2"/>
          </rPr>
          <t>Cash add-back sourced from WC &amp; Cash!E33 (year-end 2026 ending cash, post-Series G close). Valuation as-of date = Series G close (Mar 2026). Includes: $75M beginning + $247M 2025 UFCF + $575M Series G proceeds + $112M 2026 UFCF = $1,008M. Was previously $700M hardcoded placeholder, then briefly $322M (year-end 2025, pre-Series G).</t>
        </r>
      </text>
    </comment>
    <comment ref="C45" authorId="0" shapeId="0" xr:uid="{A63CBE75-3251-C24B-82B5-B92E04CA8555}">
      <text>
        <r>
          <rPr>
            <b/>
            <sz val="10"/>
            <color rgb="FF000000"/>
            <rFont val="Tahoma"/>
            <family val="2"/>
          </rPr>
          <t>Landon Brice:</t>
        </r>
        <r>
          <rPr>
            <sz val="10"/>
            <color rgb="FF000000"/>
            <rFont val="Tahoma"/>
            <family val="2"/>
          </rPr>
          <t xml:space="preserve">
From RealOptions!B36 — active scenario expected option value. Replaces 3-cluster correlated framework. Single binary-gate decision tree on healthcare reimbursement pathway. Probability × eligible members × payer ARPU × medtech multiple × discount factor.</t>
        </r>
      </text>
    </comment>
    <comment ref="C46" authorId="0" shapeId="0" xr:uid="{5EBBBBFB-0165-46D0-9D7E-AE0F7D43D3DE}">
      <text>
        <r>
          <rPr>
            <sz val="11"/>
            <color rgb="FF000000"/>
            <rFont val="Calibri"/>
            <family val="2"/>
          </rPr>
          <t>Single-source from active scenario (C51). Was previously sum of 3 correlated clusters — now single binary-gate. Bear/Bull range shown in C49/C50 for diagnostic visibility.</t>
        </r>
      </text>
    </comment>
    <comment ref="C50" authorId="0" shapeId="0" xr:uid="{72C913BC-4819-1741-8AF7-EF2F4617F56B}">
      <text>
        <r>
          <rPr>
            <b/>
            <sz val="10"/>
            <color rgb="FF000000"/>
            <rFont val="Tahoma"/>
            <family val="2"/>
          </rPr>
          <t>Landon Brice:</t>
        </r>
        <r>
          <rPr>
            <sz val="10"/>
            <color rgb="FF000000"/>
            <rFont val="Tahoma"/>
            <family val="2"/>
          </rPr>
          <t xml:space="preserve">
Equity Value (post net debt + cash bridge). Apples-to-apples vs Series G $10.1B post-money.</t>
        </r>
      </text>
    </comment>
    <comment ref="C51" authorId="0" shapeId="0" xr:uid="{9EE3C429-29D0-D24B-BC18-C4C53BD912B6}">
      <text>
        <r>
          <rPr>
            <b/>
            <sz val="10"/>
            <color rgb="FF000000"/>
            <rFont val="Tahoma"/>
            <family val="2"/>
          </rPr>
          <t>Landon Brice:</t>
        </r>
        <r>
          <rPr>
            <sz val="10"/>
            <color rgb="FF000000"/>
            <rFont val="Tahoma"/>
            <family val="2"/>
          </rPr>
          <t xml:space="preserve">
Equity Value + Real Options expected value. Comparable to Series G post-money.</t>
        </r>
      </text>
    </comment>
    <comment ref="C52" authorId="0" shapeId="0" xr:uid="{399907FC-5FA5-4E5C-A274-29523E0EDD10}">
      <text>
        <r>
          <rPr>
            <sz val="11"/>
            <color theme="1"/>
            <rFont val="Calibri"/>
            <family val="2"/>
            <scheme val="minor"/>
          </rPr>
          <t>Series G $10.1B mark, March 2026. From Pitchbook/press.</t>
        </r>
      </text>
    </comment>
    <comment ref="C53" authorId="0" shapeId="0" xr:uid="{3800A337-221E-4108-899F-F655AA68C339}">
      <text>
        <r>
          <rPr>
            <sz val="11"/>
            <color theme="1"/>
            <rFont val="Calibri"/>
            <family val="2"/>
            <scheme val="minor"/>
          </rPr>
          <t>Base DCF Equity Value $8.31B vs Series G $10.1B post-money = -17.7%. Apples-to-apples comparison (was previously EV vs equity, off by net debt+cash bridge). Reflects (a) WC schedule wired, (b) cash add-back at Series G close ($1,008M), (c) exit multiple tightened to 3.5x.</t>
        </r>
      </text>
    </comment>
    <comment ref="C54" authorId="0" shapeId="0" xr:uid="{6A71D5AE-90F6-48C5-A33B-0B5566A8920D}">
      <text>
        <r>
          <rPr>
            <sz val="11"/>
            <color theme="1"/>
            <rFont val="Calibri"/>
            <family val="2"/>
            <scheme val="minor"/>
          </rPr>
          <t>DCF + Options $9.01B vs Series G $10.1B = -10.8%. Even crediting healthcare option at Base probability, DCF + Options sits ~11% below Series G mark. Series G defensible only if both base case overdelivers AND healthcare materializes.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J17" authorId="0" shapeId="0" xr:uid="{0AF18AD4-5C17-40B7-BC2C-53F480776B7B}">
      <text>
        <r>
          <rPr>
            <sz val="11"/>
            <color theme="1"/>
            <rFont val="Calibri"/>
            <family val="2"/>
            <scheme val="minor"/>
          </rPr>
          <t>Source: 3Y aggregate income tax / pre-tax income from 10-K via StockAnalysis (FY23-FY25).</t>
        </r>
      </text>
    </comment>
    <comment ref="K17" authorId="0" shapeId="0" xr:uid="{421BBA9B-2D56-46AE-A750-DA95755D5EB2}">
      <text>
        <r>
          <rPr>
            <sz val="11"/>
            <color theme="1"/>
            <rFont val="Calibri"/>
            <family val="2"/>
            <scheme val="minor"/>
          </rPr>
          <t>GRMN Swiss/Olathe domicile = 21%.</t>
        </r>
      </text>
    </comment>
    <comment ref="L17" authorId="0" shapeId="0" xr:uid="{AF2183F0-8AE0-4609-BEB3-F68A32717BD2}">
      <text>
        <r>
          <rPr>
            <sz val="11"/>
            <color theme="1"/>
            <rFont val="Calibri"/>
            <family val="2"/>
            <scheme val="minor"/>
          </rPr>
          <t>Effective rate (3Y aggregate) used for profitable comps.</t>
        </r>
      </text>
    </comment>
    <comment ref="J18" authorId="0" shapeId="0" xr:uid="{97D661AF-0D94-471A-88E0-03DE3F45ECEB}">
      <text>
        <r>
          <rPr>
            <sz val="11"/>
            <color theme="1"/>
            <rFont val="Calibri"/>
            <family val="2"/>
            <scheme val="minor"/>
          </rPr>
          <t>Loss-maker — aggregate pre-tax income negative; use marginal rate per methodology.</t>
        </r>
      </text>
    </comment>
    <comment ref="L18" authorId="0" shapeId="0" xr:uid="{53CE228C-8733-4B8B-A822-94A344624338}">
      <text>
        <r>
          <rPr>
            <sz val="11"/>
            <color theme="1"/>
            <rFont val="Calibri"/>
            <family val="2"/>
            <scheme val="minor"/>
          </rPr>
          <t>Marginal rate substituted for loss-makers.</t>
        </r>
      </text>
    </comment>
    <comment ref="M18" authorId="0" shapeId="0" xr:uid="{040AAA25-6A3D-4D91-86D2-BD58D510889E}">
      <text>
        <r>
          <rPr>
            <sz val="11"/>
            <color theme="1"/>
            <rFont val="Calibri"/>
            <family val="2"/>
            <scheme val="minor"/>
          </rPr>
          <t>PTON βᵤ likely upward-biased by distress dynamics; SPOT is the cleaner B2 anchor.</t>
        </r>
      </text>
    </comment>
    <comment ref="K19" authorId="0" shapeId="0" xr:uid="{BB63DF53-3F1B-472B-9FE2-31ADB4BCBB37}">
      <text>
        <r>
          <rPr>
            <sz val="11"/>
            <color theme="1"/>
            <rFont val="Calibri"/>
            <family val="2"/>
            <scheme val="minor"/>
          </rPr>
          <t>SPOT Lux statutory + Swedish ops blended.</t>
        </r>
      </text>
    </comment>
    <comment ref="K21" authorId="0" shapeId="0" xr:uid="{31BD3796-A07B-4B7E-B8D2-DBB022B99DB0}">
      <text>
        <r>
          <rPr>
            <sz val="11"/>
            <color theme="1"/>
            <rFont val="Calibri"/>
            <family val="2"/>
            <scheme val="minor"/>
          </rPr>
          <t>RMD US/dual-listed AU = 27% blended.</t>
        </r>
      </text>
    </comment>
    <comment ref="J22" authorId="0" shapeId="0" xr:uid="{E938CB56-CF71-489E-A4D5-18350F652BCA}">
      <text>
        <r>
          <rPr>
            <sz val="11"/>
            <color theme="1"/>
            <rFont val="Calibri"/>
            <family val="2"/>
            <scheme val="minor"/>
          </rPr>
          <t>Loss-maker — use marginal rate.</t>
        </r>
      </text>
    </comment>
    <comment ref="M22" authorId="0" shapeId="0" xr:uid="{50F1AA17-D9A9-4CBC-846E-14DE4D624A05}">
      <text>
        <r>
          <rPr>
            <sz val="11"/>
            <color theme="1"/>
            <rFont val="Calibri"/>
            <family val="2"/>
            <scheme val="minor"/>
          </rPr>
          <t>MASI deal-pending compression: stock pinned to $180 since Feb 2026 Danaher deal announcement — recent vol artificially low. MASI exits comp set at H2 2026 close.</t>
        </r>
      </text>
    </comment>
    <comment ref="E23" authorId="0" shapeId="0" xr:uid="{7294CCD8-5C31-4A7C-94D5-F2234E40E4C3}">
      <text>
        <r>
          <rPr>
            <sz val="11"/>
            <color theme="1"/>
            <rFont val="Calibri"/>
            <family val="2"/>
            <scheme val="minor"/>
          </rPr>
          <t>Lowest R² in set; idiosyncratic variance dominates (reimbursement risk, FDA actions, payer mix).</t>
        </r>
      </text>
    </comment>
    <comment ref="F23" authorId="0" shapeId="0" xr:uid="{56E2C613-1264-40DA-B02C-62584BD9308E}">
      <text>
        <r>
          <rPr>
            <sz val="11"/>
            <color theme="1"/>
            <rFont val="Calibri"/>
            <family val="2"/>
            <scheme val="minor"/>
          </rPr>
          <t>Estimate.</t>
        </r>
      </text>
    </comment>
    <comment ref="G23" authorId="0" shapeId="0" xr:uid="{C51A658F-DBD9-4317-B05A-9597A1A97B78}">
      <text>
        <r>
          <rPr>
            <sz val="11"/>
            <color theme="1"/>
            <rFont val="Calibri"/>
            <family val="2"/>
            <scheme val="minor"/>
          </rPr>
          <t>Convertible debt: treating as debt = primary (D/E 0.18 → βᵤ 0.774). Treating as equity = upper sensitivity (βᵤ 0.877).</t>
        </r>
      </text>
    </comment>
    <comment ref="M23" authorId="0" shapeId="0" xr:uid="{AAF00A1B-408F-4763-9228-DF2AA8410F6D}">
      <text>
        <r>
          <rPr>
            <sz val="11"/>
            <color theme="1"/>
            <rFont val="Calibri"/>
            <family val="2"/>
            <scheme val="minor"/>
          </rPr>
          <t>Methodology Sec 2 biggest gain: 2021 CMS reimbursement crash (-83% over 7mo) is OUTSIDE the 3Y window.</t>
        </r>
      </text>
    </comment>
    <comment ref="C62" authorId="0" shapeId="0" xr:uid="{B70C201A-33DE-4E2B-9BCE-DCD2130C4C74}">
      <text>
        <r>
          <rPr>
            <sz val="11"/>
            <color theme="1"/>
            <rFont val="Calibri"/>
            <family val="2"/>
            <scheme val="minor"/>
          </rPr>
          <t>Avg of UK 5.01%, Germany/France/Sweden/Switzerland/Netherlands ~4.23-5.01%.</t>
        </r>
      </text>
    </comment>
    <comment ref="C63" authorId="0" shapeId="0" xr:uid="{79279B60-CBBD-4BF6-B768-E85B9FC82EBD}">
      <text>
        <r>
          <rPr>
            <sz val="11"/>
            <color theme="1"/>
            <rFont val="Calibri"/>
            <family val="2"/>
            <scheme val="minor"/>
          </rPr>
          <t>Avg of Japan 5.14%, Australia 4.23%, Singapore 4.23%.</t>
        </r>
      </text>
    </comment>
    <comment ref="C64" authorId="0" shapeId="0" xr:uid="{AB917B02-D5C8-4D4B-A47A-3ABF21EEE81B}">
      <text>
        <r>
          <rPr>
            <sz val="11"/>
            <color theme="1"/>
            <rFont val="Calibri"/>
            <family val="2"/>
            <scheme val="minor"/>
          </rPr>
          <t>Estimate.</t>
        </r>
      </text>
    </comment>
    <comment ref="C79" authorId="0" shapeId="0" xr:uid="{45506C36-5CD4-4BF3-96DD-EA43FC019CA8}">
      <text>
        <r>
          <rPr>
            <sz val="11"/>
            <color theme="1"/>
            <rFont val="Calibri"/>
            <family val="2"/>
            <scheme val="minor"/>
          </rPr>
          <t>Damodaran sector WACC ex-CSRP/liquidity = Rf + ERP*β + size = 8.85% Base. The 10% used in spec rounding is the WACC inclusive of CSRP.</t>
        </r>
      </text>
    </comment>
    <comment ref="B85" authorId="0" shapeId="0" xr:uid="{902F16F9-58CE-4262-918B-AAB16C722B07}">
      <text>
        <r>
          <rPr>
            <sz val="11"/>
            <color theme="1"/>
            <rFont val="Calibri"/>
            <family val="2"/>
            <scheme val="minor"/>
          </rPr>
          <t>Oura Health tender Jan 2026 at 25% discount to Oct 2025 Series E. Source: Bloomberg / research/secondary-market-pricing.md.</t>
        </r>
      </text>
    </comment>
    <comment ref="E101" authorId="0" shapeId="0" xr:uid="{2B6C27CD-58BB-4DA4-8828-7E47FF9B44D0}">
      <text>
        <r>
          <rPr>
            <sz val="11"/>
            <color theme="1"/>
            <rFont val="Calibri"/>
            <family val="2"/>
            <scheme val="minor"/>
          </rPr>
          <t>Revenue-weighted ERP at 42% intl mix from Section 5.</t>
        </r>
      </text>
    </comment>
    <comment ref="E102" authorId="0" shapeId="0" xr:uid="{D2EB9C22-CDB8-47C5-B9AD-85A49EF1FCBA}">
      <text>
        <r>
          <rPr>
            <sz val="11"/>
            <color theme="1"/>
            <rFont val="Calibri"/>
            <family val="2"/>
            <scheme val="minor"/>
          </rPr>
          <t>Bottom-up bucket-weighted, ex-PTON. From Section 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Landon Brice</author>
  </authors>
  <commentList>
    <comment ref="B6" authorId="0" shapeId="0" xr:uid="{8240B431-BA8F-F340-8BAC-CCDF50E0DC17}">
      <text>
        <r>
          <rPr>
            <b/>
            <sz val="10"/>
            <color rgb="FF000000"/>
            <rFont val="Tahoma"/>
            <family val="2"/>
          </rPr>
          <t>Landon Brice:</t>
        </r>
        <r>
          <rPr>
            <sz val="10"/>
            <color rgb="FF000000"/>
            <rFont val="Tahoma"/>
            <family val="2"/>
          </rPr>
          <t xml:space="preserve">
Live link to Revenue Build D20 (Option B ARPU build).</t>
        </r>
      </text>
    </comment>
    <comment ref="B7" authorId="0" shapeId="0" xr:uid="{2BA5CA60-FA8D-0645-990C-AF31AA4F5CA4}">
      <text>
        <r>
          <rPr>
            <b/>
            <sz val="10"/>
            <color rgb="FF000000"/>
            <rFont val="Tahoma"/>
            <family val="2"/>
          </rPr>
          <t>Landon Brice:</t>
        </r>
        <r>
          <rPr>
            <sz val="10"/>
            <color rgb="FF000000"/>
            <rFont val="Tahoma"/>
            <family val="2"/>
          </rPr>
          <t xml:space="preserve">
Series G press release / Methodology Sec 3: $1.1B = December 2025 monthly bookings × 12. Confirmed.</t>
        </r>
      </text>
    </comment>
    <comment ref="B8" authorId="0" shapeId="0" xr:uid="{F6359A03-41EC-2549-B2AE-EBF22C3B82D1}">
      <text>
        <r>
          <rPr>
            <b/>
            <sz val="10"/>
            <color rgb="FF000000"/>
            <rFont val="Tahoma"/>
            <family val="2"/>
          </rPr>
          <t>Landon Brice:</t>
        </r>
        <r>
          <rPr>
            <sz val="10"/>
            <color rgb="FF000000"/>
            <rFont val="Tahoma"/>
            <family val="2"/>
          </rPr>
          <t xml:space="preserve">
Live link to P&amp;L E16. Forward-looking GM matches what NTM comp multiples are pricing. Spec assumed 77.5% steady-state; live model 2026E GM is close enough to be true.</t>
        </r>
      </text>
    </comment>
    <comment ref="B11" authorId="0" shapeId="0" xr:uid="{AFEBE321-EB45-E64D-8739-6632922E2316}">
      <text>
        <r>
          <rPr>
            <b/>
            <sz val="10"/>
            <color rgb="FF000000"/>
            <rFont val="Tahoma"/>
            <family val="2"/>
          </rPr>
          <t>Landon Brice:</t>
        </r>
        <r>
          <rPr>
            <sz val="10"/>
            <color rgb="FF000000"/>
            <rFont val="Tahoma"/>
            <family val="2"/>
          </rPr>
          <t xml:space="preserve">
Series G press release: 103% YoY. Used for narrative; NTM growth used for regression scatter.</t>
        </r>
      </text>
    </comment>
    <comment ref="B12" authorId="0" shapeId="0" xr:uid="{A6C9E520-7428-C04D-8836-F5FAE2A9AC07}">
      <text>
        <r>
          <rPr>
            <b/>
            <sz val="10"/>
            <color rgb="FF000000"/>
            <rFont val="Tahoma"/>
            <family val="2"/>
          </rPr>
          <t>Landon Brice:</t>
        </r>
        <r>
          <rPr>
            <sz val="10"/>
            <color rgb="FF000000"/>
            <rFont val="Tahoma"/>
            <family val="2"/>
          </rPr>
          <t xml:space="preserve">
Decelerating; pulled from DCF Phase 1 input. Used in growth-adjusted scatter regression.</t>
        </r>
      </text>
    </comment>
    <comment ref="B13" authorId="0" shapeId="0" xr:uid="{099FB44D-173B-EE46-9163-41A084B01F05}">
      <text>
        <r>
          <rPr>
            <b/>
            <sz val="10"/>
            <color rgb="FF000000"/>
            <rFont val="Tahoma"/>
            <family val="2"/>
          </rPr>
          <t>Landon Brice:</t>
        </r>
        <r>
          <rPr>
            <sz val="10"/>
            <color rgb="FF000000"/>
            <rFont val="Tahoma"/>
            <family val="2"/>
          </rPr>
          <t xml:space="preserve">
Series G post-money March 2026, Pitchbook + press.</t>
        </r>
      </text>
    </comment>
    <comment ref="E29" authorId="0" shapeId="0" xr:uid="{2A560FF9-38CB-FA42-BBE1-4D3CCE29DCB5}">
      <text>
        <r>
          <rPr>
            <b/>
            <sz val="10"/>
            <color rgb="FF000000"/>
            <rFont val="Tahoma"/>
            <family val="2"/>
          </rPr>
          <t>Landon Brice:</t>
        </r>
        <r>
          <rPr>
            <sz val="10"/>
            <color rgb="FF000000"/>
            <rFont val="Tahoma"/>
            <family val="2"/>
          </rPr>
          <t xml:space="preserve">
EV/TTM Rev: $12.06B Pitchbook estimate ÷ $927M TTM revenue.</t>
        </r>
      </text>
    </comment>
    <comment ref="H29" authorId="0" shapeId="0" xr:uid="{11642A1A-7F06-8F4B-977A-5A6966D3E052}">
      <text>
        <r>
          <rPr>
            <b/>
            <sz val="10"/>
            <color rgb="FF000000"/>
            <rFont val="Tahoma"/>
            <family val="2"/>
          </rPr>
          <t>Landon Brice:</t>
        </r>
        <r>
          <rPr>
            <sz val="10"/>
            <color rgb="FF000000"/>
            <rFont val="Tahoma"/>
            <family val="2"/>
          </rPr>
          <t xml:space="preserve">
Estimated GM, hardware-heavy mix.</t>
        </r>
      </text>
    </comment>
    <comment ref="B73" authorId="0" shapeId="0" xr:uid="{0D40809C-81EA-C94B-9FAF-168E63B52E4F}">
      <text>
        <r>
          <rPr>
            <b/>
            <sz val="10"/>
            <color rgb="FF000000"/>
            <rFont val="Tahoma"/>
            <family val="2"/>
          </rPr>
          <t>Landon Brice:</t>
        </r>
        <r>
          <rPr>
            <sz val="10"/>
            <color rgb="FF000000"/>
            <rFont val="Tahoma"/>
            <family val="2"/>
          </rPr>
          <t xml:space="preserve">
T2 Subscription Executed median, recognized GP basis. EV/GP normalizes WHOOP's 75% GM advantage. This is the spec's recommended single defensible point estimate.</t>
        </r>
      </text>
    </comment>
    <comment ref="B79" authorId="0" shapeId="0" xr:uid="{5D348A0E-55A7-3740-8D94-BB36442F9E93}">
      <text>
        <r>
          <rPr>
            <b/>
            <sz val="10"/>
            <color rgb="FF000000"/>
            <rFont val="Tahoma"/>
            <family val="2"/>
          </rPr>
          <t>Landon Brice:</t>
        </r>
        <r>
          <rPr>
            <sz val="10"/>
            <color rgb="FF000000"/>
            <rFont val="Tahoma"/>
            <family val="2"/>
          </rPr>
          <t xml:space="preserve">
Pitchbook estimate; Series E post-money $11.0B.</t>
        </r>
      </text>
    </comment>
    <comment ref="C117" authorId="0" shapeId="0" xr:uid="{E80BC10F-146D-7342-9D1D-D4728AD6B97F}">
      <text>
        <r>
          <rPr>
            <b/>
            <sz val="10"/>
            <color rgb="FF000000"/>
            <rFont val="Tahoma"/>
            <family val="2"/>
          </rPr>
          <t>Landon Brice:</t>
        </r>
        <r>
          <rPr>
            <sz val="10"/>
            <color rgb="FF000000"/>
            <rFont val="Tahoma"/>
            <family val="2"/>
          </rPr>
          <t xml:space="preserve">
</t>
        </r>
        <r>
          <rPr>
            <sz val="10"/>
            <color rgb="FF000000"/>
            <rFont val="Tahoma"/>
            <family val="2"/>
          </rPr>
          <t>Series G EV/GP recognized = $10.1B / $435M GP.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Landon Brice</author>
    <author xml:space="preserve">Landon Brice </author>
  </authors>
  <commentList>
    <comment ref="C7" authorId="0" shapeId="0" xr:uid="{B52CE114-20B9-4142-AF39-22DCB98FBCBF}">
      <text>
        <r>
          <rPr>
            <b/>
            <sz val="10"/>
            <color rgb="FF000000"/>
            <rFont val="Tahoma"/>
            <family val="2"/>
          </rPr>
          <t>Landon Brice:</t>
        </r>
        <r>
          <rPr>
            <sz val="10"/>
            <color rgb="FF000000"/>
            <rFont val="Tahoma"/>
            <family val="2"/>
          </rPr>
          <t xml:space="preserve">
</t>
        </r>
        <r>
          <rPr>
            <sz val="10"/>
            <color rgb="FF000000"/>
            <rFont val="Tahoma"/>
            <family val="2"/>
          </rPr>
          <t>DCF Bear (Sensitivity!B44) + Bear scenario healthcare option (RealOptions!B32). Additive, scenario-aligned (no cross-scenario mixing).</t>
        </r>
      </text>
    </comment>
    <comment ref="D7" authorId="0" shapeId="0" xr:uid="{CA251C8C-54C7-BA40-B8E4-BD949A162344}">
      <text>
        <r>
          <rPr>
            <b/>
            <sz val="10"/>
            <color rgb="FF000000"/>
            <rFont val="Tahoma"/>
            <family val="2"/>
          </rPr>
          <t>Landon Brice:</t>
        </r>
        <r>
          <rPr>
            <sz val="10"/>
            <color rgb="FF000000"/>
            <rFont val="Tahoma"/>
            <family val="2"/>
          </rPr>
          <t xml:space="preserve">
</t>
        </r>
        <r>
          <rPr>
            <sz val="10"/>
            <color rgb="FF000000"/>
            <rFont val="Tahoma"/>
            <family val="2"/>
          </rPr>
          <t>DCF Base (Sensitivity!C44) + Base scenario healthcare option (RealOptions!C32). Additive.</t>
        </r>
      </text>
    </comment>
    <comment ref="E7" authorId="0" shapeId="0" xr:uid="{BF9C194F-701E-5048-BEF4-117C07787B2F}">
      <text>
        <r>
          <rPr>
            <b/>
            <sz val="10"/>
            <color rgb="FF000000"/>
            <rFont val="Tahoma"/>
            <family val="2"/>
          </rPr>
          <t>Landon Brice:</t>
        </r>
        <r>
          <rPr>
            <sz val="10"/>
            <color rgb="FF000000"/>
            <rFont val="Tahoma"/>
            <family val="2"/>
          </rPr>
          <t xml:space="preserve">
</t>
        </r>
        <r>
          <rPr>
            <sz val="10"/>
            <color rgb="FF000000"/>
            <rFont val="Tahoma"/>
            <family val="2"/>
          </rPr>
          <t>DCF Bull (Sensitivity!D44) + Bull scenario healthcare option (RealOptions!D32). Additive, scenario-aligned.</t>
        </r>
      </text>
    </comment>
    <comment ref="C8" authorId="0" shapeId="0" xr:uid="{BE57BC98-F387-F143-AF9B-CF77A76AE691}">
      <text>
        <r>
          <rPr>
            <b/>
            <sz val="10"/>
            <color rgb="FF000000"/>
            <rFont val="Tahoma"/>
            <family val="2"/>
          </rPr>
          <t>Landon Brice:</t>
        </r>
        <r>
          <rPr>
            <sz val="10"/>
            <color rgb="FF000000"/>
            <rFont val="Tahoma"/>
            <family val="2"/>
          </rPr>
          <t xml:space="preserve">
Low: Thesis 1 (Failed Pivot) median EV/Rev × bookings. Bear floor anchor. SPEC FLAG: mixed basis across endpoints (this row uses bookings; Base row uses recognized GP). Defensible per thesis-anchored framework but worth noting if reviewer asks why bases differ.</t>
        </r>
      </text>
    </comment>
    <comment ref="D8" authorId="0" shapeId="0" xr:uid="{610FF331-E3FE-714F-A288-FD589684023F}">
      <text>
        <r>
          <rPr>
            <b/>
            <sz val="10"/>
            <color rgb="FF000000"/>
            <rFont val="Tahoma"/>
            <family val="2"/>
          </rPr>
          <t>Landon Brice:</t>
        </r>
        <r>
          <rPr>
            <sz val="10"/>
            <color rgb="FF000000"/>
            <rFont val="Tahoma"/>
            <family val="2"/>
          </rPr>
          <t xml:space="preserve">
Base: Thesis 2 (Subscription Executed) median EV/GP × recognized GP. Most defensible single point per spec. EV/GP normalizes WHOOP's 75% GM advantage. SPEC FLAG: mixed basis with Low/High rows (this uses recognized; others use bookings).</t>
        </r>
      </text>
    </comment>
    <comment ref="E8" authorId="0" shapeId="0" xr:uid="{BAD93703-4001-274C-A166-2C43B6BDE6CE}">
      <text>
        <r>
          <rPr>
            <b/>
            <sz val="10"/>
            <color rgb="FF000000"/>
            <rFont val="Tahoma"/>
            <family val="2"/>
          </rPr>
          <t>Landon Brice:</t>
        </r>
        <r>
          <rPr>
            <sz val="10"/>
            <color rgb="FF000000"/>
            <rFont val="Tahoma"/>
            <family val="2"/>
          </rPr>
          <t xml:space="preserve">
</t>
        </r>
        <r>
          <rPr>
            <sz val="10"/>
            <color rgb="FF000000"/>
            <rFont val="Tahoma"/>
            <family val="2"/>
          </rPr>
          <t xml:space="preserve">High: Thesis 2 (Subscription Executed) median EV/GP </t>
        </r>
        <r>
          <rPr>
            <sz val="10"/>
            <color rgb="FF000000"/>
            <rFont val="Tahoma"/>
            <family val="2"/>
          </rPr>
          <t>×</t>
        </r>
        <r>
          <rPr>
            <sz val="10"/>
            <color rgb="FF000000"/>
            <rFont val="Tahoma"/>
            <family val="2"/>
          </rPr>
          <t xml:space="preserve"> bookings GP. Bull anchor on subscription thesis. SPEC FLAG: mixed basis with Base.</t>
        </r>
      </text>
    </comment>
    <comment ref="I8" authorId="0" shapeId="0" xr:uid="{75A05FF0-C102-E848-86E2-A5C06043B010}">
      <text>
        <r>
          <rPr>
            <b/>
            <sz val="10"/>
            <color rgb="FF000000"/>
            <rFont val="Tahoma"/>
            <family val="2"/>
          </rPr>
          <t>Landon Brice:</t>
        </r>
        <r>
          <rPr>
            <sz val="10"/>
            <color rgb="FF000000"/>
            <rFont val="Tahoma"/>
            <family val="2"/>
          </rPr>
          <t xml:space="preserve">
Was 20% in old structure (with row 9 forward-comps at 15%). Consolidated to 35% since the three-thesis framework already captures forward thinking via NTM multiples.</t>
        </r>
      </text>
    </comment>
    <comment ref="C11" authorId="1" shapeId="0" xr:uid="{7169C716-25FC-854D-A3DE-777B6FA002CC}">
      <text>
        <r>
          <rPr>
            <b/>
            <sz val="10"/>
            <color rgb="FF000000"/>
            <rFont val="Tahoma"/>
            <family val="2"/>
          </rPr>
          <t>Landon Brice :</t>
        </r>
        <r>
          <rPr>
            <sz val="10"/>
            <color rgb="FF000000"/>
            <rFont val="Tahoma"/>
            <family val="2"/>
          </rPr>
          <t xml:space="preserve">
Was =DCF!C52/1000 ($10.1B equity). Updated to point at D19 (Series G EV equivalent) so the Last-Round row is on EV basis like the rest of the football field.</t>
        </r>
      </text>
    </comment>
    <comment ref="I14" authorId="0" shapeId="0" xr:uid="{17D9792B-B7AF-4444-B1EF-07D892742774}">
      <text>
        <r>
          <rPr>
            <sz val="11"/>
            <color theme="1"/>
            <rFont val="Calibri"/>
            <family val="2"/>
            <scheme val="minor"/>
          </rPr>
          <t>Must equal 100%. DCF + Comps (three-thesis) + Last-Round + IPO. Row 9 deleted in comps cleanup; weight redistributed to row 8.</t>
        </r>
      </text>
    </comment>
    <comment ref="D18" authorId="1" shapeId="0" xr:uid="{D0C79F7B-6056-D346-B60F-E20557F6FA49}">
      <text>
        <r>
          <rPr>
            <b/>
            <sz val="10"/>
            <color rgb="FF000000"/>
            <rFont val="Tahoma"/>
            <family val="2"/>
          </rPr>
          <t>Landon Brice :</t>
        </r>
        <r>
          <rPr>
            <sz val="10"/>
            <color rgb="FF000000"/>
            <rFont val="Tahoma"/>
            <family val="2"/>
          </rPr>
          <t xml:space="preserve">
Weighted Avg EV vs Series G EV equivalent (D19). Was D16/D17 — mixed EV vs equity, off by the cash/debt bridge.</t>
        </r>
      </text>
    </comment>
    <comment ref="G18" authorId="1" shapeId="0" xr:uid="{984E72D1-5DFF-CA46-81F5-6EE83ECB867D}">
      <text>
        <r>
          <rPr>
            <b/>
            <sz val="10"/>
            <color rgb="FF000000"/>
            <rFont val="Tahoma"/>
            <family val="2"/>
          </rPr>
          <t>Landon Brice :</t>
        </r>
        <r>
          <rPr>
            <sz val="10"/>
            <color rgb="FF000000"/>
            <rFont val="Tahoma"/>
            <family val="2"/>
          </rPr>
          <t xml:space="preserve">
Per-share weighted avg vs per-share Series G. Both sides bridged consistently. Note: G17 is Series G $/sh from D17 equity — formerly the per-share calc double-bridged; now G18 uses the same convention as G16.</t>
        </r>
      </text>
    </comment>
    <comment ref="D19" authorId="1" shapeId="0" xr:uid="{D44C6A9D-0B61-A545-965B-816A0D05BF8A}">
      <text>
        <r>
          <rPr>
            <b/>
            <sz val="10"/>
            <color rgb="FF000000"/>
            <rFont val="Tahoma"/>
            <family val="2"/>
          </rPr>
          <t>Landon Brice :</t>
        </r>
        <r>
          <rPr>
            <sz val="10"/>
            <color rgb="FF000000"/>
            <rFont val="Tahoma"/>
            <family val="2"/>
          </rPr>
          <t xml:space="preserve">
</t>
        </r>
        <r>
          <rPr>
            <sz val="10"/>
            <color rgb="FF000000"/>
            <rFont val="Tahoma"/>
            <family val="2"/>
          </rPr>
          <t>Series G $10.1B post-money equity bridged to EV: equity − cash + debt. Uses Assumptions F63/F62 so it's scenario-aware. Base case: $10.1B − $700M + $10M ≈ $9.41B.</t>
        </r>
      </text>
    </comment>
    <comment ref="D28" authorId="1" shapeId="0" xr:uid="{E16CCA96-3602-DB49-886C-B6C3E055EEF7}">
      <text>
        <r>
          <rPr>
            <b/>
            <sz val="10"/>
            <color rgb="FF000000"/>
            <rFont val="Tahoma"/>
            <family val="2"/>
          </rPr>
          <t>Landon Brice :</t>
        </r>
        <r>
          <rPr>
            <sz val="10"/>
            <color rgb="FF000000"/>
            <rFont val="Tahoma"/>
            <family val="2"/>
          </rPr>
          <t xml:space="preserve">
Median EV across the three independent fundamental methods: DCF base (D6), DCF + Real Options (D7), Public Comps (D8). Cross-check on the DCF anchor since weighted avg = DCF 100%.</t>
        </r>
      </text>
    </comment>
    <comment ref="C34" authorId="0" shapeId="0" xr:uid="{FFDB45D2-B75E-8A4A-A1AC-738F85CBFA5D}">
      <text>
        <r>
          <rPr>
            <b/>
            <sz val="10"/>
            <color rgb="FF000000"/>
            <rFont val="Tahoma"/>
            <family val="2"/>
          </rPr>
          <t>Landon Brice:</t>
        </r>
        <r>
          <rPr>
            <sz val="10"/>
            <color rgb="FF000000"/>
            <rFont val="Tahoma"/>
            <family val="2"/>
          </rPr>
          <t xml:space="preserve">
Last-Round is a single point ($10.1B), not a range. Tiny range value renders as a dot/thin bar on the chart.</t>
        </r>
      </text>
    </comment>
    <comment ref="C35" authorId="0" shapeId="0" xr:uid="{E5569E50-9FEF-4D63-928A-04CB28BCAB45}">
      <text>
        <r>
          <rPr>
            <sz val="11"/>
            <color theme="1"/>
            <rFont val="Calibri"/>
            <family val="2"/>
            <scheme val="minor"/>
          </rPr>
          <t>IPO Implied Trading Range = back-solved equity range from Series G $10.1B ÷ (1−illiquidity) ÷ (1−IPO discount). Bear/Base/Bull from Assumptions C94/D94/E94.</t>
        </r>
      </text>
    </comment>
    <comment ref="C36" authorId="1" shapeId="0" xr:uid="{3A6C829A-F00B-EB4D-A49B-C2A0D48B0CAA}">
      <text>
        <r>
          <rPr>
            <b/>
            <sz val="10"/>
            <color rgb="FF000000"/>
            <rFont val="Tahoma"/>
            <family val="2"/>
          </rPr>
          <t>Landon Brice :</t>
        </r>
        <r>
          <rPr>
            <sz val="10"/>
            <color rgb="FF000000"/>
            <rFont val="Tahoma"/>
            <family val="2"/>
          </rPr>
          <t xml:space="preserve">
Single-point marker. Tiny range so bar renders as a thin line on the chart, consistent with Series G treatment.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<sst xmlns="http://schemas.openxmlformats.org/spreadsheetml/2006/main" count="2342" uniqueCount="1598">
  <si>
    <t>WHOOP Inc.</t>
  </si>
  <si>
    <t>ARPU Simplification: Option B ($305 anchor) — bottom-up justified. See ARPU tab justification block.</t>
  </si>
  <si>
    <t>Private Company Valuation</t>
  </si>
  <si>
    <t>Investment Committee Memo — Supporting Model</t>
  </si>
  <si>
    <t>Company:</t>
  </si>
  <si>
    <t>Ticker:</t>
  </si>
  <si>
    <t>Private (Pre-IPO)</t>
  </si>
  <si>
    <t>Last Round:</t>
  </si>
  <si>
    <t>Series G — $575M at $10.1B post-money (Mar 31, 2026)</t>
  </si>
  <si>
    <t>Model Date:</t>
  </si>
  <si>
    <t>April 16, 2026</t>
  </si>
  <si>
    <t>Analyst:</t>
  </si>
  <si>
    <t>Landon Brice</t>
  </si>
  <si>
    <t>Fiscal Year:</t>
  </si>
  <si>
    <t>Calendar Year (Jan-Dec)</t>
  </si>
  <si>
    <t>Currency:</t>
  </si>
  <si>
    <t>USD ($M unless noted)</t>
  </si>
  <si>
    <t>Valuation Methods:</t>
  </si>
  <si>
    <t>1. Intrinsic DCF (scenario-based + real options)</t>
  </si>
  <si>
    <t>2. Trading Comps (three-bucket framework)</t>
  </si>
  <si>
    <t>3. Precedent Transactions</t>
  </si>
  <si>
    <t>4. Last-Round Implied ($10.1B)</t>
  </si>
  <si>
    <t>5. Implied IPO Trading Range (back-solved)</t>
  </si>
  <si>
    <t>Color Convention:</t>
  </si>
  <si>
    <t>Hard-coded input</t>
  </si>
  <si>
    <t>Formula / calculation</t>
  </si>
  <si>
    <t>Cross-sheet link</t>
  </si>
  <si>
    <t>Needs verification / FLAGGED_GAP</t>
  </si>
  <si>
    <t>Source Files:</t>
  </si>
  <si>
    <t>Valuation Summary (live, scenario-driven)</t>
  </si>
  <si>
    <t>Active Scenario</t>
  </si>
  <si>
    <t>Base DCF — Enterprise Value</t>
  </si>
  <si>
    <t xml:space="preserve">  + Cash</t>
  </si>
  <si>
    <t xml:space="preserve">  − Debt</t>
  </si>
  <si>
    <t>= Equity Value</t>
  </si>
  <si>
    <t xml:space="preserve">  Per Share (FD)</t>
  </si>
  <si>
    <t>Real Options (Expected)</t>
  </si>
  <si>
    <t>Total Equity + Options</t>
  </si>
  <si>
    <t>Series G Mark</t>
  </si>
  <si>
    <t>Base DCF vs Series G</t>
  </si>
  <si>
    <t>DCF + Options vs Series G</t>
  </si>
  <si>
    <t>Football Field (multi-method synthesis)</t>
  </si>
  <si>
    <t>Weighted Average EV</t>
  </si>
  <si>
    <t xml:space="preserve">  vs Series G</t>
  </si>
  <si>
    <t>Model Integrity (Checks tab)</t>
  </si>
  <si>
    <t>Passing</t>
  </si>
  <si>
    <t>Warning</t>
  </si>
  <si>
    <t>Failing</t>
  </si>
  <si>
    <t>Overall</t>
  </si>
  <si>
    <t>Framing Decision — Base Case vs Real Options</t>
  </si>
  <si>
    <t>Base DCF reflects WHOOP's subscription-driven unit economics if executed (terminal GM ~80%, FCF margin 27%). Real options are valued separately as a single binary-gate decision tree on the healthcare reimbursement pathway: probability of CMS materialization × incremental eligible-member revenue × medtech multiple × discount factor. Probability range 15-25% reflects iRhythm precedent (7+ year consumer→medical pathway) plus WHOOP-specific signals (CMS Innovation Center selection Apr 2026, Abbott + Mayo Series G investors). International, B2B Unite, women's health, and glucose are NOT separately valued — either captured in base case (international, B2B) or excluded for lack of evidence (glucose).</t>
  </si>
  <si>
    <t>Memo conclusion: Base DCF $8.3B equity value (-18% vs Series G $10.1B post-money) anchors fair value, after WC schedule wiring + cash sourced from year-end 2026 ($1.0B post-Series G close) + 3.5x exit multiple. DCF + healthcare option $9.0B (-11% vs mark) shows the gap narrows but doesn't close even crediting the bucket-3 thesis at base probability. Football field weighted average $8.4B (-17% vs mark). Series G prices in the Bull case across drivers — defensible only if healthcare materializes (15-25% probability) AND base case overdelivers on member growth + ARPU.</t>
  </si>
  <si>
    <t>WHOOP — Master Assumptions</t>
  </si>
  <si>
    <t>Scenario:</t>
  </si>
  <si>
    <t>Base</t>
  </si>
  <si>
    <t xml:space="preserve">  Select Bear / Base / Bull — drives Active column F throughout the model. Other tabs reference Active values only.</t>
  </si>
  <si>
    <t>ID</t>
  </si>
  <si>
    <t>Assumption</t>
  </si>
  <si>
    <t>Bear</t>
  </si>
  <si>
    <t>Bull</t>
  </si>
  <si>
    <t>Active</t>
  </si>
  <si>
    <t>Tier</t>
  </si>
  <si>
    <t>Status</t>
  </si>
  <si>
    <t>Notes</t>
  </si>
  <si>
    <t>Section 1: Revenue &amp; Growth</t>
  </si>
  <si>
    <t>R3a</t>
  </si>
  <si>
    <t>2025 Beginning Members (M)</t>
  </si>
  <si>
    <t>Tier 3</t>
  </si>
  <si>
    <t>High</t>
  </si>
  <si>
    <t>Back-solved to reconcile avg×ARPU ≈ $650M base. Bear slower decel; bull faster acquisition.</t>
  </si>
  <si>
    <t>R3b</t>
  </si>
  <si>
    <t>2025 Ending Members (M)</t>
  </si>
  <si>
    <t>Tier 1</t>
  </si>
  <si>
    <t>Critical</t>
  </si>
  <si>
    <t>Series G press release: 2.5M+ paying members</t>
  </si>
  <si>
    <t>R3</t>
  </si>
  <si>
    <t>2025 Average Members (M) — DERIVED</t>
  </si>
  <si>
    <t>Derived</t>
  </si>
  <si>
    <t>Per methodology: ARPU applies to AVERAGE members during period, NOT year-end.</t>
  </si>
  <si>
    <t>R4</t>
  </si>
  <si>
    <t>2025 Blended ARPU ($/yr)</t>
  </si>
  <si>
    <t>Updated to Option B (bottom-up justified): consumer ~80% × $278 + Unite ~20% × $260 ≈ $274; with mature attach assumptions ≈ $307. Anchor 305 (Base). See ARPU tab justification block.</t>
  </si>
  <si>
    <t>R1</t>
  </si>
  <si>
    <t>2025 Recognized Revenue ($M) — DERIVED</t>
  </si>
  <si>
    <t>DERIVED: Avg Members × Blended ARPU. Target ~$650M base. Methodology consistency check: must reconcile within ±5%.</t>
  </si>
  <si>
    <t>R2</t>
  </si>
  <si>
    <t>2025 Bookings Run-Rate ($M)</t>
  </si>
  <si>
    <t>Locked</t>
  </si>
  <si>
    <t>Series G press release; CEO statement (Dec 2025 exit rate × 12)</t>
  </si>
  <si>
    <t>R5</t>
  </si>
  <si>
    <t>Subscription Revenue %</t>
  </si>
  <si>
    <t>Tier 2</t>
  </si>
  <si>
    <t>Sacra/BMCT: ~80-88% range</t>
  </si>
  <si>
    <t>R6</t>
  </si>
  <si>
    <t>2025 YoY Subscription Growth</t>
  </si>
  <si>
    <t>Series G press release: 103%</t>
  </si>
  <si>
    <t>R7</t>
  </si>
  <si>
    <t>Phase 1 Revenue Growth (2026-27)</t>
  </si>
  <si>
    <t>Peer trajectories; Series G deployment &amp; WHOOP 5.0 cycle</t>
  </si>
  <si>
    <t>R8</t>
  </si>
  <si>
    <t>Phase 2 Revenue Growth (2028-30)</t>
  </si>
  <si>
    <t>Deceleration shape: Dexcom (bull) / Netflix (base) / Peloton (bear)</t>
  </si>
  <si>
    <t>R9</t>
  </si>
  <si>
    <t>Phase 3 Revenue Growth (2031-33)</t>
  </si>
  <si>
    <t>TAM ceiling; healthcare attach resolution</t>
  </si>
  <si>
    <t>R10a</t>
  </si>
  <si>
    <t>Year-1 Cohort Annual Churn</t>
  </si>
  <si>
    <t>Highest churn ("try and quit"). Will drive Members tab cohort engine.</t>
  </si>
  <si>
    <t>R10b</t>
  </si>
  <si>
    <t>Year-2 Cohort Annual Churn</t>
  </si>
  <si>
    <t>Stabilizing cohort</t>
  </si>
  <si>
    <t>R10c</t>
  </si>
  <si>
    <t>Year-3+ Cohort Annual Churn</t>
  </si>
  <si>
    <t>Retained core; very sticky power users</t>
  </si>
  <si>
    <t>R11</t>
  </si>
  <si>
    <t>R12</t>
  </si>
  <si>
    <t>B2B Unite Revenue %</t>
  </si>
  <si>
    <t>Medium</t>
  </si>
  <si>
    <t>Sacra/BMCT: ~20% recurring revenue; growing rapidly</t>
  </si>
  <si>
    <t>R14</t>
  </si>
  <si>
    <t>Advanced Labs Attach Rate</t>
  </si>
  <si>
    <t>BUCKET-3 THESIS VARIABLE. Bear/Base/Bull per methodology Sec 3. Single most important ARPU assumption — swings $80/member.</t>
  </si>
  <si>
    <t>R15</t>
  </si>
  <si>
    <t>Labs Avg Test Price ($)</t>
  </si>
  <si>
    <t>WHOOP Advanced Labs site: $199-$599. Methodology base: $300.</t>
  </si>
  <si>
    <t>R16</t>
  </si>
  <si>
    <t>Annual Price Inflation</t>
  </si>
  <si>
    <t>CPI + premium brand pricing power</t>
  </si>
  <si>
    <t>R18</t>
  </si>
  <si>
    <t>2026 Gross Adds (M)</t>
  </si>
  <si>
    <t>Methodology priors: 1.8-2.0M base. Members tab will use this; per-year gross adds modeled there. CAC × this = S&amp;M consistency check.</t>
  </si>
  <si>
    <t>R19</t>
  </si>
  <si>
    <t>Deferred Revenue Adjustment (% of bookings)</t>
  </si>
  <si>
    <t>Drag during growth (recognized &lt; booked); ASC 606. Approaches 0 at steady state.</t>
  </si>
  <si>
    <t>Section 2: Cost Structure &amp; Margins</t>
  </si>
  <si>
    <t>C1</t>
  </si>
  <si>
    <t>Hardware BOM per Device ($)</t>
  </si>
  <si>
    <t>Est. $50-80 at scale; 2016 BOM was $250-300 per Contrary Research</t>
  </si>
  <si>
    <t>C2</t>
  </si>
  <si>
    <t>Loaded Hardware Cost per Acquisition ($)</t>
  </si>
  <si>
    <t>C1 + assembly, ship, warranty, returns. Drives unit economics.</t>
  </si>
  <si>
    <t>C4</t>
  </si>
  <si>
    <t>Subscription Delivery Cost (% of sub rev)</t>
  </si>
  <si>
    <t>Infra + support; AWS/GCP benchmarks; declining at scale</t>
  </si>
  <si>
    <t>C5</t>
  </si>
  <si>
    <t>Subscription Gross Margin (standalone)</t>
  </si>
  <si>
    <t>Peer: pure SaaS ~80%, Dexcom ~64% (incl consumables). WHOOP higher quality recurring.</t>
  </si>
  <si>
    <t>C6</t>
  </si>
  <si>
    <t>Hardware Gross Margin (standalone)</t>
  </si>
  <si>
    <t>Subsidized at acquisition; Peloton HW GM trajectory: -18% to +14%</t>
  </si>
  <si>
    <t>C7a</t>
  </si>
  <si>
    <t>Blended GM Phase 1 (2026-27)</t>
  </si>
  <si>
    <t>Phase 1 blended GM (legacy decomposed framework, pre-collapse to C7d). No longer drives the model post-ARPU simplification — retained for reference only.</t>
  </si>
  <si>
    <t>C7b</t>
  </si>
  <si>
    <t>Blended GM Phase 2 (2028-30)</t>
  </si>
  <si>
    <t>Margin expansion as growth decelerates</t>
  </si>
  <si>
    <t>C7c</t>
  </si>
  <si>
    <t>Blended GM Terminal</t>
  </si>
  <si>
    <t>Peer terminal: Dexcom 60%, Spotify 32%; software-heavy mix at scale</t>
  </si>
  <si>
    <t>C8a</t>
  </si>
  <si>
    <t>R&amp;D % of Revenue (current)</t>
  </si>
  <si>
    <t>Peers: Dexcom 13%, Garmin 16%, growth SaaS 20-30%</t>
  </si>
  <si>
    <t>C8b</t>
  </si>
  <si>
    <t>R&amp;D % of Revenue (terminal)</t>
  </si>
  <si>
    <t>Peer steady-state</t>
  </si>
  <si>
    <t>C9</t>
  </si>
  <si>
    <t>S&amp;M % of Revenue (current)</t>
  </si>
  <si>
    <t>Peloton peak 28.4% FY22, current 16.9% FY25. Bear = stuck high.</t>
  </si>
  <si>
    <t>C9a</t>
  </si>
  <si>
    <t>Paid CAC per Gross Add ($)</t>
  </si>
  <si>
    <t>30-50% of first-year ARPU. S&amp;M consistency check on Checks tab.</t>
  </si>
  <si>
    <t>C9b</t>
  </si>
  <si>
    <t>Athlete/Brand Spend ($M/yr)</t>
  </si>
  <si>
    <t>Press, endorsement deals; non-paid S&amp;M floor</t>
  </si>
  <si>
    <t>C9t</t>
  </si>
  <si>
    <t>S&amp;M % of Revenue (terminal)</t>
  </si>
  <si>
    <t>Peer steady-state: Garmin SG&amp;A 14-19%</t>
  </si>
  <si>
    <t>C10</t>
  </si>
  <si>
    <t>G&amp;A % of Revenue (current)</t>
  </si>
  <si>
    <t>IPO step-up 200-300bps in 2027-28 (SOX, IR, legal)</t>
  </si>
  <si>
    <t>C10t</t>
  </si>
  <si>
    <t>G&amp;A % of Revenue (terminal)</t>
  </si>
  <si>
    <t>C11a</t>
  </si>
  <si>
    <t>SBC % of Revenue (current, 2026 pre-IPO peak)</t>
  </si>
  <si>
    <t>Peloton: 9.2% FY25; pre-IPO typically higher. SBC is REAL COST in FCF.</t>
  </si>
  <si>
    <t>C11b</t>
  </si>
  <si>
    <t>SBC % of Revenue (terminal, 2033 post-IPO normalized)</t>
  </si>
  <si>
    <t>Methodology Sec 6: SBC normalizes to 6-10% post-IPO. Linear taper from F47 (current) to F48 (terminal) by 2033.</t>
  </si>
  <si>
    <t>C13</t>
  </si>
  <si>
    <t>CapEx % of Revenue</t>
  </si>
  <si>
    <t>Asset-light; contract manufacturing</t>
  </si>
  <si>
    <t>C16</t>
  </si>
  <si>
    <t>NWC % of Incremental Revenue</t>
  </si>
  <si>
    <t>Negative = WC benefit (deferred rev &gt; inventory drag during growth)</t>
  </si>
  <si>
    <t>C17</t>
  </si>
  <si>
    <t>Advanced Labs COGS %</t>
  </si>
  <si>
    <t>Quest/Labcorp panel margins ~30-40%; bucket-3 sensitivity</t>
  </si>
  <si>
    <t>C15</t>
  </si>
  <si>
    <t>Tax Rate (effective)</t>
  </si>
  <si>
    <t>US statutory; intl mix-shift lowers over time</t>
  </si>
  <si>
    <t>C12</t>
  </si>
  <si>
    <t>D&amp;A % of Revenue</t>
  </si>
  <si>
    <t>Capex amortization; lower in mature stages as growth slows. Restored after styling pass clobbered row.</t>
  </si>
  <si>
    <t>Section 3: Capital Structure &amp; Cap Table (incl. cash yield)</t>
  </si>
  <si>
    <t>S1</t>
  </si>
  <si>
    <t>Fully Diluted Shares Outstanding (M)</t>
  </si>
  <si>
    <t>361.2M common + ~50M option pool est. Pitchbook auth pref 537.9M, outs 361.2M.</t>
  </si>
  <si>
    <t>S2</t>
  </si>
  <si>
    <t>Series G Price per Share ($)</t>
  </si>
  <si>
    <t>Pitchbook Series G data; back-solve from $575M raise / shares issued</t>
  </si>
  <si>
    <t>S3</t>
  </si>
  <si>
    <t>Liquidation Preference Type</t>
  </si>
  <si>
    <t>Participating</t>
  </si>
  <si>
    <t>1x non-participating</t>
  </si>
  <si>
    <t>Pitchbook: 1x non-participating pari passu. Bear assumes participating ratchet.</t>
  </si>
  <si>
    <t>S4</t>
  </si>
  <si>
    <t>Total Liquidation Preference ($M)</t>
  </si>
  <si>
    <t>Sum of preferred raises: ~$1.4B aggregate (Series A through G)</t>
  </si>
  <si>
    <t>S7</t>
  </si>
  <si>
    <t>Option Pool Size (% of FD shares)</t>
  </si>
  <si>
    <t>Typical 10-15% pre-IPO; 600-person hiring surge implies aggressive granting</t>
  </si>
  <si>
    <t>S8</t>
  </si>
  <si>
    <t>Founder Ownership Ahmed (% FD)</t>
  </si>
  <si>
    <t>12-18% est. across 7 rounds + pool refreshes; possibly lower with secondaries</t>
  </si>
  <si>
    <t>S9</t>
  </si>
  <si>
    <t>DLOM (Discount for Lack of Marketability)</t>
  </si>
  <si>
    <t>Oura tender 25%; EquityZen avg 13-29%; Hiive 39-51% deeper discount</t>
  </si>
  <si>
    <t>S10</t>
  </si>
  <si>
    <t>Debt on Balance Sheet ($M)</t>
  </si>
  <si>
    <t>Low</t>
  </si>
  <si>
    <t>Likely minimal/zero; Pitchbook shows $10.13M debt round Mar 2024</t>
  </si>
  <si>
    <t>S11</t>
  </si>
  <si>
    <t>Cash post Series G ($M)</t>
  </si>
  <si>
    <t>Back-solve: $575M raise + operating cash flow positive entering 2026</t>
  </si>
  <si>
    <t>S12</t>
  </si>
  <si>
    <t>EV-to-Equity Bridge ($M) — DERIVED</t>
  </si>
  <si>
    <t>Cash − Debt: add to EV to bridge to equity value</t>
  </si>
  <si>
    <t>S15</t>
  </si>
  <si>
    <t>Series F Ratchet / IPO Provisions</t>
  </si>
  <si>
    <t>Live</t>
  </si>
  <si>
    <t>Likely extinguished</t>
  </si>
  <si>
    <t>Extinguished</t>
  </si>
  <si>
    <t>Likely extinguished at Series G close; SoftBank notably absent from Series G syndicate</t>
  </si>
  <si>
    <t>S16</t>
  </si>
  <si>
    <t>C18</t>
  </si>
  <si>
    <t>Cash money-market yield (interest income on idle balance)</t>
  </si>
  <si>
    <t>Yield on idle Series G cash. Apply to PRIOR-YEAR ending cash balance to avoid circularity (no feedback into current year cash).</t>
  </si>
  <si>
    <t>Section 4: WACC / Discount Rate (Damodaran Apr 2026)</t>
  </si>
  <si>
    <t>D1</t>
  </si>
  <si>
    <t>Risk-Free Rate (10yr UST)</t>
  </si>
  <si>
    <t>Fed H.15, Apr 14 2026: 4.26%; rounded 4.3%</t>
  </si>
  <si>
    <t>D2</t>
  </si>
  <si>
    <t>Equity Risk Premium</t>
  </si>
  <si>
    <t>Point Est.</t>
  </si>
  <si>
    <t>Damodaran 4.23% (Jan 2026); Kroll 5.0%; midpoint 4.5%</t>
  </si>
  <si>
    <t>D3</t>
  </si>
  <si>
    <t>Unlevered Beta (bucket-weighted)</t>
  </si>
  <si>
    <t>Sensitivity</t>
  </si>
  <si>
    <t>Damodaran sector: Healthcare 0.83, Electronics 0.83. Bucket-weighted.</t>
  </si>
  <si>
    <t>D4</t>
  </si>
  <si>
    <t>Size Premium</t>
  </si>
  <si>
    <t>Kroll CRSP Decile 3 ($7.3-13.5B): 0.81%</t>
  </si>
  <si>
    <t>D5</t>
  </si>
  <si>
    <t>Company-Specific Risk Premium (CSRP)</t>
  </si>
  <si>
    <t>Pre-IPO execution risk + private illiquidity; 1-3% range</t>
  </si>
  <si>
    <t>D8</t>
  </si>
  <si>
    <t>Implied Cost of Equity / WACC — DERIVED</t>
  </si>
  <si>
    <t>Section 5: Terminal Value</t>
  </si>
  <si>
    <t>D9</t>
  </si>
  <si>
    <t>Terminal Method (primary)</t>
  </si>
  <si>
    <t>Exit Multiple</t>
  </si>
  <si>
    <t>Design</t>
  </si>
  <si>
    <t>Primary: EV/Revenue exit multiple; cross-check: Gordon Growth</t>
  </si>
  <si>
    <t>D11</t>
  </si>
  <si>
    <t>Terminal EV/Revenue Multiple</t>
  </si>
  <si>
    <t>Compressed 40-60% from current comps; reflects terminal growth 10-15%</t>
  </si>
  <si>
    <t>D12</t>
  </si>
  <si>
    <t>Terminal EV/EBITDA Multiple</t>
  </si>
  <si>
    <t>Cross-check only; more stable than revenue multiple at maturity</t>
  </si>
  <si>
    <t>D13</t>
  </si>
  <si>
    <t>Perpetuity Growth Rate (Gordon)</t>
  </si>
  <si>
    <t>GDP growth + inflation; cannot exceed WACC</t>
  </si>
  <si>
    <t>D28</t>
  </si>
  <si>
    <t>Multiple Compression Factor</t>
  </si>
  <si>
    <t>Terminal multiples 40-60% lower than current comps. Applied to derive D11.</t>
  </si>
  <si>
    <t>Section 6: Comp Bucket Weighting — THIS IS THE THESIS</t>
  </si>
  <si>
    <t>V11a</t>
  </si>
  <si>
    <t>Bucket 1 Weight (Consumer Hardware — Garmin)</t>
  </si>
  <si>
    <t>Higher = more bearish (WHOOP as hardware company)</t>
  </si>
  <si>
    <t>V11b</t>
  </si>
  <si>
    <t>Bucket 2 Weight (Consumer Subscription — PTON/SPOT)</t>
  </si>
  <si>
    <t>Peloton-Spotify range disaggregated; where does WHOOP sit?</t>
  </si>
  <si>
    <t>V11c</t>
  </si>
  <si>
    <t>Bucket 3 Weight (Health Data — DXCM/RMD/MASI/IRTC)</t>
  </si>
  <si>
    <t>Higher = healthcare thesis is believed; Series G implied ~70%</t>
  </si>
  <si>
    <t>V11_chk</t>
  </si>
  <si>
    <t>Bucket Weights Sum (must = 100%)</t>
  </si>
  <si>
    <t>Check</t>
  </si>
  <si>
    <t>Sanity check: bucket weights must sum to 100%</t>
  </si>
  <si>
    <t>Section 7: IPO Trading Range &amp; Discount Framework</t>
  </si>
  <si>
    <t>I1</t>
  </si>
  <si>
    <t>IPO Timing (months from Series G)</t>
  </si>
  <si>
    <t>Q2 2027 - Q1 2028; "last private round" per Ahmed</t>
  </si>
  <si>
    <t>I2</t>
  </si>
  <si>
    <t>IPO Pricing Discount (to Stage 1 fair value)</t>
  </si>
  <si>
    <t>Loughran/Ritter IPO pricing studies; 15-25% standard</t>
  </si>
  <si>
    <t>I3</t>
  </si>
  <si>
    <t>I4</t>
  </si>
  <si>
    <t>Series G Investor Required IRR</t>
  </si>
  <si>
    <t>Late-stage growth equity return expectations (3-5yr hold)</t>
  </si>
  <si>
    <t>I5</t>
  </si>
  <si>
    <t>Implied Stage 1 Public Fair Value ($M) — DERIVED</t>
  </si>
  <si>
    <t>Back-solve: $10.1B / (1-illiquidity) / (1-IPO discount) → $13-15B target</t>
  </si>
  <si>
    <t>Section 8: Precedent Transactions</t>
  </si>
  <si>
    <t>P1</t>
  </si>
  <si>
    <t>Deal Inclusion Window</t>
  </si>
  <si>
    <t>Last 5 years</t>
  </si>
  <si>
    <t>2021-2026 with 3-year primary focus</t>
  </si>
  <si>
    <t>P3</t>
  </si>
  <si>
    <t>Deal Size Threshold ($M EV)</t>
  </si>
  <si>
    <t>Below this, synergy math distorts multiples</t>
  </si>
  <si>
    <t>P5</t>
  </si>
  <si>
    <t>Multiple Extraction Method</t>
  </si>
  <si>
    <t>EV/LTM Rev</t>
  </si>
  <si>
    <t>EV / LTM revenue at announcement; NTM where available</t>
  </si>
  <si>
    <t>P_b1</t>
  </si>
  <si>
    <t>Bucket 1 Precedent Multiple (median)</t>
  </si>
  <si>
    <t>Fitbit/Google ~1.3x; Garmin tuck-ins; mostly distressed exits</t>
  </si>
  <si>
    <t>P_b2</t>
  </si>
  <si>
    <t>Bucket 2 Precedent Multiple (median)</t>
  </si>
  <si>
    <t>Peloton/Precor; connected fitness all value-destructive</t>
  </si>
  <si>
    <t>P_b3</t>
  </si>
  <si>
    <t>Bucket 3 Precedent Multiple (median)</t>
  </si>
  <si>
    <t>Per research/precedent-transactions.md: B3 medtech 6.6-10.1x range</t>
  </si>
  <si>
    <t>Section 9: Real Options — see rows 154-161 (binary-gate redesign, supersedes cluster framework)</t>
  </si>
  <si>
    <t>Healthcare reimbursement pathway is the only separately-valued real option. International, B2B, women's health, glucose moved to base case sensitivities or dropped. Inputs: RO1 (probability), RO2 (eligibility %), RO3 (payer ARPU), RO4 (multiple), RO5 (years). See RealOptions tab Section 5 for full justification.</t>
  </si>
  <si>
    <t>Legend &amp; Conventions</t>
  </si>
  <si>
    <t>Blue text</t>
  </si>
  <si>
    <t>Black text</t>
  </si>
  <si>
    <t>Formula / derived calculation</t>
  </si>
  <si>
    <t>Green text</t>
  </si>
  <si>
    <t>Cross-sheet link (wired when other tabs are built)</t>
  </si>
  <si>
    <t>Yellow fill</t>
  </si>
  <si>
    <t>FLAGGED_GAP — unsourced critical, needs verification</t>
  </si>
  <si>
    <t>Active col</t>
  </si>
  <si>
    <t>Picks Bear/Base/Bull per scenario selector at $B$3</t>
  </si>
  <si>
    <t>Section 10: Gross Adds Derivation Drivers</t>
  </si>
  <si>
    <t>Gross Adds = (Prior-Yr Rev × S&amp;M%) / Blended CAC. S&amp;M% and CAC linearly interpolated between 2026 start and 2033 end endpoints (single-mechanism saturation; replaced phase-specific %s and compounding inflation rate). TAM is a diagnostic check on Members tab — flagged if penetration exceeds 40%. Blended CAC = total S&amp;M / gross adds (incl. paid + brand + athlete partnerships; excl. hardware subsidy which is in COGS).</t>
  </si>
  <si>
    <t>GA1</t>
  </si>
  <si>
    <t>S&amp;M % of Prior-Yr Revenue — 2026 START endpoint</t>
  </si>
  <si>
    <t>Series G deployment phase. Start endpoint for linear interpolation across 2026-2033.</t>
  </si>
  <si>
    <t>GA2</t>
  </si>
  <si>
    <t>S&amp;M % of Prior-Yr Revenue — 2033 END endpoint</t>
  </si>
  <si>
    <t>Mature steady-state. End endpoint for linear interpolation. Members tab interpolates linearly across years.</t>
  </si>
  <si>
    <t>— (deprecated)</t>
  </si>
  <si>
    <t>DEPRECATED — Phase 3 S&amp;M% folded into GA2 endpoint</t>
  </si>
  <si>
    <t>Replaced by GA1 (2026 start) + GA2 (2033 end) endpoints. Members tab now linearly interpolates between.</t>
  </si>
  <si>
    <t>GA4</t>
  </si>
  <si>
    <t>Blended CAC — 2026 START endpoint ($)</t>
  </si>
  <si>
    <t>Total S&amp;M / gross adds. Includes paid + brand + athlete partnerships. Excludes hardware subsidy (in COGS). 2025 anchor: ~$130. PLACEHOLDER — validate against research base.</t>
  </si>
  <si>
    <t>GA5</t>
  </si>
  <si>
    <t>Blended CAC — 2033 END endpoint ($)</t>
  </si>
  <si>
    <t>Replaces compounding CAC inflation rate with explicit 2033 endpoint. Computed: 2026 starting CAC × (1+old inflation)^7. Bear 250×1.12^7=552; Base 200×1.08^7=343; Bull 150×1.05^7=211. Members tab linearly interpolates between F121 (2026 start) and F122 (2033 end).</t>
  </si>
  <si>
    <t>GA6</t>
  </si>
  <si>
    <t>TAM — Global Paying Subscribers (M)</t>
  </si>
  <si>
    <t>Diagnostic ceiling, not a damping multiplier. Penetration% shown on Members row 49; flag if &gt;40%. Bear: consumer-fitness only. Base: + international + partial Labs scaling. Bull: full health-data platform.</t>
  </si>
  <si>
    <t>Section 11 (ARCHIVED — ARPU decomposition, no longer driving)</t>
  </si>
  <si>
    <t>Build: Sub ARPU (tier-mix-driven) + Labs (attach × price × tests) + Accessories + BP/Healthspan (attach × price). Sums to Blended ARPU on ARPU tab. Replaces single-line $338 anchor (R4) with derived value; consistency check on ARPU tab flags if 2025 derived ≠ R4 within ±5%.</t>
  </si>
  <si>
    <t>-- Subscription ARPU --</t>
  </si>
  <si>
    <t>R24a</t>
  </si>
  <si>
    <t>Tier mix — % WHOOP One (entry tier)</t>
  </si>
  <si>
    <t>WHOOP One ~$199/yr. Bear: value-heavy mix (50/35/15). Base: mid-market (30/45/25). Bull: premium-skewed (20/40/40).</t>
  </si>
  <si>
    <t>R24b</t>
  </si>
  <si>
    <t>Tier mix — % WHOOP Peak (mid tier)</t>
  </si>
  <si>
    <t>WHOOP Peak ~$239/yr. Includes Healthspan, Health Monitor, BP Insights, Stress.</t>
  </si>
  <si>
    <t>R24c</t>
  </si>
  <si>
    <t>Tier mix — % WHOOP Life (top tier)</t>
  </si>
  <si>
    <t>WHOOP Life ~$359/yr. Includes ECG, full BP, Healthspan; ships MG (medical-grade) hardware. Methodology Sec 3 "tier premium $20" maps to mix shift into Peak/Life.</t>
  </si>
  <si>
    <t>R24d</t>
  </si>
  <si>
    <t>Monthly-payer share (% of members)</t>
  </si>
  <si>
    <t>Monthly plan adds ~$14/yr premium vs annual prepay. Methodology Sec 3 "monthly plan premium $15". Stable across scenarios.</t>
  </si>
  <si>
    <t>R24e</t>
  </si>
  <si>
    <t>Tier-mix shift YoY (Peak/Life gain per year)</t>
  </si>
  <si>
    <t>Annual % shift FROM One INTO Peak/Life. Captures cohort upgrade behavior. Combined with R26 inflation drives sub ARPU growth.</t>
  </si>
  <si>
    <t>-- Advanced Labs ARPU (THE bucket-3 swing variable) --</t>
  </si>
  <si>
    <t>R25a</t>
  </si>
  <si>
    <t>Labs attach % — 2026 starting</t>
  </si>
  <si>
    <t>Single most important ARPU variable per methodology Sec 3. Bear 5%/Base 10%/Bull 25%. Anchored on 350K waitlist = 14% of 2.5M members at launch (BusinessWire 9/30/2025).</t>
  </si>
  <si>
    <t>R25b</t>
  </si>
  <si>
    <t>Labs avg test price ($)</t>
  </si>
  <si>
    <t>Disclosed pricing $199 (1 test) / $349 (2 tests) / $599 (4 tests). $250 base = mid-tier weighted. Bull pushes to $300 reflecting premium add-on uptake (Women's $299 panel, etc.).</t>
  </si>
  <si>
    <t>R25c</t>
  </si>
  <si>
    <t>Labs tests per attached member per year</t>
  </si>
  <si>
    <t>Avg cadence per attached member. Bear: 1 test (one-and-done). Base: 1.5 (between 1 and 2 plan). Bull: 2.0 (committed retest cycle).</t>
  </si>
  <si>
    <t>R25d</t>
  </si>
  <si>
    <t>Labs attach growth rate (YoY)</t>
  </si>
  <si>
    <t>Compounding attach rate growth. Bear flat (Labs stalls). Base ~9%/yr (steady ramp from 10% to ~20% by 2033). Bull ~18%/yr (healthcare thesis: 25% → ~85% by 2033).</t>
  </si>
  <si>
    <t>-- Accessories ARPU --</t>
  </si>
  <si>
    <t>R26</t>
  </si>
  <si>
    <t>Accessories ARPU ($/member/yr) — 2025 baseline</t>
  </si>
  <si>
    <t>Replacement straps + accessories. Bear: minimal upgrade. Base: typical 1-2 bands/yr at $20-50. Bull: premium SuperKnit Luxe attach.</t>
  </si>
  <si>
    <t>R26b</t>
  </si>
  <si>
    <t>Accessories ARPU YoY growth</t>
  </si>
  <si>
    <t>Modest replacement-cycle inflation. Stable line, not a thesis driver.</t>
  </si>
  <si>
    <t>-- BP/Healthspan ARPU (emerging — paid add-on layer beyond Peak/Life) --</t>
  </si>
  <si>
    <t>R27a</t>
  </si>
  <si>
    <t>BP/Healthspan paid add-on attach %</t>
  </si>
  <si>
    <t>PAID add-on beyond Peak/Life subscription. Bear: 0% (FDA Jul 2025 warning kills upsell). Base: 5%. Bull: 15%. Captures incremental BP-feature monetization above tier price.</t>
  </si>
  <si>
    <t>R27b</t>
  </si>
  <si>
    <t>BP/Healthspan add-on price ($/yr)</t>
  </si>
  <si>
    <t>Bear: $0 (no product). Base: $100 add-on. Bull: $200 (premium clinical-grade tier). FDA Jan 2026 wellness-category guidance opens but doesn't unlock medical claims.</t>
  </si>
  <si>
    <t>R27c</t>
  </si>
  <si>
    <t>BP/Healthspan attach growth (YoY)</t>
  </si>
  <si>
    <t>Compounding attach growth. Real but bounded option.</t>
  </si>
  <si>
    <t>R4g</t>
  </si>
  <si>
    <t>Blended ARPU Annual Growth (NEW — collapsed driver)</t>
  </si>
  <si>
    <t>Blended price inflation + tier mix shift up + B2B share gains. Bear 3% (price only). Base 4% (price + light mix). Bull 5% (price + mix + B2B premium expansion). NOTE: appended at row 150 (not inserted at row 12) to preserve all downstream formula references.</t>
  </si>
  <si>
    <t>C7d_start</t>
  </si>
  <si>
    <t>Blended COGS % — 2026 START (NEW — collapsed driver)</t>
  </si>
  <si>
    <t>Replaces decomposed Sub COGS + Hardware COGS + Labs COGS architecture. Phase 1 (2026-27) start; linearly interpolated by P&amp;L to terminal C7d_end. Bear 28% / Base 25% / Bull 22% → implied GM 72/75/78%.</t>
  </si>
  <si>
    <t>C7d_end</t>
  </si>
  <si>
    <t>Blended COGS % — 2033 END (NEW — collapsed driver)</t>
  </si>
  <si>
    <t>Phase 3 (2031-33) terminal endpoint. Bear 22% / Base 20% / Bull 18% → implied terminal GM 78/80/82%. Step DOWN from prior model's 76% terminal because legacy 90% sub GM overstated mature margin.</t>
  </si>
  <si>
    <t>Section 9: Real Options — Healthcare Pathway (binary gate)</t>
  </si>
  <si>
    <t>Single-gate decision tree on reimbursable healthcare platform thesis. Replaces 3-cluster correlated framework (success/mixed/failure). Other 'options' (international, B2B, women's, glucose) moved to base case sensitivities or dropped from RO valuation. See RealOptions tab Section 5 for justification.</t>
  </si>
  <si>
    <t>RO1</t>
  </si>
  <si>
    <t>Probability healthcare materializes (within decision window)</t>
  </si>
  <si>
    <t>iRhythm precedent: regional MAC → national CMS reimbursement took 7+ years. Conditional on Apr 2026 CMS Innovation Center selection. Bear: base rate of consumer→medical transitions failing. Bull: Abbott + Mayo as strategic investors signal credible execution.</t>
  </si>
  <si>
    <t>RO2</t>
  </si>
  <si>
    <t>Eligible member % (qualifying conditions)</t>
  </si>
  <si>
    <t>~40% of US adults have cardiometabolic risk factors (HTN, pre-diabetes, sleep disorders, AFib risk). WHOOP premium-skewed user base may overrepresent. Bear conservative; Bull at calibrated upper end (45%, tight bull).</t>
  </si>
  <si>
    <t>RO3</t>
  </si>
  <si>
    <t>Payer-paid annual ARPU per eligible member ($)</t>
  </si>
  <si>
    <t>Subscription-premium model anchored to Apple Watch + Aetna pilots ($50-300/yr). Dexcom CGM ($4-6K/yr critical care) far above. Range $200-350: WHOOP positioning is continuous monitoring without critical-care necessity. Tight bull at $350 (was $400 wide).</t>
  </si>
  <si>
    <t>RO4</t>
  </si>
  <si>
    <t>Healthcare-anchored terminal multiple (x revenue)</t>
  </si>
  <si>
    <t>Bucket-3 medtech: Dexcom 5.0x, ResMed 6.0x, Masimo 6.4x, iRhythm 5.6x. Median 5.8x. Healthcare option valued at incremental revenue × medtech-pure multiple. Tight bull at 6.0x (was 7.0x wide) — defensible for option-on-incremental-revenue without unproven economics.</t>
  </si>
  <si>
    <t>RO5</t>
  </si>
  <si>
    <t>Years to exercise (option matures)</t>
  </si>
  <si>
    <t>Bear: iRhythm-style 7yr decade pathway. Base: CMS Innovation Center accelerated route (5yr). Bull: fastest credible parallel pathway development (4yr).</t>
  </si>
  <si>
    <t>RO_chk</t>
  </si>
  <si>
    <t>Probability split sums to 100% (self-check)</t>
  </si>
  <si>
    <t>Materialize + fail must = 100% by construction. Used by Checks!B10.</t>
  </si>
  <si>
    <t>WHOOP — Member Cohort Engine</t>
  </si>
  <si>
    <t>Members in millions; cohort engine drives revenue. 2025 beginning treated as Y3+ legacy block (simplification — see note).</t>
  </si>
  <si>
    <t>Units</t>
  </si>
  <si>
    <t>Historical</t>
  </si>
  <si>
    <t>Phase 1</t>
  </si>
  <si>
    <t>Phase 2</t>
  </si>
  <si>
    <t>Phase 3</t>
  </si>
  <si>
    <t>1. Beginning Members (start of year)</t>
  </si>
  <si>
    <t>Beginning Members (total)</t>
  </si>
  <si>
    <t>M</t>
  </si>
  <si>
    <t xml:space="preserve">  of which: Year-1 cohort</t>
  </si>
  <si>
    <t xml:space="preserve">  of which: Year-2 cohort</t>
  </si>
  <si>
    <t xml:space="preserve">  of which: Year-3+ cohort</t>
  </si>
  <si>
    <t>2. Churn Rates (cohort-aged, from Assumptions)</t>
  </si>
  <si>
    <t>Year-1 churn rate</t>
  </si>
  <si>
    <t>%</t>
  </si>
  <si>
    <t>Year-2 churn rate</t>
  </si>
  <si>
    <t>Year-3+ churn rate</t>
  </si>
  <si>
    <t>3. Churned Members</t>
  </si>
  <si>
    <t xml:space="preserve">  Y1 churned</t>
  </si>
  <si>
    <t xml:space="preserve">  Y2 churned</t>
  </si>
  <si>
    <t xml:space="preserve">  Y3+ churned</t>
  </si>
  <si>
    <t>Total churned</t>
  </si>
  <si>
    <t>4. Surviving Members (end of year, before new adds)</t>
  </si>
  <si>
    <t xml:space="preserve">  Y1 survivors</t>
  </si>
  <si>
    <t xml:space="preserve">  Y2 survivors</t>
  </si>
  <si>
    <t xml:space="preserve">  Y3+ end state (incl. Y2 graduates)</t>
  </si>
  <si>
    <t>5. New Members (Gross Adds — input per year)</t>
  </si>
  <si>
    <t>Gross Adds</t>
  </si>
  <si>
    <t>6. Ending &amp; Average Members</t>
  </si>
  <si>
    <t>Ending Members</t>
  </si>
  <si>
    <t>Average Members</t>
  </si>
  <si>
    <t>7. Diagnostics (output, not input)</t>
  </si>
  <si>
    <t>Net Adds (Gross - Churned)</t>
  </si>
  <si>
    <t>Net Member Growth %</t>
  </si>
  <si>
    <t>Blended Annual Churn Rate (output)</t>
  </si>
  <si>
    <t>2025 ending vs Assumptions R3b (consistency)</t>
  </si>
  <si>
    <t>NOTE: 2025 beginning is treated as Y3+ legacy block (simplification). Replace with audited cohort splits when S-1 data is available. 2024 column is historical reference; engine fully runs 2025 onwards.</t>
  </si>
  <si>
    <t>8. Gross Adds Build (DERIVED — S&amp;M / CAC, with TAM diagnostic)</t>
  </si>
  <si>
    <t>Phase # (DEPRECATED — replaced by linear interpolation)</t>
  </si>
  <si>
    <t>#</t>
  </si>
  <si>
    <t>Hist</t>
  </si>
  <si>
    <t>S&amp;M Budget ($M = prior-yr rev × interpolated S&amp;M%)</t>
  </si>
  <si>
    <t>$M</t>
  </si>
  <si>
    <t>Blended CAC ($, linearly interpolated F121→F122)</t>
  </si>
  <si>
    <t>$</t>
  </si>
  <si>
    <t>Unconstrained Gross Adds (M) = S&amp;M / CAC</t>
  </si>
  <si>
    <t>TAM Penetration % (diagnostic — flag if &gt;40%)</t>
  </si>
  <si>
    <t>n/a</t>
  </si>
  <si>
    <t>Final Gross Adds (M)</t>
  </si>
  <si>
    <t>ARPU — Single-Line Blended Driver (collapsed from 5-component build)</t>
  </si>
  <si>
    <t>Active driver: Assumptions R4 (anchor) compounded by R4g (annual growth). Bottom-up justification preserved as memo block below — does not feed model. Consistency check at row 38 verifies Members × ARPU ≈ Methodology rev anchor.</t>
  </si>
  <si>
    <t>Year</t>
  </si>
  <si>
    <t>Unit</t>
  </si>
  <si>
    <t>Blended ARPU (driver)</t>
  </si>
  <si>
    <t xml:space="preserve">  2025 Anchor (Assumptions R4)</t>
  </si>
  <si>
    <t>$/yr</t>
  </si>
  <si>
    <t xml:space="preserve">  Annual growth rate (Assumptions R4g)</t>
  </si>
  <si>
    <t xml:space="preserve">  Blended ARPU</t>
  </si>
  <si>
    <t>ARPU Justification (memo — does not drive model)</t>
  </si>
  <si>
    <t>Bottom-up reconciliation showing how blended ARPU reflects consumer + B2B mix. Numbers below are reference; active driver is Section 1 R4 above.</t>
  </si>
  <si>
    <t>Consumer per-member ARPU components:</t>
  </si>
  <si>
    <t xml:space="preserve">  Subscription tier-weighted average</t>
  </si>
  <si>
    <t>Tier mix 30/45/25 × $199/$239/$359 = $257; +$1.68 monthly premium</t>
  </si>
  <si>
    <t xml:space="preserve">  Labs ARPU at maturity (10% attach × $250 × 1.5 tests)</t>
  </si>
  <si>
    <t xml:space="preserve">  Accessories ARPU</t>
  </si>
  <si>
    <t xml:space="preserve">  BP/Healthspan ARPU at 5% attach (post-launch)</t>
  </si>
  <si>
    <t xml:space="preserve">  Consumer ARPU (mature, 2026+)</t>
  </si>
  <si>
    <t xml:space="preserve">  Consumer ARPU (2025, partial Labs only)</t>
  </si>
  <si>
    <t>B2B Unite per-seat:</t>
  </si>
  <si>
    <t xml:space="preserve">  Per-seat employer-rate ARPU</t>
  </si>
  <si>
    <t>B2B health platforms with bundled hardware: $200-350; standalone software: $100-180. Estimate $260 mid-range.</t>
  </si>
  <si>
    <t>Mix assumption (% of paying members):</t>
  </si>
  <si>
    <t xml:space="preserve">  Consumer share</t>
  </si>
  <si>
    <t>BMCT estimate: Unite ~20% of recurring revenue</t>
  </si>
  <si>
    <t xml:space="preserve">  Unite share</t>
  </si>
  <si>
    <t xml:space="preserve">  Mix sum check</t>
  </si>
  <si>
    <t>Must = 100%</t>
  </si>
  <si>
    <t>Implied blended ARPU 2025 (memo):</t>
  </si>
  <si>
    <t>Implied blended ARPU 2026 mature (memo):</t>
  </si>
  <si>
    <t>Anchor used in driver (R4)</t>
  </si>
  <si>
    <t>Variance vs implied (mature)</t>
  </si>
  <si>
    <t>Consistency Check: Members × ARPU = Revenue</t>
  </si>
  <si>
    <t xml:space="preserve">  2025 Avg Members × Blended ARPU</t>
  </si>
  <si>
    <t xml:space="preserve">  Methodology revenue prior (Assumptions R1 / F12)</t>
  </si>
  <si>
    <t xml:space="preserve">  Variance</t>
  </si>
  <si>
    <t xml:space="preserve">  Status</t>
  </si>
  <si>
    <t>WHOOP — Revenue Build-Up</t>
  </si>
  <si>
    <t>$M unless noted; Calendar Year</t>
  </si>
  <si>
    <t>2024</t>
  </si>
  <si>
    <t>2025</t>
  </si>
  <si>
    <t>2026</t>
  </si>
  <si>
    <t>2027</t>
  </si>
  <si>
    <t>2028</t>
  </si>
  <si>
    <t>2029</t>
  </si>
  <si>
    <t>2030</t>
  </si>
  <si>
    <t>2031</t>
  </si>
  <si>
    <t>2032</t>
  </si>
  <si>
    <t>2033</t>
  </si>
  <si>
    <t>1. Member Economics (linked from Members tab)</t>
  </si>
  <si>
    <t>Beginning Members</t>
  </si>
  <si>
    <t>Churned Members</t>
  </si>
  <si>
    <t>Avg Members</t>
  </si>
  <si>
    <t>Blended Annual Churn (output)</t>
  </si>
  <si>
    <t>2. ARPU (linked from ARPU tab)</t>
  </si>
  <si>
    <t>Blended ARPU</t>
  </si>
  <si>
    <t>3. Revenue Build</t>
  </si>
  <si>
    <t>Recognized Revenue (Total)</t>
  </si>
  <si>
    <t>Memo: Δ Deferred Rev Balance (flows to NWC, not P&amp;L)</t>
  </si>
  <si>
    <t>YoY Revenue Growth</t>
  </si>
  <si>
    <t>4. Bookings Reconciliation</t>
  </si>
  <si>
    <t>Implied Bookings (End × ARPU)</t>
  </si>
  <si>
    <t>Bookings/Revenue Ratio</t>
  </si>
  <si>
    <t>x</t>
  </si>
  <si>
    <t>2025 Recognized vs Assumptions R1 (consistency)</t>
  </si>
  <si>
    <t>WHOOP — Projected Income Statement</t>
  </si>
  <si>
    <t>$M; Calendar Year; Scenario per Assumptions toggle</t>
  </si>
  <si>
    <t>Calibration items: see notes on F31 (2027 dip), L23 (S&amp;M architecture). Margin tapers and NOL wired; refer to CalibrationLog for status.</t>
  </si>
  <si>
    <t>Revenue</t>
  </si>
  <si>
    <t>Total Revenue</t>
  </si>
  <si>
    <t>← From Revenue Build tab</t>
  </si>
  <si>
    <t>YoY Growth</t>
  </si>
  <si>
    <t>Cost of Revenue</t>
  </si>
  <si>
    <t>Total COGS (Blended COGS% × Revenue, linearly interpolated)</t>
  </si>
  <si>
    <t xml:space="preserve">  Hardware COGS (MEMO ONLY — embedded in blended COGS%; used for WC inventory only)</t>
  </si>
  <si>
    <t>Total COGS (= row 12)</t>
  </si>
  <si>
    <t>Gross Profit</t>
  </si>
  <si>
    <t>Gross Margin</t>
  </si>
  <si>
    <t>Operating Expenses</t>
  </si>
  <si>
    <t>R&amp;D</t>
  </si>
  <si>
    <t xml:space="preserve">  R&amp;D % Revenue</t>
  </si>
  <si>
    <t>Sales &amp; Marketing</t>
  </si>
  <si>
    <t xml:space="preserve">  S&amp;M % Revenue</t>
  </si>
  <si>
    <t>General &amp; Administrative</t>
  </si>
  <si>
    <t xml:space="preserve">  G&amp;A % Revenue</t>
  </si>
  <si>
    <t>Stock-Based Compensation</t>
  </si>
  <si>
    <t xml:space="preserve">  SBC % Revenue</t>
  </si>
  <si>
    <t>Total OpEx</t>
  </si>
  <si>
    <t>Profitability</t>
  </si>
  <si>
    <t>EBITDA</t>
  </si>
  <si>
    <t>EBITDA Margin</t>
  </si>
  <si>
    <t>EBIT / Operating Income</t>
  </si>
  <si>
    <t>Operating Margin</t>
  </si>
  <si>
    <t>Rule of 40 Score</t>
  </si>
  <si>
    <t>= Revenue Growth % + EBITDA Margin %</t>
  </si>
  <si>
    <t>Below the Line</t>
  </si>
  <si>
    <t>Interest Income / (Expense)</t>
  </si>
  <si>
    <t>Pre-Tax Income</t>
  </si>
  <si>
    <t>Taxes</t>
  </si>
  <si>
    <t>Net Income</t>
  </si>
  <si>
    <t>Net Margin</t>
  </si>
  <si>
    <t>NOL Carryforward Schedule (post-TCJA, 80% utilization cap)</t>
  </si>
  <si>
    <t>Beginning NOL Balance</t>
  </si>
  <si>
    <t xml:space="preserve">  + Current Year Loss Added (if pretax &lt; 0)</t>
  </si>
  <si>
    <t xml:space="preserve">  − NOL Utilized Against Current Income</t>
  </si>
  <si>
    <t>Ending NOL Balance</t>
  </si>
  <si>
    <t>WHOOP — FCF</t>
  </si>
  <si>
    <t>Free cash flow build. ΔNWC sourced from WC &amp; Cash tab (detailed deferred-rev schedule).</t>
  </si>
  <si>
    <t>1. EBIT to NOPAT</t>
  </si>
  <si>
    <t>EBIT</t>
  </si>
  <si>
    <t>= P&amp;L EBIT (row 33)</t>
  </si>
  <si>
    <t>Less: Cash taxes on EBIT</t>
  </si>
  <si>
    <t>= P&amp;L Cash Taxes (row 40), tax-affected at effective rate</t>
  </si>
  <si>
    <t>NOPAT</t>
  </si>
  <si>
    <t>= EBIT − Cash Taxes</t>
  </si>
  <si>
    <t>2. NOPAT to Unlevered FCF</t>
  </si>
  <si>
    <t>Plus: D&amp;A</t>
  </si>
  <si>
    <t>= Revenue × D&amp;A % (Assumptions F52)</t>
  </si>
  <si>
    <t>Less: CapEx</t>
  </si>
  <si>
    <t>= −(Revenue × CapEx %) (Assumptions F48)</t>
  </si>
  <si>
    <t>Less: Change in NWC</t>
  </si>
  <si>
    <t>= From WC &amp; Cash tab (Section 3, Total ΔNWC)</t>
  </si>
  <si>
    <t>Note: SBC is REAL COST in P&amp;L — do NOT add back</t>
  </si>
  <si>
    <t>Per methodology Sec 6 — SBC stays in P&amp;L as cash-equivalent expense</t>
  </si>
  <si>
    <t>Unlevered Free Cash Flow</t>
  </si>
  <si>
    <t>= NOPAT + D&amp;A + CapEx + ΔNWC</t>
  </si>
  <si>
    <t>3. FCF Diagnostics</t>
  </si>
  <si>
    <t>FCF Margin %</t>
  </si>
  <si>
    <t>FCF / Revenue</t>
  </si>
  <si>
    <t>Rule of 40 (Growth + FCF Margin)</t>
  </si>
  <si>
    <t>Revenue Growth % + FCF Margin %</t>
  </si>
  <si>
    <t>WHOOP — Working Capital &amp; Cash Roll-Forward</t>
  </si>
  <si>
    <t>$M; pre-IPO (no debt service / dividends / buybacks). Replaces FCF-tab ΔNWC plug with explicit WC build.</t>
  </si>
  <si>
    <t>Detailed WC schedule wired into FCF tab as of this session. DCF EV impact: +$813M.</t>
  </si>
  <si>
    <t>1. Drivers</t>
  </si>
  <si>
    <t>Avg months remaining on annual sub (deferred rev)</t>
  </si>
  <si>
    <t>mo</t>
  </si>
  <si>
    <t>Inventory days (gross adds device cost)</t>
  </si>
  <si>
    <t>days</t>
  </si>
  <si>
    <t>Accounts payable days (% of total COGS)</t>
  </si>
  <si>
    <t>Other NWC (% of revenue)</t>
  </si>
  <si>
    <t>Pre-existing cash balance (start 2025)</t>
  </si>
  <si>
    <t>Series G proceeds (closed Mar 2026)</t>
  </si>
  <si>
    <t>2. Working Capital Balances (Liabilities = Source / Assets = Use)</t>
  </si>
  <si>
    <t>Deferred Revenue (= End Members × ARPU × mo/12)</t>
  </si>
  <si>
    <t>Inventory (= ~45 days of NEXT-yr hardware COGS)</t>
  </si>
  <si>
    <t>Accounts Payable (= ~18 days of total COGS)</t>
  </si>
  <si>
    <t>Other NWC (= 1.5% of revenue)</t>
  </si>
  <si>
    <t>3. Change in WC (positive = cash source)</t>
  </si>
  <si>
    <t>Δ Deferred Revenue (liability ↑ = source)</t>
  </si>
  <si>
    <t>Δ Inventory (asset ↑ = use)</t>
  </si>
  <si>
    <t>Δ Accounts Payable (liability ↑ = source)</t>
  </si>
  <si>
    <t>Δ Other NWC (asset ↑ = use)</t>
  </si>
  <si>
    <t>Total Δ NWC (cash impact)</t>
  </si>
  <si>
    <t>4. Cash Roll-Forward (pre-IPO; no debt service / dividends / buybacks)</t>
  </si>
  <si>
    <t>Beginning Cash</t>
  </si>
  <si>
    <t xml:space="preserve">  + Series G proceeds</t>
  </si>
  <si>
    <t xml:space="preserve">  + Unlevered Free Cash Flow (FCF tab)</t>
  </si>
  <si>
    <t>Ending Cash</t>
  </si>
  <si>
    <t>WHOOP — Discounted Cash Flow</t>
  </si>
  <si>
    <t>$M; Calendar Year; Base case below — see Sensitivity tab for ranges</t>
  </si>
  <si>
    <t>1. Cash Flow &amp; Discounting</t>
  </si>
  <si>
    <t>Revenue (memo)</t>
  </si>
  <si>
    <t>← From P&amp;L tab</t>
  </si>
  <si>
    <t>← From FCF tab (single source of truth)</t>
  </si>
  <si>
    <t>WACC</t>
  </si>
  <si>
    <t>← From Assumptions F74</t>
  </si>
  <si>
    <t>Discount Period (mid-year)</t>
  </si>
  <si>
    <t>yrs</t>
  </si>
  <si>
    <t>Mid-year convention</t>
  </si>
  <si>
    <t>Discount Factor</t>
  </si>
  <si>
    <t>PV of Unlevered FCF</t>
  </si>
  <si>
    <t>= UFCF / (1+WACC)^period</t>
  </si>
  <si>
    <t>2. Terminal Value</t>
  </si>
  <si>
    <t>Terminal Year Revenue</t>
  </si>
  <si>
    <t>Terminal Year EBITDA</t>
  </si>
  <si>
    <t>Terminal Year FCF</t>
  </si>
  <si>
    <t>Exit Multiple (EV/Revenue)</t>
  </si>
  <si>
    <t>← From Assumptions F78</t>
  </si>
  <si>
    <t>Terminal Value (Exit Multiple)</t>
  </si>
  <si>
    <t>Terminal Value (Gordon Growth)</t>
  </si>
  <si>
    <t>Gordon: =FCF × (1+g) / (WACC − g)</t>
  </si>
  <si>
    <t>TV Method Divergence</t>
  </si>
  <si>
    <t>If &gt;25%, an assumption is inconsistent</t>
  </si>
  <si>
    <t>Selected Terminal Value</t>
  </si>
  <si>
    <t>PV of Terminal Value</t>
  </si>
  <si>
    <t>TV as % of Total EV</t>
  </si>
  <si>
    <t>If &gt;75%, explicit forecast doing too little</t>
  </si>
  <si>
    <t>3. Enterprise Value Summary</t>
  </si>
  <si>
    <t>Sum of PV of FCFs (2026-2033)</t>
  </si>
  <si>
    <t>Enterprise Value (DCF Base)</t>
  </si>
  <si>
    <t>4. Equity Bridge</t>
  </si>
  <si>
    <t>Enterprise Value</t>
  </si>
  <si>
    <t>Less: Debt</t>
  </si>
  <si>
    <t>~$0 (minimal)</t>
  </si>
  <si>
    <t>Plus: Cash</t>
  </si>
  <si>
    <t>$600-800M est. post-Series G</t>
  </si>
  <si>
    <t>Equity Value</t>
  </si>
  <si>
    <t>Fully Diluted Shares (M)</t>
  </si>
  <si>
    <t>~900M (PremierAlts est.)</t>
  </si>
  <si>
    <t>Equity Value per Share</t>
  </si>
  <si>
    <t>$/sh</t>
  </si>
  <si>
    <t>5. Real Options (Additive — healthcare pathway only)</t>
  </si>
  <si>
    <t>Healthcare option — Bear scenario range ($M)</t>
  </si>
  <si>
    <t>← Probability × Payoff from Assumptions</t>
  </si>
  <si>
    <t>Healthcare option — Bull scenario range ($M)</t>
  </si>
  <si>
    <t>Healthcare option — active scenario ($M)</t>
  </si>
  <si>
    <t>Expected Option Value</t>
  </si>
  <si>
    <t>Total EV (DCF + Options)</t>
  </si>
  <si>
    <t>6. Scenario Comparison vs Series G — Equity Value Basis</t>
  </si>
  <si>
    <t>DCF Base Case Equity Value</t>
  </si>
  <si>
    <t>DCF + Options Equity Value</t>
  </si>
  <si>
    <t>DCF Premium / (Discount) to Series G</t>
  </si>
  <si>
    <t>Base case = 'WHOOP executes plan'</t>
  </si>
  <si>
    <t>DCF + Options Premium / (Discount) to Series G</t>
  </si>
  <si>
    <t>Options = 'Healthcare reimbursement pathway materializes (probability-weighted, 15-25%)'</t>
  </si>
  <si>
    <t>WHOOP — Bottom-Up WACC Build (Justification)</t>
  </si>
  <si>
    <t>Cross-check on Damodaran sector approach used in Assumptions!F74. Methodology: 3Y weekly Bloomberg-adjusted betas + Oura tender-anchored liquidity premium. Pure justification — does NOT feed DCF.</t>
  </si>
  <si>
    <t>Source: research/wacc-bottom-up-build.md (May 5, 2026). Replaces 5Y monthly + Hiive premium methodology.</t>
  </si>
  <si>
    <t>Executive Summary</t>
  </si>
  <si>
    <t>• Bottom-up bucket-median unlevered betas (Bloomberg-adj, 3Y weekly): B1 = 1.01, B2 = 1.00 (ex-PTON), B3 = 0.92. Tight clustering.</t>
  </si>
  <si>
    <t>• WHOOP blended βᵤ = 0.95–0.99 across Bear/Base/Bull; Damodaran sector blended = 0.81–0.85. Delta narrowed from +0.40 (5Y monthly) to +0.10–0.18.</t>
  </si>
  <si>
    <t>• Revenue-weighted ERP = 4.61% Base (vs. pure US 4.46%); +11bps from ~42% intl mix.</t>
  </si>
  <si>
    <t>• Liquidity premium = +2.0pp anchored to Oura Jan 2026 tender at 25% discount to Series E (Oct 2025); replaces prior +5pp Hiive figure.</t>
  </si>
  <si>
    <t>• Bottom-up WACC ~11.6% Base vs. Damodaran sector ~10.4% Base — two methods converge within ~1pp. Triangulation finding.</t>
  </si>
  <si>
    <t>§1. Per-Comp Inputs &amp; Hamada Unlevered Betas</t>
  </si>
  <si>
    <t>3Y weekly OLS regression vs. ^GSPC, 157 obs (May 2023 – May 2026). Bloomberg adj: β_adj = (2/3)×β_raw + (1/3)×1.0. Hamada: βᵤ = βL / [1 + (1−t)×(D/E)].</t>
  </si>
  <si>
    <t>Comp</t>
  </si>
  <si>
    <t>Bucket</t>
  </si>
  <si>
    <t>β_raw</t>
  </si>
  <si>
    <t>β_adj</t>
  </si>
  <si>
    <t>R²</t>
  </si>
  <si>
    <t>Mkt Cap ($M)</t>
  </si>
  <si>
    <t>Debt ($M)</t>
  </si>
  <si>
    <t>Cash ($M)</t>
  </si>
  <si>
    <t>D/E</t>
  </si>
  <si>
    <t>ETR (3Y agg)</t>
  </si>
  <si>
    <t>Marg Tax</t>
  </si>
  <si>
    <t>Tax Used</t>
  </si>
  <si>
    <t>βᵤ (adj)</t>
  </si>
  <si>
    <t>βᵤ (raw chk)</t>
  </si>
  <si>
    <t>Garmin (GRMN)</t>
  </si>
  <si>
    <t>B1 Hardware</t>
  </si>
  <si>
    <t>Peloton (PTON)</t>
  </si>
  <si>
    <t>B2 Sub (distressed)</t>
  </si>
  <si>
    <t>n/m</t>
  </si>
  <si>
    <t>Spotify (SPOT)</t>
  </si>
  <si>
    <t>B2 Sub (mature)</t>
  </si>
  <si>
    <t>Dexcom (DXCM)</t>
  </si>
  <si>
    <t>B3 Health Data</t>
  </si>
  <si>
    <t>ResMed (RMD)</t>
  </si>
  <si>
    <t>Masimo (MASI)</t>
  </si>
  <si>
    <t>iRhythm (IRTC)</t>
  </si>
  <si>
    <t>R² caveat: range 5.7% (IRTC) to 21.6% (GRMN) — standard error on each β ~±0.20–0.30. Bucket medians of 4 names (B3) more robust than singletons.</t>
  </si>
  <si>
    <t>§2. Bucket Median Unlevered Betas</t>
  </si>
  <si>
    <t>Comps</t>
  </si>
  <si>
    <t>Median βᵤ (incl PTON)</t>
  </si>
  <si>
    <t>Median βᵤ (ex-PTON)</t>
  </si>
  <si>
    <t>Min</t>
  </si>
  <si>
    <t>Max</t>
  </si>
  <si>
    <t>Range</t>
  </si>
  <si>
    <t>GRMN</t>
  </si>
  <si>
    <t>B2 Subscription</t>
  </si>
  <si>
    <t>PTON, SPOT</t>
  </si>
  <si>
    <t>DXCM, RMD, MASI, IRTC</t>
  </si>
  <si>
    <t>Notes:</t>
  </si>
  <si>
    <t xml:space="preserve">  • B2 ex-PTON is primary anchor; PTON's Hamada output contaminated by distressed-equity dynamics (D/E 0.89, levered β 1.86 adj).</t>
  </si>
  <si>
    <t xml:space="preserve">  • B3 4-comp median robust to outliers — anchored by RMD (0.95) and MASI (0.88) as middle two; DXCM (1.01) and IRTC (0.77) are bookends.</t>
  </si>
  <si>
    <t>§3. Damodaran Sector Cross-Check (Jan 2026)</t>
  </si>
  <si>
    <t>Bottom-up βᵤ (ex-PTON)</t>
  </si>
  <si>
    <t>Damodaran Sector</t>
  </si>
  <si>
    <t>Sector βᵤ</t>
  </si>
  <si>
    <t># Firms</t>
  </si>
  <si>
    <t>Delta</t>
  </si>
  <si>
    <t>5Y mo Delta (prior)</t>
  </si>
  <si>
    <t>Electronics (Consumer &amp; Office)</t>
  </si>
  <si>
    <t>Software (Entertainment)</t>
  </si>
  <si>
    <t>HC Info &amp; Tech</t>
  </si>
  <si>
    <t>Convergence finding: under 3Y weekly methodology, bucket betas converge to within ±0.10 of Damodaran sector medians. Idiosyncratic events filtered out (IRTC 2021 CMS, PTON 2021 collapse); Bloomberg adjustment shrinks toward 1.0.</t>
  </si>
  <si>
    <t>§4. WHOOP Re-Levered Beta (zero debt → β_L = βᵤ)</t>
  </si>
  <si>
    <t>Bucket weights pulled live from Assumptions!C84:E86 (Bear/Base/Bull). Damodaran sector blended sourced from Assumptions!C71:E71.</t>
  </si>
  <si>
    <t>Scenario</t>
  </si>
  <si>
    <t>B1 Wt</t>
  </si>
  <si>
    <t>B2 Wt</t>
  </si>
  <si>
    <t>B3 Wt</t>
  </si>
  <si>
    <t>B1 βᵤ</t>
  </si>
  <si>
    <t>B2 βᵤ (ex-PTON)</t>
  </si>
  <si>
    <t>B3 βᵤ</t>
  </si>
  <si>
    <t>Blended βᵤ (BU)</t>
  </si>
  <si>
    <t>Damodaran βᵤ</t>
  </si>
  <si>
    <t>Blended βᵤ (PTON-incl)</t>
  </si>
  <si>
    <t>Bear (40/40/20)</t>
  </si>
  <si>
    <t>Base (20/40/40)</t>
  </si>
  <si>
    <t>Bull (10/30/60)</t>
  </si>
  <si>
    <t>Bloomberg adjustment effect on WHOOP-blended is trivial (&lt;0.02) since blend is already centered near 1.0. Remaining +0.10 to +0.18 vs. Damodaran reflects genuine WHOOP-comp-specific premium over broad sector medians.</t>
  </si>
  <si>
    <t>Note: Damodaran βᵤ in Assumptions!C71:E71 is bucket-weighted (Bear 0.85/Base 0.83/Bull 0.81 — higher β = more bearish, i.e. B1-heavy hardware mix). Bottom-up bucket-weighted output uses identical weights, so deltas are consistent across all three scenarios.</t>
  </si>
  <si>
    <t>§5. Revenue-Weighted ERP</t>
  </si>
  <si>
    <t>WHOOP intl mix ~42% (per stress-test). Intl blend: 50% UK/EU developed, 30% Asia developed, 20% other/GCC.</t>
  </si>
  <si>
    <t>Country ERPs (Damodaran Jan 2026)</t>
  </si>
  <si>
    <t>ERP</t>
  </si>
  <si>
    <t xml:space="preserve">  US</t>
  </si>
  <si>
    <t xml:space="preserve">  UK / EU developed avg</t>
  </si>
  <si>
    <t xml:space="preserve">  Asia developed avg (JP/AU/SG)</t>
  </si>
  <si>
    <t xml:space="preserve">  Other / GCC / emerging</t>
  </si>
  <si>
    <t>Blended International ERP</t>
  </si>
  <si>
    <t>Sensitivity: Intl revenue weight</t>
  </si>
  <si>
    <t>Intl Wt</t>
  </si>
  <si>
    <t>US Contrib</t>
  </si>
  <si>
    <t>Intl Contrib</t>
  </si>
  <si>
    <t>Blended ERP</t>
  </si>
  <si>
    <t>Conservative</t>
  </si>
  <si>
    <t>Base case</t>
  </si>
  <si>
    <t>Aggressive</t>
  </si>
  <si>
    <t>Net effect: +11-19bp vs. pure US ERP. Most intl revenue is developed-market with ERPs near US base — token adjustment, not a swing factor.</t>
  </si>
  <si>
    <t>§6. Liquidity Premium — Oura Tender Anchor</t>
  </si>
  <si>
    <t>Oura Jan 2026 tender priced at 25% discount to Oct 2025 Series E (~3-month gap → minimal stale-pricing decay; close to pure DLOM for high-quality wearable comp on credible IPO path).</t>
  </si>
  <si>
    <t>Translation: DLOM → WACC add-on</t>
  </si>
  <si>
    <t>Public-comp WACC base (Damodaran sector)</t>
  </si>
  <si>
    <t>Terminal growth (g)</t>
  </si>
  <si>
    <t>Public (r − g)</t>
  </si>
  <si>
    <t>DLOM scenario</t>
  </si>
  <si>
    <t>DLOM %</t>
  </si>
  <si>
    <t>PV haircut</t>
  </si>
  <si>
    <t>(r−g) ratio</t>
  </si>
  <si>
    <t>New (r−g)</t>
  </si>
  <si>
    <t>Implied add-on</t>
  </si>
  <si>
    <t>Optimistic (shorter time-to-IPO)</t>
  </si>
  <si>
    <t>Base (Oura tender)</t>
  </si>
  <si>
    <t>Conservative (Oura + WHOOP-specific)</t>
  </si>
  <si>
    <t>Recommended liquidity premium</t>
  </si>
  <si>
    <t>Bottom-up + Oura</t>
  </si>
  <si>
    <t>Existing model (Assumptions!F73)</t>
  </si>
  <si>
    <t>Why not Hiive (-39 to -51%)? Hiive prices common (subordinated to $291M preference stack), captures secondary-market valuation skepticism (not pure DLOM), and reflects thin order-book depth. Oura tender = company-organized, structured price = controlled signal.</t>
  </si>
  <si>
    <t>Oura's +2.0pp ratifies the existing 1.5% practitioner midpoint with a market anchor.</t>
  </si>
  <si>
    <t>§7. Synthesis WACC: Bottom-Up vs. Damodaran Sector</t>
  </si>
  <si>
    <t>Cost of Equity = WACC (zero debt). Build A = current model approach (Assumptions). Build B = bottom-up justification (this tab).</t>
  </si>
  <si>
    <t>Component</t>
  </si>
  <si>
    <t>Build A: Damodaran Sector</t>
  </si>
  <si>
    <t>Build B: Bottom-Up + Oura</t>
  </si>
  <si>
    <t>Delta (Base)</t>
  </si>
  <si>
    <t>Risk-free rate (10Y UST)</t>
  </si>
  <si>
    <t>Unlevered Beta (= levered, no debt)</t>
  </si>
  <si>
    <t>Size Premium (CRSP Decile 3)</t>
  </si>
  <si>
    <t>Liquidity Premium (Oura-anchored vs. CSRP)</t>
  </si>
  <si>
    <t>Implied WACC</t>
  </si>
  <si>
    <t>Decomposition of Build B − Build A delta (Base case)</t>
  </si>
  <si>
    <t>Contribution</t>
  </si>
  <si>
    <t xml:space="preserve">  Beta upgrade (0.83 → 0.97)</t>
  </si>
  <si>
    <t xml:space="preserve">  ERP revenue-weighting (4.50% → 4.60%)</t>
  </si>
  <si>
    <t xml:space="preserve">  Liquidity premium (CSRP 2.00% → Oura 2.00%)</t>
  </si>
  <si>
    <t xml:space="preserve">  Total</t>
  </si>
  <si>
    <t>Triangulation: Build A (10.85% Base, current model) and Build B (~11.6% Base, this tab) converge within ~0.7-0.8pp — two independent methods landing close gives the IC committee triangulation confidence. The +0.7pp delta is essentially the bottom-up beta premium (+0.65pp); ERP and liquidity rounding effects are trivial.</t>
  </si>
  <si>
    <t>DCF tab continues to reference Assumptions!F74 (Build A). This sheet is justification only.</t>
  </si>
  <si>
    <t>§8. Flagged Gaps &amp; Caveats</t>
  </si>
  <si>
    <t>Gap</t>
  </si>
  <si>
    <t>Path Forward</t>
  </si>
  <si>
    <t>WHOOP actual ETR / NOL position unknown — forecast tax 5-15% range fully estimated</t>
  </si>
  <si>
    <t>Wait for S-1; sensitivity in Excel</t>
  </si>
  <si>
    <t>Oura tender details (preferred vs. common) not fully disclosed</t>
  </si>
  <si>
    <t>Sacra paywall has more detail; not blocking</t>
  </si>
  <si>
    <t>PTON βᵤ still distorted by distress dynamics even under 3Y weekly</t>
  </si>
  <si>
    <t>Use ex-PTON as primary; PTON-incl as overlay (col K, Section 4)</t>
  </si>
  <si>
    <t>IRTC convertible debt treatment: βᵤ = 0.774 (debt) vs 0.877 (equity)</t>
  </si>
  <si>
    <t>B3 median essentially unchanged either way; use 0.774 primary</t>
  </si>
  <si>
    <t>MASI deal-pending compression: stock pinned to $180 since Feb 2026; vol artificially low</t>
  </si>
  <si>
    <t>MASI exits comp set at H2 2026 close — flag and move on</t>
  </si>
  <si>
    <t>R² on per-comp regressions weak (5.7-21.6%); single-name β std error ±0.20-0.30</t>
  </si>
  <si>
    <t>Bucket medians smooth; Bloomberg adj is partial correction</t>
  </si>
  <si>
    <t>B2 ex-PTON has only SPOT (n=1); SPOT 1.01 β reflects post-2024 phase-change</t>
  </si>
  <si>
    <t>Sensitivity: try B2 = 1.20; spec recommends current β as forward-looking proxy</t>
  </si>
  <si>
    <t>Public-comp WACC base for Oura translation — if 11% used vs 10%, +2pp → +1.8pp</t>
  </si>
  <si>
    <t>Documented; the 10% base is itself the Damodaran sector output</t>
  </si>
  <si>
    <t>S&amp;P 500 as sole benchmark; SPOT's true reference could be MSCI World</t>
  </si>
  <si>
    <t>Sensitivity: re-run vs MSCI ACWI; expected impact &lt;0.05 on β</t>
  </si>
  <si>
    <t>3Y weekly window excludes COVID-recovery dynamics; forward β in 2027+ may differ</t>
  </si>
  <si>
    <t>Acknowledge — current-state estimate by design</t>
  </si>
  <si>
    <t>Sources &amp; Methodology</t>
  </si>
  <si>
    <t>Spec: research/wacc-bottom-up-build.md (May 5, 2026 methodology revision — 3Y weekly Bloomberg-adj betas + Oura tender liquidity premium)</t>
  </si>
  <si>
    <t>Comp data: StockAnalysis.com statistics + financials (May 5, 2026)</t>
  </si>
  <si>
    <t>Beta regression: yfinance weekly closes May 1 2023 – May 5 2026 (157 obs); OLS vs ^GSPC; β_adj = (2/3)·β_raw + (1/3)·1.0</t>
  </si>
  <si>
    <t>Damodaran sector data: Jan 2026 update — Betas.html, ctryprem.html, wacc.html</t>
  </si>
  <si>
    <t>Risk-free rate: Fed H.15 — 10Y UST 4.26-4.30% (Apr-May 2026)</t>
  </si>
  <si>
    <t>Oura tender: Bloomberg report Jan 2026 — 25% discount to Oct 2025 Series E primary</t>
  </si>
  <si>
    <t>WHOOP — Real Options (Healthcare Pathway)</t>
  </si>
  <si>
    <t>Single-gate decision tree on reimbursable healthcare platform thesis. Class anchor: Lecture 3B (Arundel) — probability-weighted call option on uncertain future cash flows. Decision tree EV; underlying not tradable, so not Black-Scholes. Same economic logic as Arundel sequel rights.</t>
  </si>
  <si>
    <t>Section 1 — The Binary Gate</t>
  </si>
  <si>
    <t>Question: Does WHOOP become a reimbursable healthcare platform within decision window?</t>
  </si>
  <si>
    <t>Probability healthcare materializes</t>
  </si>
  <si>
    <t>Probability of failure / indefinite stall</t>
  </si>
  <si>
    <t>Section 2 — Revenue Impact if Materialized</t>
  </si>
  <si>
    <t>(Computed three times: Bear / Base / Bull scenarios)</t>
  </si>
  <si>
    <t>2033 ending members (M)</t>
  </si>
  <si>
    <t>× Eligibility % (qualifying conditions)</t>
  </si>
  <si>
    <t>= Eligible members (M)</t>
  </si>
  <si>
    <t>× Payer-paid annual ARPU ($/member)</t>
  </si>
  <si>
    <t>= Incremental annual revenue at maturity ($M)</t>
  </si>
  <si>
    <t>× Healthcare-anchored multiple (x revenue)</t>
  </si>
  <si>
    <t>= Incremental EV at exercise ($M) — undiscounted</t>
  </si>
  <si>
    <t>Section 3 — Discounting and Probability Weighting</t>
  </si>
  <si>
    <t>Years to exercise</t>
  </si>
  <si>
    <t>Discount factor (1/(1+WACC)^t)</t>
  </si>
  <si>
    <t>Discounted incremental EV ($M)</t>
  </si>
  <si>
    <t>× Probability of materialization</t>
  </si>
  <si>
    <t>= Expected option value ($M)</t>
  </si>
  <si>
    <t>= Expected option value ($B)</t>
  </si>
  <si>
    <t>Section 4 — Active Scenario Output</t>
  </si>
  <si>
    <t>Active scenario</t>
  </si>
  <si>
    <t>Expected option value (active scenario, $M)</t>
  </si>
  <si>
    <t>Expected option value (active scenario, $B)</t>
  </si>
  <si>
    <t>Section 5 — Justification (memo, not driver)</t>
  </si>
  <si>
    <t>Honest read on what supports each input. Cite specific comparables and signals.</t>
  </si>
  <si>
    <t>Probability anchor (RO1 — 15/20/25%)</t>
  </si>
  <si>
    <t>iRhythm pathway: FDA-cleared cardiac monitoring, took 7+ years from approval to stable national CMS reimbursement. Stock dropped 83% during journey. Base rate evidence for consumer→medical transitions: low and slow.</t>
  </si>
  <si>
    <t>Dexcom pathway: 15+ year ongoing reimbursement expansion from initial Type 1 diabetes coverage. Each new indication requires separate CMS review.</t>
  </si>
  <si>
    <t>WHOOP-specific positive signals: CMS Innovation Center Access Program selection (Apr 13, 2026); Abbott + Mayo Clinic as Series G investors; FDA-cleared ECG already shipping; BP Insights with FDA wellness exemptions (Jan 2026).</t>
  </si>
  <si>
    <t>WHOOP-specific gaps: zero CPT codes filed; no clinical trial data validating diagnostic claims; no disclosed Abbott/Mayo deliverables; no payer revenue projections.</t>
  </si>
  <si>
    <t>Probability range 15-25% reflects: (a) credible signals justify above pure base rate, (b) absence of clinical/regulatory milestones bounds upside.</t>
  </si>
  <si>
    <t>Eligibility anchor (RO2 — 30/40/45%)</t>
  </si>
  <si>
    <t>~40% of US adults have cardiometabolic risk factors (CDC: 47% HTN, 38% pre-diabetes, 9-12% AFib risk in over-65s, 30% sleep disorders).</t>
  </si>
  <si>
    <t>WHOOP user base premium-skewed (high health engagement); plausibly overrepresents diagnosable risk factors.</t>
  </si>
  <si>
    <t>Range 30-45%: bear conservative (only severe cases qualify); bull at calibrated upper end (was 50% wide, tightened to 45% — broad screening eligibility but stops short of aggressive).</t>
  </si>
  <si>
    <t>Payer ARPU anchor (RO3 — $200/$300/$350)</t>
  </si>
  <si>
    <t>Dexcom CGM: $4,000-6,000/yr per patient (critical care, requires continuous use). Far higher than WHOOP applicable.</t>
  </si>
  <si>
    <t>Apple Watch + Aetna pilot programs: $50-300/yr per covered member range. Closer comparable for non-critical-care monitoring.</t>
  </si>
  <si>
    <t>Range $200-350/yr reflects WHOOP positioning: continuous monitoring without critical-care necessity. Subscription-premium model, not per-event billing. Tight bull at $350 (was $400 wide) — within Aetna pilot upper bound.</t>
  </si>
  <si>
    <t>Multiple anchor (RO4 — 5.0x/6.0x/6.0x)</t>
  </si>
  <si>
    <t>Bucket-3 medtech: Dexcom 5.0x, ResMed 6.0x, Masimo 6.4x, iRhythm 5.6x revenue. Median 5.8x.</t>
  </si>
  <si>
    <t>Healthcare option valued as incremental revenue stream at medtech-pure multiple, not blended. Range 5.0-6.0x reflects bucket-3 dispersion. Tight bull at 6.0x (was 7.0x wide) — honest for option-on-incremental-revenue without proven economics.</t>
  </si>
  <si>
    <t>Timing anchor (RO5 — 7/5/4 years)</t>
  </si>
  <si>
    <t>iRhythm: 7+ years from FDA clearance to stable national CMS reimbursement.</t>
  </si>
  <si>
    <t>CMS Innovation Center Access Program: accelerated pathway designed for 3-5 year horizons (vs. standard 7-10).</t>
  </si>
  <si>
    <t>Bear 7yr / Base 5yr / Bull 4yr reflects: bear tracks iRhythm precedent; base assumes Innovation Center delivers acceleration; bull assumes parallel pathway development plus first-mover momentum.</t>
  </si>
  <si>
    <t>Section 6 — Other Options Treatment (memo)</t>
  </si>
  <si>
    <t>The original cluster framework included international, B2B Unite, women's health, and glucose. These are NOT separately valued in the new architecture. Where each lives now:</t>
  </si>
  <si>
    <t>International expansion: 43% of revenue already in base case (Assumptions R11). Incremental upside captured in Bull scenario revenue growth assumptions.</t>
  </si>
  <si>
    <t>B2B Unite: ~20% of recurring revenue, included in blended ARPU + member base post-ARPU-cleanup. Incremental enterprise penetration captured in Bull mix-shift assumptions.</t>
  </si>
  <si>
    <t>Women's health: framed as engagement/retention lever, not new revenue category. Captured in churn assumptions (Year 1-2 cohort retention) where relevant.</t>
  </si>
  <si>
    <t>Glucose: explicitly $0 contribution. Zero evidence of progress; physics problem unsolved by Apple/Samsung despite $1B+ investment. Mentioned in slide notes as 'free call option' without numerical contribution.</t>
  </si>
  <si>
    <t>If audience asks 'why not value these separately': these options either (a) generate revenue already partially in base case, leading to double-counting risk, OR (b) lack any sourced evidence base for probability/payoff inputs. Healthcare is the only option with both signal AND comparable structure (iRhythm).</t>
  </si>
  <si>
    <t>WHOOP — Public Comp Triangulation (Three-Thesis Framework)</t>
  </si>
  <si>
    <t>Comps grouped by what WHOOP would *become* under each thesis (Failed Pivot / Subscription Executed / Healthcare Platform). Within each thesis comps share economic structure; across theses they don't — so we don't average across them. Composite span feeds Football Field. Oura shown as parallel reference, never blended. Garmin reclassified as form factor reference, doesn't anchor any thesis.</t>
  </si>
  <si>
    <t>1. WHOOP Inputs</t>
  </si>
  <si>
    <t>Recognized revenue (2025, $M)</t>
  </si>
  <si>
    <t>Bookings run-rate ($M)</t>
  </si>
  <si>
    <t>Gross margin (model 2026E)</t>
  </si>
  <si>
    <t>Implied gross profit — recognized basis</t>
  </si>
  <si>
    <t>Implied gross profit — bookings basis</t>
  </si>
  <si>
    <t>LTM bookings growth</t>
  </si>
  <si>
    <t>NTM growth (model)</t>
  </si>
  <si>
    <t>Series G mark ($M)</t>
  </si>
  <si>
    <t>2. Master Comp Table</t>
  </si>
  <si>
    <t>Multiples per spec (May 5, 2026 refresh). Tier T1=direct comp parallel ref, T2=structural analogue thesis anchor, T3=boundary marker thesis anchor, T4=historical footnote. Thesis tag drives which bracket each comp anchors.</t>
  </si>
  <si>
    <t>Ticker</t>
  </si>
  <si>
    <t>Thesis</t>
  </si>
  <si>
    <t>EV/Rev NTM</t>
  </si>
  <si>
    <t>EV/GP NTM</t>
  </si>
  <si>
    <t>NTM Growth</t>
  </si>
  <si>
    <t>EV/Rev / Growth</t>
  </si>
  <si>
    <t>Peloton</t>
  </si>
  <si>
    <t>PTON</t>
  </si>
  <si>
    <t>T3</t>
  </si>
  <si>
    <t>1 — Failed Pivot</t>
  </si>
  <si>
    <t>Hardware-sub failed pivot. Bear floor.</t>
  </si>
  <si>
    <t>Sonos</t>
  </si>
  <si>
    <t>SONO</t>
  </si>
  <si>
    <t>Consumer durable in revenue decline.</t>
  </si>
  <si>
    <t>GoPro</t>
  </si>
  <si>
    <t>GPRO</t>
  </si>
  <si>
    <t>Failed subscription pivot, terminal decline.</t>
  </si>
  <si>
    <t>Spotify</t>
  </si>
  <si>
    <t>SPOT</t>
  </si>
  <si>
    <t>T2</t>
  </si>
  <si>
    <t>2 — Subscription Executed</t>
  </si>
  <si>
    <t>Mature pure subscription. Profitability proof drove +116% multiple expansion 3yr.</t>
  </si>
  <si>
    <t>Roku</t>
  </si>
  <si>
    <t>ROKU</t>
  </si>
  <si>
    <t>Platform with hardware as CAC, profitability inflection.</t>
  </si>
  <si>
    <t>Dexcom</t>
  </si>
  <si>
    <t>DXCM</t>
  </si>
  <si>
    <t>3 — Healthcare Platform</t>
  </si>
  <si>
    <t>FDA-cleared CGM, reimbursed. Compressed -67% from 13.8x in 2023.</t>
  </si>
  <si>
    <t>iRhythm</t>
  </si>
  <si>
    <t>IRTC</t>
  </si>
  <si>
    <t>Cardiac monitoring, CMS-reimbursed. Closest pathway analog. Compressed -51% from peak.</t>
  </si>
  <si>
    <t>ResMed</t>
  </si>
  <si>
    <t>RMD</t>
  </si>
  <si>
    <t>Sleep apnea, reimbursed, mature.</t>
  </si>
  <si>
    <t>Masimo</t>
  </si>
  <si>
    <t>MASI</t>
  </si>
  <si>
    <t>Hospital monitoring, sensor-first.</t>
  </si>
  <si>
    <t>Garmin</t>
  </si>
  <si>
    <t>Form factor ref — not anchored</t>
  </si>
  <si>
    <t>Diversified hardware conglomerate. WHOOP isn't fundamentally hardware. Reference only.</t>
  </si>
  <si>
    <t>Oura</t>
  </si>
  <si>
    <t>(private)</t>
  </si>
  <si>
    <t>T1</t>
  </si>
  <si>
    <t>Parallel ref — never blended</t>
  </si>
  <si>
    <t>Only direct comp; private. Same Gornall/Strebulaev critique applies as Series G.</t>
  </si>
  <si>
    <t>Fitbit (IPO 2015)</t>
  </si>
  <si>
    <t>FIT</t>
  </si>
  <si>
    <t>T4</t>
  </si>
  <si>
    <t>Historical footnote</t>
  </si>
  <si>
    <t>Peak public-market mark before category compression.</t>
  </si>
  <si>
    <t>Fitbit (Google acquire 2021)</t>
  </si>
  <si>
    <t>Strategic exit; revenue-declining at sale.</t>
  </si>
  <si>
    <t>3. Thesis Summary — Bracketed Implied WHOOP Valuations</t>
  </si>
  <si>
    <t>Three theses about what WHOOP becomes. Within each, comps share economic structure; across theses they don't. Each bracket shows EV/Rev and EV/GP ranges and computes 4 implied-EV variants × WHOOP financials.</t>
  </si>
  <si>
    <t>Thesis 1 — Failed Pivot (Bear)</t>
  </si>
  <si>
    <t>Anchors: Peloton, Sonos, GoPro. Question: what if WHOOP fails to defend subscription economics and reverts to hardware-dependent revenue?</t>
  </si>
  <si>
    <t>Median</t>
  </si>
  <si>
    <t>Implied EV ($M):</t>
  </si>
  <si>
    <t xml:space="preserve">  Recognized × EV/Rev</t>
  </si>
  <si>
    <t xml:space="preserve">  Bookings × EV/Rev</t>
  </si>
  <si>
    <t xml:space="preserve">  Recognized GP × EV/GP</t>
  </si>
  <si>
    <t xml:space="preserve">  Bookings GP × EV/GP</t>
  </si>
  <si>
    <t>Thesis 2 — Subscription Executed (Base)</t>
  </si>
  <si>
    <t>Anchors: Spotify, Roku. Question: what if WHOOP becomes a premium consumer subscription business at scale? EV/GP is the more analytically relevant multiple here — normalizes WHOOP's GM advantage (75% vs Spotify 32% / Roku 44%).</t>
  </si>
  <si>
    <t>Thesis 3 — Healthcare Platform (Bull / Optionality)</t>
  </si>
  <si>
    <t>Anchors: Dexcom, iRhythm, ResMed, Masimo. Question: what if WHOOP becomes a reimbursable health-data platform with FDA/CMS pathway success? Note multiples have de-rated -51 to -67% from 2023 peaks — bull case more constrained than 2023 multiples would suggest.</t>
  </si>
  <si>
    <t>4. Composite Span (across all theses)</t>
  </si>
  <si>
    <t>Lowest defensible (Bear, recognized basis)</t>
  </si>
  <si>
    <t>Highest defensible (Sub Executed, bookings GP × EV/GP)</t>
  </si>
  <si>
    <t>Most defensible base (T2 median, recognized GP × EV/GP)</t>
  </si>
  <si>
    <t>Series G mark</t>
  </si>
  <si>
    <t>5. Oura — Private Market Category Reference (parallel, never blended)</t>
  </si>
  <si>
    <t>Oura at 13x recognized is a private-market data point on category pricing. Comparison flips between EV/Rev and EV/GP — real analytical content.</t>
  </si>
  <si>
    <t>Oura TEV ($M)</t>
  </si>
  <si>
    <t>Oura TTM revenue ($M)</t>
  </si>
  <si>
    <t>Oura EV/Rev</t>
  </si>
  <si>
    <t>Oura EV/GP (est. 50% GM)</t>
  </si>
  <si>
    <t>WHOOP at Series G — EV/Rev (recognized)</t>
  </si>
  <si>
    <t>WHOOP at Series G — EV/GP (recognized)</t>
  </si>
  <si>
    <t>Read</t>
  </si>
  <si>
    <t>WHOOP higher than Oura on EV/Rev, lower on EV/GP. Margin advantage flips it. Both private marks reflect rich category pricing.</t>
  </si>
  <si>
    <t>6. Series G Implied Multiples — Back-Solve Diagnostic</t>
  </si>
  <si>
    <t>What multiple does Series G $10.1B imply on each thesis basis? Compare to thesis medians to see how far above the comp set Series G sits.</t>
  </si>
  <si>
    <t>Series G implied</t>
  </si>
  <si>
    <t>T1 median</t>
  </si>
  <si>
    <t>T2 median</t>
  </si>
  <si>
    <t>T3 median</t>
  </si>
  <si>
    <t>Premium (Series G vs T2 median)</t>
  </si>
  <si>
    <t>EV/Rev (recognized basis)</t>
  </si>
  <si>
    <t>EV/Rev (bookings basis)</t>
  </si>
  <si>
    <t>EV/GP (recognized basis)</t>
  </si>
  <si>
    <t>EV/GP (bookings basis)</t>
  </si>
  <si>
    <t>7. Historical Regime (V19) — Multiple Compression in Health Data</t>
  </si>
  <si>
    <t>Health-data multiples have structurally compressed (Dexcom -67%, iRhythm -51% over 3yr). Spotify shows the inverse: profitability proof drove +116% expansion. WHOOP's path runs through Spotify's template, not Dexcom's. Series G investors may have anchored to 2023-era multiples that no longer exist.</t>
  </si>
  <si>
    <t>Company</t>
  </si>
  <si>
    <t>3yr Change</t>
  </si>
  <si>
    <t>8. Growth-Adjusted Scatter Data (regression input — visual built separately)</t>
  </si>
  <si>
    <t>X = NTM growth, Y = EV/GP NTM. T2 anchors used for regression line. WHOOP plotted at NTM growth (~70%) and Series G implied EV/GP. Linear extrapolation produces nonsense at extreme growth (concave relationship), so this is narrative-only — no $ output.</t>
  </si>
  <si>
    <t>X: NTM Growth</t>
  </si>
  <si>
    <t>Y: EV/GP NTM</t>
  </si>
  <si>
    <t>In Regression?</t>
  </si>
  <si>
    <t>No (T3)</t>
  </si>
  <si>
    <t>Yes (T2)</t>
  </si>
  <si>
    <t>WHOOP at Series G</t>
  </si>
  <si>
    <t>WHOOP</t>
  </si>
  <si>
    <t>Plotted, not in regression</t>
  </si>
  <si>
    <t>T2 Regression (slope, intercept):</t>
  </si>
  <si>
    <t>Slope</t>
  </si>
  <si>
    <t>Intercept</t>
  </si>
  <si>
    <t>Predicted EV/GP at WHOOP NTM growth</t>
  </si>
  <si>
    <t>WHOOP actual EV/GP at Series G</t>
  </si>
  <si>
    <t>Distance from regression line</t>
  </si>
  <si>
    <t>9. Key Findings (carry to memo)</t>
  </si>
  <si>
    <t>1. Public comp triangulation produces a span across three theses. Within each thesis, comps share economic structure; across theses they don't, so we don't average across them. Composite span: $0.7B (T1 floor, recognized basis) to $9.4B (T2 ceiling, bookings GP × EV/GP).</t>
  </si>
  <si>
    <t>2. Most defensible single point: T2 Subscription Executed median, recognized GP × EV/GP = ~$4.0B. EV/GP normalizes WHOOP's 75% GM advantage (vs Spotify 32% / Roku 44%). On EV/Rev alone, WHOOP gets penalized for its margin profile.</t>
  </si>
  <si>
    <t>3. Healthcare Platform thesis (T3) implies $3.5B-$6.6B median — less optionality than 2023-era multiples would suggest. Dexcom -67% / iRhythm -51% over 3 years: the health data multiple has structurally de-rated. Bull case more constrained than the comp library implies at peak.</t>
  </si>
  <si>
    <t>4. Series G implied multiples are above every thesis median: 17.4x recognized rev (vs T2 median 3.34x = +422% premium); 12.2x bookings GP (vs T2 median 9.15x = +34% premium, the most flattering combo). Even on the most generous comparison, Series G sits 34% above public-market subscription comps.</t>
  </si>
  <si>
    <t>5. Oura at 13x EV/Rev / 26x EV/GP (private) is consistent category pricing but doesn't independently validate Series G. Both reflect private-market premium. WHOOP higher on EV/Rev, lower on EV/GP — margin advantage flips it.</t>
  </si>
  <si>
    <t>6. Growth-adjusted regression is narrative-only. Linear extrapolation of growth×multiple at WHOOP's 70% NTM growth produces nonsense (relationship is concave at extremes). Use as visual to show WHOOP is far above the public regression line; do NOT produce a $ output.</t>
  </si>
  <si>
    <t>7. Verdict: even on the most flattering combo (T2 bookings GP × EV/GP), implied value $7.5B is 26% below Series G $10.1B. Combined with DCF $7.3B + Real Options $0.7B = $8.0B intrinsic, independent triangulation centers $7-9B. Series G prices in the bull case across multiple drivers — defensible only if WHOOP simultaneously executes subscription thesis AND captures meaningful healthcare reimbursement upside.</t>
  </si>
  <si>
    <t>Source: Cap IQ + Pitchbook, May 5, 2026 refresh. Live financial inputs from Revenue Build / P&amp;L tabs. Three-thesis methodology per whoop_comps_spec_three_thesis.md.</t>
  </si>
  <si>
    <t>WHOOP — Precedent Transactions</t>
  </si>
  <si>
    <t>2020-2026; $500M+ EV preferred; All USD</t>
  </si>
  <si>
    <t>Acquirer / Target</t>
  </si>
  <si>
    <t>Date</t>
  </si>
  <si>
    <t>EV ($B)</t>
  </si>
  <si>
    <t>LTM Rev ($B)</t>
  </si>
  <si>
    <t>EV/Rev</t>
  </si>
  <si>
    <t>Regime</t>
  </si>
  <si>
    <t>Strategic Rationale</t>
  </si>
  <si>
    <t>Google / Fitbit</t>
  </si>
  <si>
    <t>Jan 2021</t>
  </si>
  <si>
    <t>ZIRP-peak</t>
  </si>
  <si>
    <t>B1</t>
  </si>
  <si>
    <t>Wearable data acquisition; failed sub pivot</t>
  </si>
  <si>
    <t>Lululemon / Mirror</t>
  </si>
  <si>
    <t>Jul 2020</t>
  </si>
  <si>
    <t>B2</t>
  </si>
  <si>
    <t>Connected fitness content; 89% write-off</t>
  </si>
  <si>
    <t>Teladoc / Livongo</t>
  </si>
  <si>
    <t>Oct 2020</t>
  </si>
  <si>
    <t>Cross</t>
  </si>
  <si>
    <t>Digital health mega-deal; massive write-down</t>
  </si>
  <si>
    <t>Microsoft / Nuance</t>
  </si>
  <si>
    <t>Mar 2022</t>
  </si>
  <si>
    <t>Transition</t>
  </si>
  <si>
    <t>Healthcare AI voice/NLP platform</t>
  </si>
  <si>
    <t>Masimo / Sound United</t>
  </si>
  <si>
    <t>Apr 2022</t>
  </si>
  <si>
    <t>Consumer audio pivot; $675M value destruction</t>
  </si>
  <si>
    <t>CVS / Signify Health</t>
  </si>
  <si>
    <t>Sep 2022</t>
  </si>
  <si>
    <t>B3</t>
  </si>
  <si>
    <t>Home health + value-based care platform</t>
  </si>
  <si>
    <t>Amazon / One Medical</t>
  </si>
  <si>
    <t>Feb 2023</t>
  </si>
  <si>
    <t>Primary care distribution; strategic access play</t>
  </si>
  <si>
    <t>J&amp;J / Shockwave Medical</t>
  </si>
  <si>
    <t>May 2024</t>
  </si>
  <si>
    <t>Current</t>
  </si>
  <si>
    <t>OUTLIER: IVL synergies drove 2x+ peer median</t>
  </si>
  <si>
    <t>BSci / Axonics</t>
  </si>
  <si>
    <t>Nov 2024</t>
  </si>
  <si>
    <t>Neuromodulation bolt-on</t>
  </si>
  <si>
    <t>Stryker / Inari Medical</t>
  </si>
  <si>
    <t>Feb 2025</t>
  </si>
  <si>
    <t>Venous thromboembolism devices</t>
  </si>
  <si>
    <t>Danaher / Masimo</t>
  </si>
  <si>
    <t>Feb 2026</t>
  </si>
  <si>
    <t>Patient monitoring platform; pending close</t>
  </si>
  <si>
    <t>Summary by Regime &amp; Bucket</t>
  </si>
  <si>
    <t>Current-regime B3 medtech: 6.6-10.1x (median ~8.5x)</t>
  </si>
  <si>
    <t>Connected fitness deals: uniformly value-destructive</t>
  </si>
  <si>
    <t>Implied WHOOP range: $5-8B (control premium embedded; Series G is minority)</t>
  </si>
  <si>
    <t>WHOOP — Cap Table &amp; Waterfall</t>
  </si>
  <si>
    <t>Sources: Pitchbook + Cap IQ; BUILD WATERFALL FORMULAS</t>
  </si>
  <si>
    <t>Round</t>
  </si>
  <si>
    <t>Amount ($M)</t>
  </si>
  <si>
    <t>Post-Money ($B)</t>
  </si>
  <si>
    <t>Price/Share ($)</t>
  </si>
  <si>
    <t>Shares (M)</t>
  </si>
  <si>
    <t>Ownership %</t>
  </si>
  <si>
    <t>Pref Terms</t>
  </si>
  <si>
    <t>Lead Investor(s)</t>
  </si>
  <si>
    <t>Seed</t>
  </si>
  <si>
    <t>2012</t>
  </si>
  <si>
    <t>1x non-part.</t>
  </si>
  <si>
    <t>DraftKings founders</t>
  </si>
  <si>
    <t>Series A</t>
  </si>
  <si>
    <t>Sep 2014</t>
  </si>
  <si>
    <t>Accomplice, Mousse Partners</t>
  </si>
  <si>
    <t>Series B</t>
  </si>
  <si>
    <t>Sep 2016</t>
  </si>
  <si>
    <t>Foundry Group</t>
  </si>
  <si>
    <t>Series C</t>
  </si>
  <si>
    <t>Oct 2018</t>
  </si>
  <si>
    <t>IVP</t>
  </si>
  <si>
    <t>Series D</t>
  </si>
  <si>
    <t>Series E</t>
  </si>
  <si>
    <t>Aug 2021</t>
  </si>
  <si>
    <t>SoftBank Vision Fund 2</t>
  </si>
  <si>
    <t>Series F</t>
  </si>
  <si>
    <t>Mezz/Bridge</t>
  </si>
  <si>
    <t>2022-2024</t>
  </si>
  <si>
    <t>Various</t>
  </si>
  <si>
    <t>5 interim rounds (VC + debt)</t>
  </si>
  <si>
    <t>Series G</t>
  </si>
  <si>
    <t>Mar 2026</t>
  </si>
  <si>
    <t>Collaborative Fund</t>
  </si>
  <si>
    <t>Total Equity Raised:</t>
  </si>
  <si>
    <t>Key Metrics</t>
  </si>
  <si>
    <t>Authorized Preferred Shares</t>
  </si>
  <si>
    <t>537.9M</t>
  </si>
  <si>
    <t>Pitchbook</t>
  </si>
  <si>
    <t>Outstanding Common Shares</t>
  </si>
  <si>
    <t>361.2M</t>
  </si>
  <si>
    <t>Fully Diluted Shares (est.)</t>
  </si>
  <si>
    <t>~900M</t>
  </si>
  <si>
    <t>PremierAlts/Forge</t>
  </si>
  <si>
    <t>Option Pool (est.)</t>
  </si>
  <si>
    <t>~10-15% of FD</t>
  </si>
  <si>
    <t>Inferred from gap; FLAGGED_GAP</t>
  </si>
  <si>
    <t>All Preferences</t>
  </si>
  <si>
    <t>1x non-participating pari passu</t>
  </si>
  <si>
    <t>Total Liquidation Preference</t>
  </si>
  <si>
    <t>~$1.03B (floor)</t>
  </si>
  <si>
    <t>Sum of equity raised × 1x</t>
  </si>
  <si>
    <t>Waterfall at Exit Scenarios (BUILD FORMULAS)</t>
  </si>
  <si>
    <t>Bear ($5B)</t>
  </si>
  <si>
    <t>Base ($10B)</t>
  </si>
  <si>
    <t>Bull ($20B)</t>
  </si>
  <si>
    <t>Total Exit Proceeds</t>
  </si>
  <si>
    <t>Less: Liquidation Preferences</t>
  </si>
  <si>
    <t>Remaining for Pro-Rata</t>
  </si>
  <si>
    <t>Preferred Conversion Check (convert or take pref?)</t>
  </si>
  <si>
    <t>Common Share Proceeds</t>
  </si>
  <si>
    <t>Common Value per Share</t>
  </si>
  <si>
    <t>Preferred Value per Share</t>
  </si>
  <si>
    <t>Founder Equity Value (est. 12-18% FD)</t>
  </si>
  <si>
    <t>WHOOP — Valuation Football Field</t>
  </si>
  <si>
    <t>Multi-method synthesis. Each method shown with low/base/high EV. Per-share converts via Assumptions F62 (debt), F63 (cash), F55 (FD shares).</t>
  </si>
  <si>
    <t>Method</t>
  </si>
  <si>
    <t>Source</t>
  </si>
  <si>
    <t>Low EV ($B)</t>
  </si>
  <si>
    <t>Base EV ($B)</t>
  </si>
  <si>
    <t>High EV ($B)</t>
  </si>
  <si>
    <t>Low $/sh</t>
  </si>
  <si>
    <t>Base $/sh</t>
  </si>
  <si>
    <t>High $/sh</t>
  </si>
  <si>
    <t>Weight</t>
  </si>
  <si>
    <t>Wtd Base</t>
  </si>
  <si>
    <t>Note</t>
  </si>
  <si>
    <t>1. Intrinsic DCF (base case, no options)</t>
  </si>
  <si>
    <t>Sensitivity Grid 1</t>
  </si>
  <si>
    <t>Primary fundamental method. WACC × Exit Mult range.</t>
  </si>
  <si>
    <t>1b. DCF + Real Options (probability-wtd)</t>
  </si>
  <si>
    <t>DCF Base + RO Active</t>
  </si>
  <si>
    <t>Binary-gate decision tree on healthcare reimbursement pathway. Additive to DCF. Replaces prior 3-cluster correlated framework (success/mixed/failure).</t>
  </si>
  <si>
    <t>2. Public Comps (three-thesis bracketing)</t>
  </si>
  <si>
    <t>Comps tab (three-thesis brackets)</t>
  </si>
  <si>
    <t>Three-thesis bracketing. Composite span $0.7B-$9.4B; T2 base anchor $4.0B (recognized GP × EV/GP). Implies Series G priced for bull case across drivers.</t>
  </si>
  <si>
    <t>Not yet populated</t>
  </si>
  <si>
    <t>Skipped per session decision. 5-10% memo weight max per methodology.</t>
  </si>
  <si>
    <t>4. Last-Round Implied (Series G)</t>
  </si>
  <si>
    <t>DCF C58</t>
  </si>
  <si>
    <t>Series G $10.1B post-money mark, March 2026. Single point, not derived value.</t>
  </si>
  <si>
    <t>5. Implied IPO Trading Range</t>
  </si>
  <si>
    <t>Assumptions C94/D94/E94</t>
  </si>
  <si>
    <t>Back-solve: $10.1B ÷ (1−illiquidity) ÷ (1−IPO discount). Bull = lower discounts, lower implied; Bear = higher discounts, higher implied.</t>
  </si>
  <si>
    <t>Weight Check</t>
  </si>
  <si>
    <t>= Σ(weight × base EV) per method</t>
  </si>
  <si>
    <t>Premium / (Discount) to Series G</t>
  </si>
  <si>
    <t>Positive = methods support a higher mark; negative = Series G is rich.</t>
  </si>
  <si>
    <t>Method Range Summary</t>
  </si>
  <si>
    <t>Lowest method base</t>
  </si>
  <si>
    <t>Highest method base</t>
  </si>
  <si>
    <t>Range across methods</t>
  </si>
  <si>
    <t>Memo Read</t>
  </si>
  <si>
    <t>Chart Data (helper table for visual)</t>
  </si>
  <si>
    <t>Low (offset)</t>
  </si>
  <si>
    <t>Range (visible bar)</t>
  </si>
  <si>
    <t>Base marker</t>
  </si>
  <si>
    <t>Series G ref</t>
  </si>
  <si>
    <t>1. Intrinsic DCF</t>
  </si>
  <si>
    <t>1b. DCF + Real Options</t>
  </si>
  <si>
    <t>2. Public Comps (Three-Thesis)</t>
  </si>
  <si>
    <t>5. Implied IPO Range</t>
  </si>
  <si>
    <t>Weighted Avg</t>
  </si>
  <si>
    <t>WHOOP — Scenario Summary</t>
  </si>
  <si>
    <t>Scenario EV by method; weight sensitivity grid. Populate after DCF + Comps are wired.</t>
  </si>
  <si>
    <t>Bear ($B)</t>
  </si>
  <si>
    <t>Base ($B)</t>
  </si>
  <si>
    <t>Bull ($B)</t>
  </si>
  <si>
    <t>1. Intrinsic DCF (base)</t>
  </si>
  <si>
    <t>Link from DCF tab</t>
  </si>
  <si>
    <t xml:space="preserve">   + Real Options</t>
  </si>
  <si>
    <t>Link from RealOptions tab</t>
  </si>
  <si>
    <t>2. Trading Comps (3-bucket)</t>
  </si>
  <si>
    <t>Link from Comps tab</t>
  </si>
  <si>
    <t>Link from Precedents tab</t>
  </si>
  <si>
    <t>4. Last-Round Implied</t>
  </si>
  <si>
    <t>Series G mark = $10.1B (constant)</t>
  </si>
  <si>
    <t>Link from Assumptions I5</t>
  </si>
  <si>
    <t>Probability Weight Sensitivity</t>
  </si>
  <si>
    <t>Weight Scheme</t>
  </si>
  <si>
    <t>Bear Wt</t>
  </si>
  <si>
    <t>Base Wt</t>
  </si>
  <si>
    <t>Bull Wt</t>
  </si>
  <si>
    <t>Weighted EV ($B)</t>
  </si>
  <si>
    <t>Pessimistic</t>
  </si>
  <si>
    <t>Neutral (base)</t>
  </si>
  <si>
    <t>Optimistic</t>
  </si>
  <si>
    <t>WHOOP — Sensitivity Analysis</t>
  </si>
  <si>
    <t>Grid 1: WACC × Exit Multiple → Enterprise Value ($B)</t>
  </si>
  <si>
    <t>WACC ↓ / Exit Mult (EV/Rev) →</t>
  </si>
  <si>
    <t>Grid 2: WACC × Terminal Growth (Gordon Method) → Enterprise Value ($B)</t>
  </si>
  <si>
    <t>WACC ↓ / Terminal Growth →</t>
  </si>
  <si>
    <t>Summary — Equity Value per Share Range</t>
  </si>
  <si>
    <t>Per Share Range ($)</t>
  </si>
  <si>
    <t>Grid 1: WACC × Exit Multiple</t>
  </si>
  <si>
    <t>Grid 2: WACC × Terminal Growth (Gordon)</t>
  </si>
  <si>
    <t>WHOOP — Diagnostic Checks</t>
  </si>
  <si>
    <t>Automated integrity checks per methodology Sec 9. ANY red FAIL must be resolved before output is trusted.</t>
  </si>
  <si>
    <t>Computed</t>
  </si>
  <si>
    <t>Threshold</t>
  </si>
  <si>
    <t>1. Members × ARPU ≈ Revenue (2025)</t>
  </si>
  <si>
    <t>&lt;5%</t>
  </si>
  <si>
    <t>Avg members × blended ARPU should reconcile to consumer revenue</t>
  </si>
  <si>
    <t>2. S&amp;M coverage: Members.S&amp;M$ ≤ P&amp;L.S&amp;M (2026)</t>
  </si>
  <si>
    <t>&lt;$1M</t>
  </si>
  <si>
    <t>P&amp;L S&amp;M = Members.row 46 (single source); should match exactly</t>
  </si>
  <si>
    <t>3. Comp bucket weights sum = 100%</t>
  </si>
  <si>
    <t>=100%</t>
  </si>
  <si>
    <t>B1+B2+B3 weights must total 1.0</t>
  </si>
  <si>
    <t>4. TV &lt; 75% of total EV (DCF)</t>
  </si>
  <si>
    <t>&lt;75%</t>
  </si>
  <si>
    <t>Methodology Sec 4: TV &gt;75% means explicit forecast doing too little</t>
  </si>
  <si>
    <t>5. Exit Multiple ↔ Gordon TV divergence</t>
  </si>
  <si>
    <t>&lt;25%</t>
  </si>
  <si>
    <t>Methodology Sec 4: divergence &gt;25% means assumption inconsistency</t>
  </si>
  <si>
    <t>6. Real options probability sum = 100%</t>
  </si>
  <si>
    <t>Materialize + fail must = 1.0 (binary gate, by construction). Updated post-RO redesign — was cluster sum (success/mixed/failure).</t>
  </si>
  <si>
    <t>7. WACC &gt; Perpetuity growth (Gordon validity)</t>
  </si>
  <si>
    <t>&gt;0%</t>
  </si>
  <si>
    <t>Required for Gordon Growth perpetuity to converge; safer if &gt;3pp</t>
  </si>
  <si>
    <t>8. Gross adds vs historical peak (any year)</t>
  </si>
  <si>
    <t>&lt;2.0x</t>
  </si>
  <si>
    <t>Methodology Sec 9: peak gross adds shouldn't exceed 2x base year</t>
  </si>
  <si>
    <t>9. Rule of 40 ≥ 20 by Phase 3</t>
  </si>
  <si>
    <t>≥20</t>
  </si>
  <si>
    <t>Min Rule of 40 across 2031-2033 forecast</t>
  </si>
  <si>
    <t>10. ARPU Justification consistency</t>
  </si>
  <si>
    <t>✓ or ⚠</t>
  </si>
  <si>
    <t>Verifies blended ARPU anchor is within ±10% of bottom-up justification</t>
  </si>
  <si>
    <t>Summary</t>
  </si>
  <si>
    <t>Total checks</t>
  </si>
  <si>
    <t>Research File Index</t>
  </si>
  <si>
    <t>File</t>
  </si>
  <si>
    <t>Contents</t>
  </si>
  <si>
    <t>Session</t>
  </si>
  <si>
    <t>research/whoop-research-brief.md</t>
  </si>
  <si>
    <t>Structured research brief</t>
  </si>
  <si>
    <t>S0</t>
  </si>
  <si>
    <t>research/whoop-pitchbook-data.md</t>
  </si>
  <si>
    <t>Pitchbook: cap table, funding, financials</t>
  </si>
  <si>
    <t>research/whoop-capiq-data.md</t>
  </si>
  <si>
    <t>Cap IQ: dilution waterfall, investors</t>
  </si>
  <si>
    <t>research/oura-pitchbook-data.md</t>
  </si>
  <si>
    <t>Oura private comp profile ($11B)</t>
  </si>
  <si>
    <t>research/peloton-10k-analysis.md</t>
  </si>
  <si>
    <t>Peloton deep dive (revenue, margins, subs)</t>
  </si>
  <si>
    <t>research/web-research-sweep.md</t>
  </si>
  <si>
    <t>Market data, Forge, Garmin, Strava</t>
  </si>
  <si>
    <t>research/revenue-bookings-reconciliation.md</t>
  </si>
  <si>
    <t>$1.1B bookings vs revenue, ARPU, churn grids</t>
  </si>
  <si>
    <t>research/investor-deep-research.md</t>
  </si>
  <si>
    <t>Series G investor analysis</t>
  </si>
  <si>
    <t>research/stress-test-international-revenue.md</t>
  </si>
  <si>
    <t>60% intl claim verification</t>
  </si>
  <si>
    <t>research/stress-test-revenue-reconciliation.md</t>
  </si>
  <si>
    <t>Revenue stress test (base: $650M)</t>
  </si>
  <si>
    <t>research/comp-dexcom-dxcm.md</t>
  </si>
  <si>
    <t>Dexcom 10-K (5yr financials)</t>
  </si>
  <si>
    <t>research/comp-garmin-grmn.md</t>
  </si>
  <si>
    <t>Garmin 10-K (5yr, 5 segments)</t>
  </si>
  <si>
    <t>research/comp-resmed-rmd.md</t>
  </si>
  <si>
    <t>ResMed 10-K (connected device + SaaS)</t>
  </si>
  <si>
    <t>research/comp-masimo-masi.md</t>
  </si>
  <si>
    <t>Masimo 10-K (Danaher deal, Sound United)</t>
  </si>
  <si>
    <t>research/comp-irhythm-irtc.md</t>
  </si>
  <si>
    <t>iRhythm 10-K (cardiac wearable + SaaS)</t>
  </si>
  <si>
    <t>research/comp-spotify-spot.md</t>
  </si>
  <si>
    <t>Spotify 20-F (751M MAU, profitability inflection)</t>
  </si>
  <si>
    <t>research/comp-peloton-pton.md</t>
  </si>
  <si>
    <t>Peloton comp profile (trading multiples)</t>
  </si>
  <si>
    <t>research/comp-trading-multiples-summary.md</t>
  </si>
  <si>
    <t>Master multiples + bucket analysis</t>
  </si>
  <si>
    <t>research/damodaran-wacc-inputs.md</t>
  </si>
  <si>
    <t>ERP 4.23%, betas, risk-free 4.3%</t>
  </si>
  <si>
    <t>research/comp-historical-multiples-v19.md</t>
  </si>
  <si>
    <t>3yr time variance: DXCM 13.8x→5.0x</t>
  </si>
  <si>
    <t>research/peloton-10k-gaps.md</t>
  </si>
  <si>
    <t>S&amp;M/G&amp;A split (XBRL), SBC history</t>
  </si>
  <si>
    <t>research/secondary-market-pricing.md</t>
  </si>
  <si>
    <t>Forge/Hiive/EquityZen, DLOM analysis</t>
  </si>
  <si>
    <t>research/precedent-transactions.md</t>
  </si>
  <si>
    <t>14 deals, 3-bucket M&amp;A analysis</t>
  </si>
  <si>
    <t>Web Sources (this build)</t>
  </si>
  <si>
    <t>Used For</t>
  </si>
  <si>
    <t>URL / Reference</t>
  </si>
  <si>
    <t>Date Accessed</t>
  </si>
  <si>
    <t>BusinessWire (WHOOP press release)</t>
  </si>
  <si>
    <t>Advanced Labs pricing: $199/$349/$599 (1/2/4 tests/yr); 350K waitlist on launch</t>
  </si>
  <si>
    <t>businesswire.com/news/home/20250930178710/</t>
  </si>
  <si>
    <t>Sept 30, 2025 launch</t>
  </si>
  <si>
    <t>Boston Globe</t>
  </si>
  <si>
    <t>Women's blood test add-on $299; 150% YoY women membership growth; staff +75%</t>
  </si>
  <si>
    <t>bostonglobe.com/2026/03/10/business/whoop-299-blood-testing-service-women/</t>
  </si>
  <si>
    <t>WHOOP Membership page</t>
  </si>
  <si>
    <t>Tier pricing: One ~$199, Peak ~$239-279, Life ~$359; BP &amp; Healthspan bundled in Peak/Life</t>
  </si>
  <si>
    <t>whoop.com/us/en/membership/</t>
  </si>
  <si>
    <t>WHOOP BP Insights page</t>
  </si>
  <si>
    <t>BP Insights bundled in Peak &amp; Life (NOT separate paid feature)</t>
  </si>
  <si>
    <t>whoop.com/us/en/thelocker/blood-pressure-insights/</t>
  </si>
  <si>
    <t>Bloomberg</t>
  </si>
  <si>
    <t>May 2025 hardware launch: WHOOP 5.0 + WHOOP MG (medical grade); subscription from $199</t>
  </si>
  <si>
    <t>bloomberg.com/news/features/2025-05-08/review-whoop-5-0-whoop-mg</t>
  </si>
  <si>
    <t>TechCrunch</t>
  </si>
  <si>
    <t>Function Health $500/yr quarterly (comp price point); Fountain Life $20K/yr</t>
  </si>
  <si>
    <t>techcrunch.com/2025/09/30/whoop-opens-its-blood-testing-service/</t>
  </si>
  <si>
    <t>WHOOP Valuation — Calibration &amp; Open Items Log</t>
  </si>
  <si>
    <t>Items deferred for next session. Each is non-blocking but should be addressed before relying on numbers for IC/memo. Sorted by priority.</t>
  </si>
  <si>
    <t>Tab</t>
  </si>
  <si>
    <t>Cell / Area</t>
  </si>
  <si>
    <t>Issue</t>
  </si>
  <si>
    <t>Suggested fix</t>
  </si>
  <si>
    <t>Priority</t>
  </si>
  <si>
    <t>DCF</t>
  </si>
  <si>
    <t>C30</t>
  </si>
  <si>
    <t>TV divergence 55% (Exit Mult $16.1B vs Gordon $9.1B); methodology threshold 25%</t>
  </si>
  <si>
    <t>Lower exit mult to ~3.0x for Gordon equivalence, OR accept divergence as bull bias on terminal multiple compression</t>
  </si>
  <si>
    <t>Open</t>
  </si>
  <si>
    <t>C33</t>
  </si>
  <si>
    <t>TV is 85% of total EV; methodology threshold 75%; explicit forecast doing only 15% of work</t>
  </si>
  <si>
    <t>Tighten R&amp;D/G&amp;A tapers (raises FCF in forecast period), OR extend horizon from 8 to 10 years</t>
  </si>
  <si>
    <t>P&amp;L</t>
  </si>
  <si>
    <t>L31</t>
  </si>
  <si>
    <t>Margin tapers calibrated against bucket-3 peer benchmarks. R&amp;D scenarios spread (Bear 12% / Base 15% / Bull 18%) reflect platform thesis. G&amp;A 13/11/9 per Dexcom/ResMed anchors. SBC restructured: now interpolates from F47 (current) to F48 (terminal), 14%→8% Base. Terminal EBITDA: 36% → 33%.</t>
  </si>
  <si>
    <t>DONE — Assumptions C40/D40/E40 (R&amp;D), C46/D46/E46 (G&amp;A), C47-E47 (SBC current), C48-E48 (SBC terminal, NEW row inserted). P&amp;L row 26 SBC formula updated to interpolate.</t>
  </si>
  <si>
    <t>Done</t>
  </si>
  <si>
    <t>RESOLVED</t>
  </si>
  <si>
    <t>D38</t>
  </si>
  <si>
    <t>Interest income wired — prior-yr cash × yield (Assumptions F66, 3.5% base). 2026-2033 NI uplift ~$300M cumulative. Non-circular: does NOT flow into UFCF.</t>
  </si>
  <si>
    <t>DONE — P&amp;L D38:L38 wired to WC &amp; Cash row 32 × Assumptions F66</t>
  </si>
  <si>
    <t>F31</t>
  </si>
  <si>
    <t>2027 EBITDA margin dips 22→12% from gross adds bulge (1.24M units → hardware COGS spike)</t>
  </si>
  <si>
    <t>Smooth Members E50:F50 to even gross adds across Phase 1, OR accept as Phase 1 deployment shape</t>
  </si>
  <si>
    <t>L23</t>
  </si>
  <si>
    <t>S&amp;M as % current revenue runs 16-20% vs methodology stated 30%</t>
  </si>
  <si>
    <t>Architecture-driven gap from prior-yr-rev basis. Either restate methodology, OR raise Members S&amp;M phase % inputs</t>
  </si>
  <si>
    <t>D40</t>
  </si>
  <si>
    <t>NOL carryforward wired — P&amp;L rows 44-48. Begin/Add/Util/End schedule with 80% TCJA utilization cap. Self-balancing: any future losses auto-flow to NOL pool.</t>
  </si>
  <si>
    <t>DONE — P&amp;L D40:L40 tax formula updated to MAX(0, Pretax − NOL_Util) × 23%. 2026/2027 NI uplift modest (~$14M, $7M) at current pretax.</t>
  </si>
  <si>
    <t>Revenue Build</t>
  </si>
  <si>
    <t>Row 19</t>
  </si>
  <si>
    <t>$528M 2025 revenue vs $650M methodology target; gap is Unite B2B + Coach</t>
  </si>
  <si>
    <t>Add Unite B2B as separate revenue line on Revenue Build (Path C). $80-120M anchor.</t>
  </si>
  <si>
    <t>ARPU</t>
  </si>
  <si>
    <t>D34</t>
  </si>
  <si>
    <t>Derived ARPU $278 vs methodology anchor $338 (-17.7% gap)</t>
  </si>
  <si>
    <t>Largely resolved by Unite B2B path above. Revisit anchor language in methodology after.</t>
  </si>
  <si>
    <t>Linked</t>
  </si>
  <si>
    <t>FCF</t>
  </si>
  <si>
    <t>L17</t>
  </si>
  <si>
    <t>FCF margin 19% in 2033, ~5pp below methodology terminal prior of 25-28%</t>
  </si>
  <si>
    <t>Will resolve when EBITDA tapers tightened (linked to L31). Or lower CapEx % from 4% to 3%.</t>
  </si>
  <si>
    <t>Open Tabs / Builds Pending</t>
  </si>
  <si>
    <t>Balance Sheet</t>
  </si>
  <si>
    <t>Not yet built. Unlocks interest income wiring, NWC validation, cash build through forecast.</t>
  </si>
  <si>
    <t>Next</t>
  </si>
  <si>
    <t>Three grids built and live: WACC × Exit Mult, WACC × Terminal Growth (Gordon), Beta × CSRP → EV. Per-share range $14.8-33.7 across method combinations.</t>
  </si>
  <si>
    <t>Football Field</t>
  </si>
  <si>
    <t>Multi-method synthesis live with chart visualization. 5 methods wired to live sources. Weighted avg $8.6B / $22.75 per share, ~14.5% below Series G. Range bar chart added at A29 helper table; Series G $10.1B reference line overlay. Methods range $4.4B (forward comps) to $14.0B (IPO range).</t>
  </si>
  <si>
    <t>DONE — Football Field tab fully wired. All cells formula-driven from DCF / Sensitivity / Comps / Assumptions / RealOptions.</t>
  </si>
  <si>
    <t>Three-bucket framework wired. Per-comp data placeholder (verify vs SEC/Bloomberg). Bucket summary stats (median + range), implied valuation table by scenario, dual back-solve (naive vs growth-adjusted) all live. Implied EVs: Bear $4.7B, Base $5.4B, Bull $6.3B vs Series G $10.1B.</t>
  </si>
  <si>
    <t>DONE — Comps tab fully wired. Data placeholder; refresh with current trading multiples before relying on output.</t>
  </si>
  <si>
    <t>WIRED (data needs refresh)</t>
  </si>
  <si>
    <t>Precedents</t>
  </si>
  <si>
    <t>Tab exists; needs deals populated per Assumptions Sec 8.</t>
  </si>
  <si>
    <t>Later</t>
  </si>
  <si>
    <t>ΔNWC</t>
  </si>
  <si>
    <t>FCF row 15</t>
  </si>
  <si>
    <t>FCF tab now uses detailed WC schedule (was 8% plug). DCF EV +$813M to $9.54B; per share +$1.98 to $24.95.</t>
  </si>
  <si>
    <t>DONE — FCF!D15:L15 wired to 'WC &amp; Cash'!D25:L25</t>
  </si>
  <si>
    <t>Framing</t>
  </si>
  <si>
    <t>Cover B56:B58, DCF A55</t>
  </si>
  <si>
    <t>Discussed and decided: bucket-3 weight is expressed via 4.5x exit multiple (50% compressed from B3 ~9x), NOT via P&amp;L margin compression. Base case 33% terminal EBITDA reflects WHOOP's natural subscription economics if executed. Real options carry the bucket-3-becoming-true upside as separate value source. No double-counting risk verified.</t>
  </si>
  <si>
    <t>DONE — Framing documented on Cover B56:B58 and DCF A55. Base case held; options held. No further OpEx changes.</t>
  </si>
  <si>
    <t>Real Options</t>
  </si>
  <si>
    <t>RealOptions C5:D7</t>
  </si>
  <si>
    <t>Cluster probabilities (18/45/37) and values ($5.5/$2.5/$0.75B) are methodology-anchored priors, NOT derived from research. Highest-leverage, lowest-rigor input. $2.4B option value swings $1.5-3.5B across reasonable probability ranges. The +18% premium of DCF+Options to Series G is sensitive to this judgment.</t>
  </si>
  <si>
    <t>Acknowledged in memo as judgment input. Notes added to RealOptions C5:D7 and A18:A22. No model change; flagged for memo discussion of sensitivity.</t>
  </si>
  <si>
    <t>Memo flag</t>
  </si>
  <si>
    <t>DOCUMENTED</t>
  </si>
  <si>
    <t>Base case anchored: WACC 10.85%, Exit Mult 3.5x, Terminal Growth 3.0% → EV $7.31B / Equity $8.00B / $19.50 per share. Yellow cell = base case (E9).</t>
  </si>
  <si>
    <t>Series G mark $10.1B post-money = $24.63 implied per share. Base DCF base case = $19.50 (-20.8% discount to Series G).</t>
  </si>
  <si>
    <t>Multi-method synthesis lands at $7.2B / $19.29 per share, -28.5% below Series G $10.1B / $26.32. Methods range $4.0B (Comps T2 base, recognized GP × EV/GP) to $12.6B (IPO Base implied). DCF is the analytical anchor at $7.3B EV / $8.0B equity (3.5x exit, full WC schedule); the +healthcare-option bridge adds $0.7B at base probability, lifting to $8.0B (-21% vs Series G). Three-thesis comps undershoot Series G across every basis: Failed Pivot $1.2B, Subscription Executed $4.0B median (recognized GP × EV/GP), Healthcare Platform bracketed within. Even the most flattering comp combo (T2 bookings GP × EV/GP at $7.5B) sits 25% below mark. IPO range $11.9-13.5B implied is consistent with Series G investors targeting 25%+ IRR over 12-18 month hold. Bottom line: independent triangulation centers $7.2-8.0B; Series G prices in the bull case across multiple drivers.</t>
  </si>
  <si>
    <t>Assumptions Tab — Cleanup Audit</t>
  </si>
  <si>
    <t>Cross-sheet reference scan of every Assumptions row. Categories: WIRED (used downstream), INTERNAL (consumed only by other Assumptions cells), ORPHAN (defined but unreferenced anywhere), ARCHIVED (deprecated section per A126 header). Action column = recommendation.</t>
  </si>
  <si>
    <t>Summary by section</t>
  </si>
  <si>
    <t>Section</t>
  </si>
  <si>
    <t>Total Rows</t>
  </si>
  <si>
    <t>Wired</t>
  </si>
  <si>
    <t>Internal Only</t>
  </si>
  <si>
    <t>Orphan</t>
  </si>
  <si>
    <t>Sec 1: Revenue &amp; Growth (rows 8-28)</t>
  </si>
  <si>
    <t>Wired: F8, F9, F11, F12, F19, F20, F21. Phase growth &amp; churn rates not used by Members/Revenue Build.</t>
  </si>
  <si>
    <t>Sec 2: Cost Structure (rows 31-53)</t>
  </si>
  <si>
    <t>Wired: F32, F39, F40, F41, F45, F46, F47, F48, F52, F53. Tier-by-tier GM (C7a/b/c) replaced by collapsed C7d_start/end (rows 151-152).</t>
  </si>
  <si>
    <t>Sec 3: Cap Structure (rows 55-67)</t>
  </si>
  <si>
    <t>Wired: F55 (FD shares), F62 (debt), F63 (cash), F67 (cash yield). Cap table detail (LP, ratchets, founder %, DLOM) unused.</t>
  </si>
  <si>
    <t>Sec 4: WACC (rows 69-74)</t>
  </si>
  <si>
    <t>All wired. Sensitivity grids reference C/D/E directly for bottom-up build (intentional).</t>
  </si>
  <si>
    <t>Sec 5: Terminal Value (rows 77-81)</t>
  </si>
  <si>
    <t>Wired: F78 (exit mult), F80 (terminal growth). Method label, EV/EBITDA, multiple compression unused.</t>
  </si>
  <si>
    <t>Sec 6: Comp Bucket Weights (rows 84-87)</t>
  </si>
  <si>
    <t>All wired. Comps tab references C/D/E directly for thesis-anchored brackets (intentional).</t>
  </si>
  <si>
    <t>Sec 7: IPO Range (rows 90-94)</t>
  </si>
  <si>
    <t>Wired: only F94 / C94/D94/E94 (Stage 1 fair value). Timing, discount, IRR — defined but unused.</t>
  </si>
  <si>
    <t>Sec 8: Precedents (rows 97-102)</t>
  </si>
  <si>
    <t>ENTIRE SECTION ORPHAN. Precedents tab does not reference Assumptions.</t>
  </si>
  <si>
    <t>Sec 9: Real Options (rows 156-161)</t>
  </si>
  <si>
    <t>All wired. RealOptions tab references C/D/E directly (intentional, scenario-aligned).</t>
  </si>
  <si>
    <t>Sec 10: Gross Adds Drivers (rows 117-123)</t>
  </si>
  <si>
    <t>All wired. Members tab uses F117, F118, F121, F122, F123.</t>
  </si>
  <si>
    <t>Sec 11: ARCHIVED ARPU decomp (rows 130-149)</t>
  </si>
  <si>
    <t>ARCHIVED per header A126. Replaced by R4g/C7d_start/C7d_end (rows 150-152). DELETE CANDIDATES.</t>
  </si>
  <si>
    <t>Collapsed Drivers (rows 150-152)</t>
  </si>
  <si>
    <t>All wired. R4g (ARPU growth) → ARPU tab. C7d_start/end → P&amp;L.</t>
  </si>
  <si>
    <t>TOTAL</t>
  </si>
  <si>
    <t>Total assumption rows / wired / internal / orphan + archived</t>
  </si>
  <si>
    <t>Detailed Orphan List — Delete Candidates</t>
  </si>
  <si>
    <t>Row</t>
  </si>
  <si>
    <t>Label</t>
  </si>
  <si>
    <t>Reason / Replacement</t>
  </si>
  <si>
    <t>Action</t>
  </si>
  <si>
    <t>ORPHAN</t>
  </si>
  <si>
    <t>Members tab tracks subscribers directly; sub % not used. Revenue Build derives from members × ARPU.</t>
  </si>
  <si>
    <t>DELETE</t>
  </si>
  <si>
    <t>Not referenced. Growth flows from Members tab cohort math.</t>
  </si>
  <si>
    <t>Phase growth replaced by bottom-up Members × ARPU build. R7-R9 are legacy top-down inputs.</t>
  </si>
  <si>
    <t>Same — superseded by bottom-up build.</t>
  </si>
  <si>
    <t>B2B not separately modeled in current build. Revenue Build aggregates.</t>
  </si>
  <si>
    <t>Sec 11 ARCHIVED equivalent (R25a, row 137) was wired but archived.</t>
  </si>
  <si>
    <t>Labs Avg Test Price</t>
  </si>
  <si>
    <t>Sec 11 archived. Labs not currently driving.</t>
  </si>
  <si>
    <t>Replaced by R4g (row 150) Blended ARPU growth.</t>
  </si>
  <si>
    <t>Members tab back-solves gross adds from S&amp;M / CAC (Sec 10 drivers).</t>
  </si>
  <si>
    <t>Hardware BOM per Device</t>
  </si>
  <si>
    <t>Hardware GM not separately modeled — collapsed into blended C7d_start/end.</t>
  </si>
  <si>
    <t>Subscription Delivery Cost %</t>
  </si>
  <si>
    <t>Same — collapsed into blended COGS.</t>
  </si>
  <si>
    <t>Subscription Gross Margin</t>
  </si>
  <si>
    <t>Standalone sub GM unused; blended drives P&amp;L.</t>
  </si>
  <si>
    <t>Hardware Gross Margin</t>
  </si>
  <si>
    <t>Standalone hw GM unused; blended drives P&amp;L.</t>
  </si>
  <si>
    <t>Blended GM Phase 1</t>
  </si>
  <si>
    <t>Phase-bucketed GMs replaced by linear interpolation (C7d_start/end, rows 151-152).</t>
  </si>
  <si>
    <t>Blended GM Phase 2</t>
  </si>
  <si>
    <t>Same — superseded by collapsed driver.</t>
  </si>
  <si>
    <t>Same — superseded by C7d_end.</t>
  </si>
  <si>
    <t>Paid CAC per Gross Add</t>
  </si>
  <si>
    <t>Members tab uses blended CAC from GA4/GA5 (rows 121-122) instead.</t>
  </si>
  <si>
    <t>Athlete/Brand Spend</t>
  </si>
  <si>
    <t>Folded into blended CAC drivers.</t>
  </si>
  <si>
    <t>S&amp;M % terminal</t>
  </si>
  <si>
    <t>Replaced by GA2 (row 118) S&amp;M% endpoint approach.</t>
  </si>
  <si>
    <t>WC &amp; Cash schedule uses direct cycle days, not %.</t>
  </si>
  <si>
    <t>Labs not separately modeled.</t>
  </si>
  <si>
    <t>Series G Price per Share</t>
  </si>
  <si>
    <t>FF references DCF!C52 directly for Series G $ valuation.</t>
  </si>
  <si>
    <t>Cap stack detail not used in current valuation.</t>
  </si>
  <si>
    <t>DELETE or KEEP as documentation</t>
  </si>
  <si>
    <t>Same.</t>
  </si>
  <si>
    <t>Option Pool Size</t>
  </si>
  <si>
    <t>FD shares (F55) already accounts for pool.</t>
  </si>
  <si>
    <t>Founder Ownership %</t>
  </si>
  <si>
    <t>Not used in valuation.</t>
  </si>
  <si>
    <t>DLOM</t>
  </si>
  <si>
    <t>DLOM not applied in current model. Was placeholder for 409A-style discount.</t>
  </si>
  <si>
    <t>EV-to-Equity Bridge</t>
  </si>
  <si>
    <t>Bridge built directly in DCF (C36+C37). F64 not referenced.</t>
  </si>
  <si>
    <t>Documentation only — not driving math.</t>
  </si>
  <si>
    <t>KEEP as documentation</t>
  </si>
  <si>
    <t>DCF C25 hardcoded to =C22 (Exit Multiple). Method label not driving.</t>
  </si>
  <si>
    <t>DELETE or wire as IF switch</t>
  </si>
  <si>
    <t>EV/Revenue (F78) is the active method.</t>
  </si>
  <si>
    <t>Not applied to terminal multiple in DCF.</t>
  </si>
  <si>
    <t>IPO Timing (months)</t>
  </si>
  <si>
    <t>F94 derives Stage 1 fair value from Series G + IRR + discount; doesn't use timing months directly.</t>
  </si>
  <si>
    <t>DELETE or wire to IRR period</t>
  </si>
  <si>
    <t>IPO Pricing Discount</t>
  </si>
  <si>
    <t>ORPHAN at F-level</t>
  </si>
  <si>
    <t>C91/D91/E91 used in F94 formula directly. F91 not referenced.</t>
  </si>
  <si>
    <t>KEEP cells C/D/E, can DELETE F91</t>
  </si>
  <si>
    <t>Investor Required IRR</t>
  </si>
  <si>
    <t>F94 derivation uses C92/D92/E92 (the discount factor row, not visible in extract).</t>
  </si>
  <si>
    <t>VERIFY F93 not used; likely DELETE</t>
  </si>
  <si>
    <t>97-102</t>
  </si>
  <si>
    <t>P1-Pb3</t>
  </si>
  <si>
    <t>Sec 8 Precedents (entire section)</t>
  </si>
  <si>
    <t>Precedents tab built independently. None of these inputs flow through.</t>
  </si>
  <si>
    <t>DELETE entire section</t>
  </si>
  <si>
    <t>130-149</t>
  </si>
  <si>
    <t>R24a-R27c</t>
  </si>
  <si>
    <t>Sec 11 ARCHIVED ARPU decomp</t>
  </si>
  <si>
    <t>ARCHIVED</t>
  </si>
  <si>
    <t>Header A126 confirms archived. 18 rows of tier-mix / labs / accessories / BP-healthspan decomp — all replaced by R4g (row 150).</t>
  </si>
  <si>
    <t>Recommendations &amp; Cleanup Path</t>
  </si>
  <si>
    <t>1. Safe Bulk Delete — Sec 11 ARCHIVED (rows 126-149)</t>
  </si>
  <si>
    <t>Drop the entire 'Section 11 (ARCHIVED)' block. Header A126 explicitly marks it deprecated. Replaced by R4g/C7d_start/C7d_end (rows 150-152) which ARE wired. Verified zero downstream references. Removes 24 rows of clutter.</t>
  </si>
  <si>
    <t>2. Safe Bulk Delete — Sec 8 Precedents (rows 96-102)</t>
  </si>
  <si>
    <t>Entire section unreferenced. Precedents tab does not pull from Assumptions. If precedents analysis is parked for later, leave inputs on Precedents tab itself, not in master Assumptions.</t>
  </si>
  <si>
    <t>3. Sec 1 + Sec 2 Cleanup — Legacy top-down inputs</t>
  </si>
  <si>
    <t>Phase growth (R7-R9), B2B/Labs/inflation (R11-R15), gross adds anchor (R16), and tier-by-tier GMs (C7a-c) are vestiges of an earlier top-down structure. The bottom-up Members × ARPU build supersedes them. Recommend deleting after a final scan to confirm no notes/comments depend on these row IDs.</t>
  </si>
  <si>
    <t>4. Sec 3 Cap Structure — Trim</t>
  </si>
  <si>
    <t>Keep F55 (FD shares), F62 (debt), F63 (cash), F67 (cash yield). Consider keeping S16 (ratchet provisions) as text documentation. Delete S2-S9, S15. Removes 8 rows.</t>
  </si>
  <si>
    <t>5. Sec 5/7 Trim</t>
  </si>
  <si>
    <t>Sec 5: keep F78 (exit mult) and F80 (terminal growth); delete D9 method label, D11 EV/EBITDA, D28 multiple compression. Sec 7: keep C/D/E values for I2-I3 (used inline in F94 formula); delete F-row pulls for I1, I4 if confirmed unused.</t>
  </si>
  <si>
    <t>Estimated Net Cleanup</t>
  </si>
  <si>
    <t>Total rows defined:</t>
  </si>
  <si>
    <t>~110 input + label rows</t>
  </si>
  <si>
    <t>Safe deletes (immediate):</t>
  </si>
  <si>
    <t>~18 rows (Sec 11 archived + Sec 8 precedents)</t>
  </si>
  <si>
    <t>Conditional deletes (after sign-off):</t>
  </si>
  <si>
    <t>~30+ rows (legacy Sec 1/2/3/5/7 inputs)</t>
  </si>
  <si>
    <t>Post-cleanup target:</t>
  </si>
  <si>
    <t>~60 rows (45% reduction in Assumptions tab footprint)</t>
  </si>
  <si>
    <t>IMPORTANT — Read Before Deleting</t>
  </si>
  <si>
    <t>Some 'orphan' rows are referenced by NOTES on other cells (e.g., 'see C40' in DCF row 32) rather than by formula. Notes preserve audit trail but break if rows shift. Recommend: instead of deleting rows in place, MOVE all orphans to a 'Section X: ARCHIVED' bucket at the bottom of Assumptions, mark them gray, and reclaim the space if desired in a later pass.</t>
  </si>
  <si>
    <t>a</t>
  </si>
  <si>
    <t>✓ Integrity flags clear: TV divergence 2.9% (&lt;25% threshold), TV % EV 72% (&lt;75% threshold). Both passed after exit-multiple tightening to 3.5x and WC schedule wiring.</t>
  </si>
  <si>
    <t>← From Assumptions F39/F40 (R&amp;D phase % linearly interpolated)</t>
  </si>
  <si>
    <t>← From Members tab S&amp;M build (= prior-yr revenue × GA1/GA2 endpoint)</t>
  </si>
  <si>
    <t>← From Assumptions F45/F46 (G&amp;A phase % linearly interpolated)</t>
  </si>
  <si>
    <t>← From Assumptions F47/F48 (SBC phase % linearly interpolated)</t>
  </si>
  <si>
    <t>Series G Mark (Equity, post-money)</t>
  </si>
  <si>
    <t>Series G EV equivalent</t>
  </si>
  <si>
    <t>Equity − Cash + Debt. EV-basis comparable for premium/(discount) calc.</t>
  </si>
  <si>
    <t>Median of independent methods (DCF, Comps, DCF+RO)</t>
  </si>
  <si>
    <t>Cross-Check</t>
  </si>
  <si>
    <t>Cross-check on the DCF anchor.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</si>
</sst>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0.0%"/>
    <numFmt numFmtId="165" formatCode="\$#,##0"/>
    <numFmt numFmtId="166" formatCode="0.0\x"/>
    <numFmt numFmtId="167" formatCode="0.0"/>
    <numFmt numFmtId="168" formatCode="\$#,##0.00"/>
    <numFmt numFmtId="169" formatCode="0.0&quot;x&quot;"/>
    <numFmt numFmtId="170" formatCode="0.00&quot;x&quot;"/>
    <numFmt numFmtId="171" formatCode="&quot;$&quot;#,##0"/>
    <numFmt numFmtId="172" formatCode="0.0%;\(0.0%\);\-"/>
    <numFmt numFmtId="173" formatCode="&quot;$&quot;#,##0;\(&quot;$&quot;#,##0\);\-"/>
    <numFmt numFmtId="174" formatCode="0.0;\(0.0\);\-"/>
    <numFmt numFmtId="175" formatCode="0.000"/>
    <numFmt numFmtId="176" formatCode="&quot;$&quot;#,##0.00"/>
    <numFmt numFmtId="177" formatCode="0.00%;\(0.00%\);\-"/>
    <numFmt numFmtId="178" formatCode="&quot;$&quot;0.00"/>
    <numFmt numFmtId="179" formatCode="&quot;$&quot;0.00&quot;B&quot;"/>
    <numFmt numFmtId="180" formatCode="\+0.0&quot;x&quot;;\-0.0&quot;x&quot;"/>
    <numFmt numFmtId="181" formatCode="mmm\-yyyy"/>
    <numFmt numFmtId="182" formatCode="#,##0.00;\(#,##0.00\);\-"/>
    <numFmt numFmtId="183" formatCode="0%;\(0%\);\-"/>
    <numFmt numFmtId="184" formatCode="\+0.0%;\-0.0%"/>
    <numFmt numFmtId="185" formatCode="0.00&quot;x&quot;;\(0.00&quot;x&quot;\);\-"/>
    <numFmt numFmtId="186" formatCode="\+0.0%;\-0.0%;\-"/>
    <numFmt numFmtId="187" formatCode="\+0.00;\-0.00;0.00"/>
    <numFmt numFmtId="188" formatCode="\+0.000;\-0.000;0.000"/>
    <numFmt numFmtId="189" formatCode="\+0.00%;\-0.00%;0.00%"/>
    <numFmt numFmtId="190" formatCode="&quot;$&quot;#,##0.00&quot;B&quot;;\(&quot;$&quot;#,##0.00&quot;B&quot;\);\-"/>
  </numFmts>
  <fonts count="124" x14ac:knownFonts="1">
    <font>
      <sz val="11"/>
      <color theme="1"/>
      <name val="Calibri"/>
      <family val="2"/>
      <scheme val="minor"/>
    </font>
    <font>
      <b/>
      <sz val="24"/>
      <name val="Calibri"/>
      <family val="2"/>
    </font>
    <font>
      <sz val="16"/>
      <color rgb="FF666666"/>
      <name val="Calibri"/>
      <family val="2"/>
    </font>
    <font>
      <sz val="11"/>
      <color rgb="FF666666"/>
      <name val="Calibri"/>
      <family val="2"/>
    </font>
    <font>
      <b/>
      <sz val="10"/>
      <color rgb="FF000000"/>
      <name val="Calibri"/>
      <family val="2"/>
    </font>
    <font>
      <sz val="10"/>
      <color rgb="FF0000FF"/>
      <name val="Calibri"/>
      <family val="2"/>
    </font>
    <font>
      <b/>
      <sz val="11"/>
      <color rgb="FF000000"/>
      <name val="Calibri"/>
      <family val="2"/>
    </font>
    <font>
      <sz val="10"/>
      <color rgb="FF000000"/>
      <name val="Calibri"/>
      <family val="2"/>
    </font>
    <font>
      <sz val="10"/>
      <color rgb="FF008000"/>
      <name val="Calibri"/>
      <family val="2"/>
    </font>
    <font>
      <sz val="10"/>
      <color rgb="FFCC0000"/>
      <name val="Calibri"/>
      <family val="2"/>
    </font>
    <font>
      <i/>
      <sz val="9"/>
      <color rgb="FF666666"/>
      <name val="Calibri"/>
      <family val="2"/>
    </font>
    <font>
      <b/>
      <sz val="14"/>
      <color rgb="FF000000"/>
      <name val="Calibri"/>
      <family val="2"/>
    </font>
    <font>
      <i/>
      <sz val="9"/>
      <color rgb="FF999999"/>
      <name val="Calibri"/>
      <family val="2"/>
    </font>
    <font>
      <b/>
      <sz val="10"/>
      <color rgb="FFFFFFFF"/>
      <name val="Calibri"/>
      <family val="2"/>
    </font>
    <font>
      <b/>
      <sz val="11"/>
      <color rgb="FFFFFFFF"/>
      <name val="Calibri"/>
      <family val="2"/>
    </font>
    <font>
      <b/>
      <sz val="10"/>
      <color rgb="FFC00000"/>
      <name val="Calibri"/>
      <family val="2"/>
    </font>
    <font>
      <b/>
      <sz val="11"/>
      <color rgb="FFFFFFFF"/>
      <name val="Calibri"/>
      <family val="2"/>
      <scheme val="minor"/>
    </font>
    <font>
      <sz val="9"/>
      <color rgb="FF666666"/>
      <name val="Calibri"/>
      <family val="2"/>
      <scheme val="minor"/>
    </font>
    <font>
      <i/>
      <sz val="9"/>
      <color rgb="FF666666"/>
      <name val="Calibri"/>
      <family val="2"/>
      <scheme val="minor"/>
    </font>
    <font>
      <sz val="10"/>
      <color theme="1"/>
      <name val="Calibri"/>
      <family val="2"/>
      <scheme val="minor"/>
    </font>
    <font>
      <sz val="10"/>
      <color rgb="FF0000FF"/>
      <name val="Calibri"/>
      <family val="2"/>
      <scheme val="minor"/>
    </font>
    <font>
      <b/>
      <sz val="10"/>
      <color rgb="FFC00000"/>
      <name val="Calibri"/>
      <family val="2"/>
      <scheme val="minor"/>
    </font>
    <font>
      <i/>
      <sz val="10"/>
      <color rgb="FF666666"/>
      <name val="Calibri"/>
      <family val="2"/>
      <scheme val="minor"/>
    </font>
    <font>
      <b/>
      <sz val="10"/>
      <color theme="1"/>
      <name val="Calibri"/>
      <family val="2"/>
      <scheme val="minor"/>
    </font>
    <font>
      <sz val="11"/>
      <color rgb="FF008000"/>
      <name val="Calibri"/>
      <family val="2"/>
      <scheme val="minor"/>
    </font>
    <font>
      <sz val="10"/>
      <color rgb="FF008000"/>
      <name val="Calibri"/>
      <family val="2"/>
      <scheme val="minor"/>
    </font>
    <font>
      <i/>
      <sz val="11"/>
      <color rgb="FF666666"/>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i/>
      <sz val="11"/>
      <color rgb="FF666666"/>
      <name val="Calibri"/>
      <family val="2"/>
      <scheme val="minor"/>
    </font>
    <font>
      <i/>
      <sz val="10"/>
      <color rgb="FF666666"/>
      <name val="Calibri"/>
      <family val="2"/>
    </font>
    <font>
      <b/>
      <i/>
      <sz val="9"/>
      <color rgb="FF666666"/>
      <name val="Calibri"/>
      <family val="2"/>
    </font>
    <font>
      <i/>
      <sz val="10"/>
      <color rgb="FF999999"/>
      <name val="Calibri"/>
      <family val="2"/>
    </font>
    <font>
      <b/>
      <sz val="10"/>
      <color rgb="FF0000FF"/>
      <name val="Calibri"/>
      <family val="2"/>
    </font>
    <font>
      <i/>
      <sz val="9"/>
      <color rgb="FF999999"/>
      <name val="Calibri"/>
      <family val="2"/>
      <scheme val="minor"/>
    </font>
    <font>
      <b/>
      <i/>
      <sz val="10"/>
      <color rgb="FFC00000"/>
      <name val="Calibri"/>
      <family val="2"/>
    </font>
    <font>
      <sz val="11"/>
      <color rgb="FF806000"/>
      <name val="Calibri"/>
      <family val="2"/>
      <scheme val="minor"/>
    </font>
    <font>
      <b/>
      <sz val="14"/>
      <color theme="1"/>
      <name val="Calibri"/>
      <family val="2"/>
      <scheme val="minor"/>
    </font>
    <font>
      <b/>
      <sz val="11"/>
      <color rgb="FFC00000"/>
      <name val="Calibri"/>
      <family val="2"/>
      <scheme val="minor"/>
    </font>
    <font>
      <b/>
      <i/>
      <sz val="13"/>
      <color rgb="FFFFFFFF"/>
      <name val="Calibri"/>
      <family val="2"/>
    </font>
    <font>
      <b/>
      <sz val="11"/>
      <color rgb="FF0000FF"/>
      <name val="Calibri"/>
      <family val="2"/>
      <scheme val="minor"/>
    </font>
    <font>
      <b/>
      <sz val="12"/>
      <color rgb="FF008000"/>
      <name val="Calibri"/>
      <family val="2"/>
      <scheme val="minor"/>
    </font>
    <font>
      <b/>
      <sz val="11"/>
      <color rgb="FF008000"/>
      <name val="Calibri"/>
      <family val="2"/>
      <scheme val="minor"/>
    </font>
    <font>
      <b/>
      <sz val="13"/>
      <color rgb="FFFFFFFF"/>
      <name val="Calibri"/>
      <family val="2"/>
      <scheme val="minor"/>
    </font>
    <font>
      <sz val="11"/>
      <color rgb="FF006100"/>
      <name val="Calibri"/>
      <family val="2"/>
      <scheme val="minor"/>
    </font>
    <font>
      <b/>
      <sz val="12"/>
      <color theme="1"/>
      <name val="Calibri"/>
      <family val="2"/>
      <scheme val="minor"/>
    </font>
    <font>
      <sz val="11"/>
      <color rgb="FF000000"/>
      <name val="Calibri"/>
      <family val="2"/>
    </font>
    <font>
      <b/>
      <sz val="10"/>
      <color rgb="FF000000"/>
      <name val="Calibri"/>
      <family val="2"/>
      <scheme val="minor"/>
    </font>
    <font>
      <i/>
      <sz val="9"/>
      <color rgb="FF006100"/>
      <name val="Calibri"/>
      <family val="2"/>
      <scheme val="minor"/>
    </font>
    <font>
      <i/>
      <sz val="9"/>
      <color rgb="FF806000"/>
      <name val="Calibri"/>
      <family val="2"/>
      <scheme val="minor"/>
    </font>
    <font>
      <b/>
      <i/>
      <sz val="9"/>
      <color rgb="FF666666"/>
      <name val="Calibri"/>
      <family val="2"/>
      <scheme val="minor"/>
    </font>
    <font>
      <b/>
      <i/>
      <sz val="10"/>
      <color rgb="FF000000"/>
      <name val="Calibri"/>
      <family val="2"/>
    </font>
    <font>
      <b/>
      <i/>
      <sz val="11"/>
      <color rgb="FF000000"/>
      <name val="Calibri"/>
      <family val="2"/>
      <scheme val="minor"/>
    </font>
    <font>
      <sz val="10"/>
      <color rgb="FF666666"/>
      <name val="Calibri"/>
      <family val="2"/>
      <scheme val="minor"/>
    </font>
    <font>
      <sz val="10"/>
      <color rgb="FF999999"/>
      <name val="Calibri"/>
      <family val="2"/>
      <scheme val="minor"/>
    </font>
    <font>
      <i/>
      <sz val="10"/>
      <color rgb="FF999999"/>
      <name val="Calibri"/>
      <family val="2"/>
      <scheme val="minor"/>
    </font>
    <font>
      <b/>
      <sz val="12"/>
      <color rgb="FF000000"/>
      <name val="Calibri"/>
      <family val="2"/>
    </font>
    <font>
      <sz val="10"/>
      <color rgb="FF000000"/>
      <name val="Tahoma"/>
      <family val="2"/>
    </font>
    <font>
      <b/>
      <sz val="10"/>
      <color rgb="FF000000"/>
      <name val="Tahoma"/>
      <family val="2"/>
    </font>
    <font>
      <sz val="10"/>
      <color rgb="FF666666"/>
      <name val="Calibri"/>
      <family val="2"/>
    </font>
    <font>
      <i/>
      <sz val="11"/>
      <color theme="1"/>
      <name val="Calibri"/>
      <family val="2"/>
      <scheme val="minor"/>
    </font>
    <font>
      <b/>
      <sz val="10"/>
      <color rgb="FF008000"/>
      <name val="Calibri"/>
      <family val="2"/>
    </font>
    <font>
      <b/>
      <sz val="14"/>
      <color rgb="FFFFFFFF"/>
      <name val="Calibri"/>
      <family val="2"/>
      <scheme val="minor"/>
    </font>
    <font>
      <i/>
      <sz val="9"/>
      <color theme="1"/>
      <name val="Calibri"/>
      <family val="2"/>
      <scheme val="minor"/>
    </font>
    <font>
      <i/>
      <sz val="9"/>
      <color rgb="FF595959"/>
      <name val="Calibri"/>
      <family val="2"/>
      <scheme val="minor"/>
    </font>
    <font>
      <b/>
      <sz val="10"/>
      <color rgb="FFFFFFFF"/>
      <name val="Calibri"/>
      <family val="2"/>
      <scheme val="minor"/>
    </font>
    <font>
      <i/>
      <sz val="10"/>
      <color theme="1"/>
      <name val="Calibri"/>
      <family val="2"/>
      <scheme val="minor"/>
    </font>
    <font>
      <i/>
      <sz val="10"/>
      <color rgb="FF595959"/>
      <name val="Calibri"/>
      <family val="2"/>
      <scheme val="minor"/>
    </font>
    <font>
      <b/>
      <sz val="10"/>
      <color rgb="FFFF0000"/>
      <name val="Calibri"/>
      <family val="2"/>
      <scheme val="minor"/>
    </font>
    <font>
      <sz val="9"/>
      <color theme="1"/>
      <name val="Calibri"/>
      <family val="2"/>
      <scheme val="minor"/>
    </font>
    <font>
      <b/>
      <i/>
      <sz val="9"/>
      <color theme="1"/>
      <name val="Calibri"/>
      <family val="2"/>
      <scheme val="minor"/>
    </font>
    <font>
      <i/>
      <sz val="8"/>
      <color rgb="FF7F7F7F"/>
      <name val="Calibri"/>
      <family val="2"/>
      <scheme val="minor"/>
    </font>
    <font>
      <b/>
      <sz val="16"/>
      <color rgb="FFFFFFFF"/>
      <name val="Calibri"/>
      <family val="2"/>
    </font>
    <font>
      <i/>
      <sz val="11"/>
      <color rgb="FFFFFFFF"/>
      <name val="Calibri"/>
      <family val="2"/>
    </font>
    <font>
      <i/>
      <sz val="10"/>
      <color rgb="FFFFFFFF"/>
      <name val="Calibri"/>
      <family val="2"/>
    </font>
    <font>
      <sz val="10"/>
      <color rgb="FFFFC000"/>
      <name val="Calibri"/>
      <family val="2"/>
    </font>
    <font>
      <b/>
      <i/>
      <sz val="12"/>
      <color rgb="FFFFFFFF"/>
      <name val="Calibri"/>
      <family val="2"/>
    </font>
    <font>
      <b/>
      <i/>
      <sz val="11"/>
      <color rgb="FF0000FF"/>
      <name val="Calibri"/>
      <family val="2"/>
      <scheme val="minor"/>
    </font>
    <font>
      <b/>
      <i/>
      <sz val="10"/>
      <color rgb="FF666666"/>
      <name val="Calibri"/>
      <family val="2"/>
      <scheme val="minor"/>
    </font>
    <font>
      <b/>
      <i/>
      <sz val="10"/>
      <color rgb="FF999999"/>
      <name val="Calibri"/>
      <family val="2"/>
      <scheme val="minor"/>
    </font>
    <font>
      <b/>
      <sz val="9"/>
      <color rgb="FF595959"/>
      <name val="Calibri"/>
      <family val="2"/>
      <scheme val="minor"/>
    </font>
    <font>
      <sz val="9"/>
      <color rgb="FF595959"/>
      <name val="Calibri"/>
      <family val="2"/>
      <scheme val="minor"/>
    </font>
    <font>
      <b/>
      <i/>
      <sz val="9"/>
      <color rgb="FF595959"/>
      <name val="Calibri"/>
      <family val="2"/>
      <scheme val="minor"/>
    </font>
    <font>
      <b/>
      <sz val="14"/>
      <color rgb="FFFFFFFF"/>
      <name val="Calibri"/>
      <family val="2"/>
    </font>
    <font>
      <b/>
      <i/>
      <sz val="9"/>
      <color rgb="FF595959"/>
      <name val="Calibri"/>
      <family val="2"/>
    </font>
    <font>
      <i/>
      <sz val="9"/>
      <color rgb="FFC00000"/>
      <name val="Calibri"/>
      <family val="2"/>
      <scheme val="minor"/>
    </font>
    <font>
      <b/>
      <i/>
      <sz val="10"/>
      <color rgb="FF999999"/>
      <name val="Calibri"/>
      <family val="2"/>
    </font>
    <font>
      <b/>
      <i/>
      <sz val="9"/>
      <color rgb="FF999999"/>
      <name val="Calibri"/>
      <family val="2"/>
    </font>
    <font>
      <i/>
      <sz val="10"/>
      <color rgb="FF000000"/>
      <name val="Calibri"/>
      <family val="2"/>
    </font>
    <font>
      <i/>
      <sz val="10"/>
      <color rgb="FF595959"/>
      <name val="Calibri"/>
      <family val="2"/>
    </font>
    <font>
      <b/>
      <i/>
      <sz val="10"/>
      <color theme="1"/>
      <name val="Calibri"/>
      <family val="2"/>
      <scheme val="minor"/>
    </font>
    <font>
      <i/>
      <sz val="9"/>
      <color rgb="FF595959"/>
      <name val="Calibri"/>
      <family val="2"/>
    </font>
    <font>
      <i/>
      <sz val="10"/>
      <color rgb="FF404040"/>
      <name val="Calibri"/>
      <family val="2"/>
    </font>
    <font>
      <i/>
      <sz val="10"/>
      <color rgb="FFA6A6A6"/>
      <name val="Calibri"/>
      <family val="2"/>
      <scheme val="minor"/>
    </font>
    <font>
      <b/>
      <i/>
      <sz val="10"/>
      <color rgb="FF666666"/>
      <name val="Calibri"/>
      <family val="2"/>
    </font>
    <font>
      <sz val="10"/>
      <color rgb="FF404040"/>
      <name val="Calibri"/>
      <family val="2"/>
      <scheme val="minor"/>
    </font>
    <font>
      <sz val="10"/>
      <color rgb="FF000000"/>
      <name val="Calibri"/>
      <family val="2"/>
      <scheme val="minor"/>
    </font>
    <font>
      <b/>
      <sz val="10"/>
      <color rgb="FF0000FF"/>
      <name val="Calibri"/>
      <family val="2"/>
      <scheme val="minor"/>
    </font>
    <font>
      <b/>
      <sz val="10"/>
      <color rgb="FF008000"/>
      <name val="Calibri"/>
      <family val="2"/>
      <scheme val="minor"/>
    </font>
    <font>
      <b/>
      <sz val="10"/>
      <color rgb="FF404040"/>
      <name val="Calibri"/>
      <family val="2"/>
      <scheme val="minor"/>
    </font>
    <font>
      <b/>
      <i/>
      <sz val="10"/>
      <color rgb="FF404040"/>
      <name val="Calibri"/>
      <family val="2"/>
      <scheme val="minor"/>
    </font>
    <font>
      <b/>
      <i/>
      <sz val="10"/>
      <color rgb="FF404040"/>
      <name val="Calibri"/>
      <family val="2"/>
    </font>
    <font>
      <sz val="9"/>
      <color rgb="FF0000FF"/>
      <name val="Calibri"/>
      <family val="2"/>
      <scheme val="minor"/>
    </font>
    <font>
      <b/>
      <sz val="10"/>
      <color rgb="FF999999"/>
      <name val="Calibri"/>
      <family val="2"/>
      <scheme val="minor"/>
    </font>
    <font>
      <b/>
      <i/>
      <sz val="10"/>
      <color rgb="FFFFFFFF"/>
      <name val="Calibri"/>
      <family val="2"/>
      <scheme val="minor"/>
    </font>
    <font>
      <i/>
      <sz val="10"/>
      <color rgb="FF0000FF"/>
      <name val="Calibri"/>
      <family val="2"/>
      <scheme val="minor"/>
    </font>
    <font>
      <i/>
      <sz val="10"/>
      <color rgb="FF7F7F7F"/>
      <name val="Calibri"/>
      <family val="2"/>
    </font>
    <font>
      <i/>
      <sz val="10"/>
      <color rgb="FF7F7F7F"/>
      <name val="Calibri"/>
      <family val="2"/>
      <scheme val="minor"/>
    </font>
    <font>
      <sz val="10"/>
      <color rgb="FF806000"/>
      <name val="Calibri"/>
      <family val="2"/>
      <scheme val="minor"/>
    </font>
    <font>
      <b/>
      <sz val="10"/>
      <color rgb="FF006100"/>
      <name val="Calibri"/>
      <family val="2"/>
      <scheme val="minor"/>
    </font>
    <font>
      <sz val="10"/>
      <color rgb="FF006100"/>
      <name val="Calibri"/>
      <family val="2"/>
      <scheme val="minor"/>
    </font>
    <font>
      <b/>
      <sz val="10"/>
      <color rgb="FF806000"/>
      <name val="Calibri"/>
      <family val="2"/>
      <scheme val="minor"/>
    </font>
    <font>
      <i/>
      <sz val="10"/>
      <color rgb="FF000000"/>
      <name val="Calibri"/>
      <family val="2"/>
      <scheme val="minor"/>
    </font>
    <font>
      <b/>
      <sz val="11"/>
      <color rgb="FFFFFFFF"/>
      <name val="Calibri"/>
      <family val="2"/>
    </font>
    <font>
      <b/>
      <sz val="10"/>
      <color rgb="FF000000"/>
      <name val="Calibri"/>
      <family val="2"/>
    </font>
    <font>
      <b/>
      <sz val="10"/>
      <color rgb="FFFFFFFF"/>
      <name val="Calibri"/>
      <family val="2"/>
    </font>
    <font>
      <b/>
      <sz val="16"/>
      <color theme="1"/>
      <name val="Calibri"/>
      <family val="2"/>
      <scheme val="minor"/>
    </font>
    <font>
      <i/>
      <sz val="11"/>
      <color rgb="FF595959"/>
      <name val="Calibri"/>
      <family val="2"/>
      <scheme val="minor"/>
    </font>
    <font>
      <b/>
      <sz val="12"/>
      <color rgb="FFFFFFFF"/>
      <name val="Calibri"/>
      <family val="2"/>
      <scheme val="minor"/>
    </font>
    <font>
      <sz val="11"/>
      <color rgb="FF0000FF"/>
      <name val="Calibri"/>
      <family val="2"/>
      <scheme val="minor"/>
    </font>
    <font>
      <b/>
      <i/>
      <sz val="11"/>
      <color rgb="FF595959"/>
      <name val="Calibri"/>
      <family val="2"/>
      <scheme val="minor"/>
    </font>
    <font>
      <i/>
      <sz val="11"/>
      <color rgb="FF808080"/>
      <name val="Calibri"/>
      <family val="2"/>
      <scheme val="minor"/>
    </font>
    <font>
      <i/>
      <sz val="11"/>
      <color rgb="FF000000"/>
      <name val="Calibri"/>
      <family val="2"/>
      <scheme val="minor"/>
    </font>
  </fonts>
  <fills count="25">
    <fill>
      <patternFill patternType="none"/>
    </fill>
    <fill>
      <patternFill patternType="gray125"/>
    </fill>
    <fill>
      <patternFill patternType="solid">
        <fgColor rgb="FFFFF2CC"/>
        <bgColor rgb="FFFFF2CC"/>
      </patternFill>
    </fill>
    <fill>
      <patternFill patternType="solid">
        <fgColor rgb="FFD9E1F2"/>
        <bgColor rgb="FFD9E1F2"/>
      </patternFill>
    </fill>
    <fill>
      <patternFill patternType="solid">
        <fgColor rgb="FFF2F2F2"/>
        <bgColor rgb="FFF2F2F2"/>
      </patternFill>
    </fill>
    <fill>
      <patternFill patternType="solid">
        <fgColor rgb="FFF2F2F2"/>
      </patternFill>
    </fill>
    <fill>
      <patternFill patternType="solid">
        <fgColor rgb="FFFFF2CC"/>
      </patternFill>
    </fill>
    <fill>
      <patternFill patternType="solid">
        <fgColor rgb="FFE7E6E6"/>
      </patternFill>
    </fill>
    <fill>
      <patternFill patternType="solid">
        <fgColor rgb="FFFFF2CC"/>
        <bgColor indexed="64"/>
      </patternFill>
    </fill>
    <fill>
      <patternFill patternType="solid">
        <fgColor rgb="FFF2F2F2"/>
        <bgColor indexed="64"/>
      </patternFill>
    </fill>
    <fill>
      <patternFill patternType="solid">
        <fgColor rgb="FF1F4E78"/>
        <bgColor indexed="64"/>
      </patternFill>
    </fill>
    <fill>
      <patternFill patternType="solid">
        <fgColor rgb="FFFFFF00"/>
        <bgColor indexed="64"/>
      </patternFill>
    </fill>
    <fill>
      <patternFill patternType="solid">
        <fgColor rgb="FFD9E1F2"/>
        <bgColor indexed="64"/>
      </patternFill>
    </fill>
    <fill>
      <patternFill patternType="solid">
        <fgColor rgb="FFE7E6E6"/>
        <bgColor indexed="64"/>
      </patternFill>
    </fill>
    <fill>
      <patternFill patternType="solid">
        <fgColor rgb="FFF0F0F0"/>
        <bgColor indexed="64"/>
      </patternFill>
    </fill>
    <fill>
      <patternFill patternType="solid">
        <fgColor rgb="FFFCE4D6"/>
        <bgColor indexed="64"/>
      </patternFill>
    </fill>
    <fill>
      <patternFill patternType="solid">
        <fgColor rgb="FFDDEBF7"/>
        <bgColor indexed="64"/>
      </patternFill>
    </fill>
    <fill>
      <patternFill patternType="solid">
        <fgColor rgb="FFE2EFDA"/>
        <bgColor indexed="64"/>
      </patternFill>
    </fill>
    <fill>
      <patternFill patternType="solid">
        <fgColor rgb="FF2F5496"/>
        <bgColor indexed="64"/>
      </patternFill>
    </fill>
    <fill>
      <patternFill patternType="solid">
        <fgColor rgb="FFD9D9D9"/>
        <bgColor indexed="64"/>
      </patternFill>
    </fill>
    <fill>
      <patternFill patternType="solid">
        <fgColor rgb="FFFFF8E1"/>
        <bgColor indexed="64"/>
      </patternFill>
    </fill>
    <fill>
      <patternFill patternType="solid">
        <fgColor rgb="FFFFFFFF"/>
        <bgColor indexed="64"/>
      </patternFill>
    </fill>
    <fill>
      <patternFill patternType="solid">
        <fgColor rgb="FFE7F0F8"/>
        <bgColor indexed="64"/>
      </patternFill>
    </fill>
    <fill>
      <patternFill patternType="solid">
        <fgColor theme="3"/>
        <bgColor indexed="64"/>
      </patternFill>
    </fill>
    <fill>
      <patternFill patternType="solid">
        <fgColor rgb="FFFFE699"/>
        <bgColor indexed="64"/>
      </patternFill>
    </fill>
  </fills>
  <borders count="80">
    <border>
      <left/>
      <right/>
      <top/>
      <bottom/>
      <diagonal/>
    </border>
    <border>
      <left/>
      <right/>
      <top/>
      <bottom style="medium">
        <color rgb="FF000000"/>
      </bottom>
      <diagonal/>
    </border>
    <border>
      <left/>
      <right/>
      <top/>
      <bottom style="thin">
        <color rgb="FFD9D9D9"/>
      </bottom>
      <diagonal/>
    </border>
    <border>
      <left/>
      <right/>
      <top/>
      <bottom style="medium">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medium">
        <color auto="1"/>
      </bottom>
      <diagonal/>
    </border>
    <border>
      <left style="thin">
        <color rgb="FFCCCCCC"/>
      </left>
      <right style="thin">
        <color auto="1"/>
      </right>
      <top style="thin">
        <color rgb="FFCCCCCC"/>
      </top>
      <bottom style="thin">
        <color rgb="FFCCCCCC"/>
      </bottom>
      <diagonal/>
    </border>
    <border>
      <left style="thin">
        <color rgb="FFCCCCCC"/>
      </left>
      <right style="thin">
        <color auto="1"/>
      </right>
      <top style="thin">
        <color rgb="FFCCCCCC"/>
      </top>
      <bottom style="medium">
        <color auto="1"/>
      </bottom>
      <diagonal/>
    </border>
    <border>
      <left style="thin">
        <color auto="1"/>
      </left>
      <right style="thin">
        <color rgb="FFCCCCCC"/>
      </right>
      <top style="thin">
        <color rgb="FFCCCCCC"/>
      </top>
      <bottom style="thin">
        <color rgb="FFCCCCCC"/>
      </bottom>
      <diagonal/>
    </border>
    <border>
      <left style="thin">
        <color auto="1"/>
      </left>
      <right style="thin">
        <color rgb="FFCCCCCC"/>
      </right>
      <top style="thin">
        <color rgb="FFCCCCCC"/>
      </top>
      <bottom style="medium">
        <color auto="1"/>
      </bottom>
      <diagonal/>
    </border>
    <border>
      <left style="thin">
        <color auto="1"/>
      </left>
      <right style="thin">
        <color rgb="FFCCCCCC"/>
      </right>
      <top style="medium">
        <color auto="1"/>
      </top>
      <bottom style="thin">
        <color rgb="FFCCCCCC"/>
      </bottom>
      <diagonal/>
    </border>
    <border>
      <left style="thin">
        <color rgb="FFCCCCCC"/>
      </left>
      <right style="thin">
        <color rgb="FFCCCCCC"/>
      </right>
      <top style="medium">
        <color auto="1"/>
      </top>
      <bottom style="thin">
        <color rgb="FFCCCCCC"/>
      </bottom>
      <diagonal/>
    </border>
    <border>
      <left style="thin">
        <color rgb="FFCCCCCC"/>
      </left>
      <right style="thin">
        <color auto="1"/>
      </right>
      <top style="medium">
        <color auto="1"/>
      </top>
      <bottom style="thin">
        <color rgb="FFCCCCCC"/>
      </bottom>
      <diagonal/>
    </border>
    <border>
      <left/>
      <right/>
      <top style="medium">
        <color auto="1"/>
      </top>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rgb="FFBFBFBF"/>
      </bottom>
      <diagonal/>
    </border>
    <border>
      <left/>
      <right style="thin">
        <color auto="1"/>
      </right>
      <top style="thin">
        <color auto="1"/>
      </top>
      <bottom style="thin">
        <color rgb="FFBFBFBF"/>
      </bottom>
      <diagonal/>
    </border>
    <border>
      <left style="thin">
        <color auto="1"/>
      </left>
      <right/>
      <top style="thin">
        <color rgb="FFBFBFBF"/>
      </top>
      <bottom style="thin">
        <color rgb="FFBFBFBF"/>
      </bottom>
      <diagonal/>
    </border>
    <border>
      <left/>
      <right style="thin">
        <color auto="1"/>
      </right>
      <top style="thin">
        <color rgb="FFBFBFBF"/>
      </top>
      <bottom style="thin">
        <color rgb="FFBFBFBF"/>
      </bottom>
      <diagonal/>
    </border>
    <border>
      <left style="thin">
        <color auto="1"/>
      </left>
      <right/>
      <top style="thin">
        <color rgb="FFBFBFBF"/>
      </top>
      <bottom style="thin">
        <color auto="1"/>
      </bottom>
      <diagonal/>
    </border>
    <border>
      <left/>
      <right style="thin">
        <color auto="1"/>
      </right>
      <top style="thin">
        <color rgb="FFBFBFBF"/>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style="thin">
        <color auto="1"/>
      </right>
      <top/>
      <bottom style="medium">
        <color auto="1"/>
      </bottom>
      <diagonal/>
    </border>
    <border>
      <left style="thin">
        <color auto="1"/>
      </left>
      <right/>
      <top/>
      <bottom style="thin">
        <color rgb="FF7F7F7F"/>
      </bottom>
      <diagonal/>
    </border>
    <border>
      <left/>
      <right/>
      <top/>
      <bottom style="thin">
        <color rgb="FF7F7F7F"/>
      </bottom>
      <diagonal/>
    </border>
    <border>
      <left/>
      <right style="thin">
        <color auto="1"/>
      </right>
      <top/>
      <bottom style="thin">
        <color rgb="FF7F7F7F"/>
      </bottom>
      <diagonal/>
    </border>
    <border>
      <left style="thin">
        <color auto="1"/>
      </left>
      <right/>
      <top style="thin">
        <color rgb="FF7F7F7F"/>
      </top>
      <bottom style="thin">
        <color rgb="FF7F7F7F"/>
      </bottom>
      <diagonal/>
    </border>
    <border>
      <left/>
      <right/>
      <top style="thin">
        <color rgb="FF7F7F7F"/>
      </top>
      <bottom style="thin">
        <color rgb="FF7F7F7F"/>
      </bottom>
      <diagonal/>
    </border>
    <border>
      <left/>
      <right style="thin">
        <color auto="1"/>
      </right>
      <top style="thin">
        <color rgb="FF7F7F7F"/>
      </top>
      <bottom style="thin">
        <color rgb="FF7F7F7F"/>
      </bottom>
      <diagonal/>
    </border>
    <border>
      <left style="thin">
        <color auto="1"/>
      </left>
      <right/>
      <top style="thin">
        <color rgb="FF7F7F7F"/>
      </top>
      <bottom/>
      <diagonal/>
    </border>
    <border>
      <left/>
      <right/>
      <top style="thin">
        <color rgb="FF7F7F7F"/>
      </top>
      <bottom/>
      <diagonal/>
    </border>
    <border>
      <left/>
      <right style="thin">
        <color auto="1"/>
      </right>
      <top style="thin">
        <color rgb="FF7F7F7F"/>
      </top>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thin">
        <color rgb="FFBFBFBF"/>
      </bottom>
      <diagonal/>
    </border>
    <border>
      <left/>
      <right style="thin">
        <color auto="1"/>
      </right>
      <top style="medium">
        <color auto="1"/>
      </top>
      <bottom style="thin">
        <color rgb="FFBFBFBF"/>
      </bottom>
      <diagonal/>
    </border>
    <border>
      <left style="thin">
        <color auto="1"/>
      </left>
      <right/>
      <top style="thin">
        <color rgb="FFBFBFBF"/>
      </top>
      <bottom style="medium">
        <color auto="1"/>
      </bottom>
      <diagonal/>
    </border>
    <border>
      <left/>
      <right style="thin">
        <color auto="1"/>
      </right>
      <top style="thin">
        <color rgb="FFBFBFBF"/>
      </top>
      <bottom style="medium">
        <color auto="1"/>
      </bottom>
      <diagonal/>
    </border>
    <border>
      <left style="thin">
        <color auto="1"/>
      </left>
      <right/>
      <top style="thin">
        <color rgb="FFBFBFBF"/>
      </top>
      <bottom/>
      <diagonal/>
    </border>
    <border>
      <left/>
      <right style="thin">
        <color auto="1"/>
      </right>
      <top style="thin">
        <color rgb="FFBFBFBF"/>
      </top>
      <bottom/>
      <diagonal/>
    </border>
    <border>
      <left style="thin">
        <color auto="1"/>
      </left>
      <right/>
      <top style="medium">
        <color rgb="FFBFBFBF"/>
      </top>
      <bottom style="medium">
        <color rgb="FFBFBFBF"/>
      </bottom>
      <diagonal/>
    </border>
    <border>
      <left/>
      <right style="thin">
        <color auto="1"/>
      </right>
      <top style="medium">
        <color rgb="FFBFBFBF"/>
      </top>
      <bottom style="medium">
        <color rgb="FFBFBFBF"/>
      </bottom>
      <diagonal/>
    </border>
    <border>
      <left/>
      <right/>
      <top style="medium">
        <color auto="1"/>
      </top>
      <bottom style="thin">
        <color rgb="FFBFBFBF"/>
      </bottom>
      <diagonal/>
    </border>
    <border>
      <left/>
      <right/>
      <top style="thin">
        <color rgb="FFBFBFBF"/>
      </top>
      <bottom style="thin">
        <color rgb="FFBFBFBF"/>
      </bottom>
      <diagonal/>
    </border>
    <border>
      <left/>
      <right/>
      <top style="thin">
        <color rgb="FFBFBFBF"/>
      </top>
      <bottom style="medium">
        <color auto="1"/>
      </bottom>
      <diagonal/>
    </border>
    <border>
      <left/>
      <right/>
      <top style="thin">
        <color rgb="FFBFBFBF"/>
      </top>
      <bottom/>
      <diagonal/>
    </border>
    <border>
      <left style="thin">
        <color auto="1"/>
      </left>
      <right/>
      <top style="medium">
        <color rgb="FFBFBFBF"/>
      </top>
      <bottom style="medium">
        <color auto="1"/>
      </bottom>
      <diagonal/>
    </border>
    <border>
      <left/>
      <right/>
      <top style="medium">
        <color rgb="FFBFBFBF"/>
      </top>
      <bottom style="medium">
        <color auto="1"/>
      </bottom>
      <diagonal/>
    </border>
    <border>
      <left/>
      <right style="thin">
        <color auto="1"/>
      </right>
      <top style="medium">
        <color rgb="FFBFBFBF"/>
      </top>
      <bottom style="medium">
        <color auto="1"/>
      </bottom>
      <diagonal/>
    </border>
    <border>
      <left style="medium">
        <color rgb="FF2F5496"/>
      </left>
      <right/>
      <top style="thin">
        <color auto="1"/>
      </top>
      <bottom/>
      <diagonal/>
    </border>
    <border>
      <left style="medium">
        <color rgb="FF2F5496"/>
      </left>
      <right/>
      <top/>
      <bottom/>
      <diagonal/>
    </border>
    <border>
      <left style="medium">
        <color rgb="FF2F5496"/>
      </left>
      <right/>
      <top/>
      <bottom style="thin">
        <color auto="1"/>
      </bottom>
      <diagonal/>
    </border>
    <border>
      <left style="thick">
        <color rgb="FF2F5496"/>
      </left>
      <right/>
      <top/>
      <bottom/>
      <diagonal/>
    </border>
    <border>
      <left/>
      <right/>
      <top style="medium">
        <color rgb="FF2F5496"/>
      </top>
      <bottom/>
      <diagonal/>
    </border>
    <border>
      <left style="thick">
        <color rgb="FF2F5496"/>
      </left>
      <right/>
      <top style="thin">
        <color auto="1"/>
      </top>
      <bottom/>
      <diagonal/>
    </border>
    <border>
      <left/>
      <right/>
      <top style="thin">
        <color auto="1"/>
      </top>
      <bottom style="double">
        <color auto="1"/>
      </bottom>
      <diagonal/>
    </border>
    <border>
      <left/>
      <right/>
      <top style="medium">
        <color auto="1"/>
      </top>
      <bottom style="double">
        <color auto="1"/>
      </bottom>
      <diagonal/>
    </border>
    <border>
      <left/>
      <right/>
      <top style="thin">
        <color auto="1"/>
      </top>
      <bottom style="medium">
        <color rgb="FF000000"/>
      </bottom>
      <diagonal/>
    </border>
    <border>
      <left style="thin">
        <color auto="1"/>
      </left>
      <right/>
      <top style="thin">
        <color auto="1"/>
      </top>
      <bottom style="medium">
        <color rgb="FF000000"/>
      </bottom>
      <diagonal/>
    </border>
    <border>
      <left/>
      <right style="thin">
        <color auto="1"/>
      </right>
      <top style="thin">
        <color auto="1"/>
      </top>
      <bottom style="medium">
        <color rgb="FF000000"/>
      </bottom>
      <diagonal/>
    </border>
    <border>
      <left style="thin">
        <color auto="1"/>
      </left>
      <right style="thin">
        <color rgb="FFD0D0D0"/>
      </right>
      <top style="thin">
        <color auto="1"/>
      </top>
      <bottom style="thin">
        <color rgb="FFD0D0D0"/>
      </bottom>
      <diagonal/>
    </border>
    <border>
      <left style="thin">
        <color rgb="FFD0D0D0"/>
      </left>
      <right style="thin">
        <color rgb="FFD0D0D0"/>
      </right>
      <top style="thin">
        <color auto="1"/>
      </top>
      <bottom style="thin">
        <color rgb="FFD0D0D0"/>
      </bottom>
      <diagonal/>
    </border>
    <border>
      <left style="thin">
        <color rgb="FFD0D0D0"/>
      </left>
      <right style="thin">
        <color auto="1"/>
      </right>
      <top style="thin">
        <color auto="1"/>
      </top>
      <bottom style="thin">
        <color rgb="FFD0D0D0"/>
      </bottom>
      <diagonal/>
    </border>
    <border>
      <left style="thin">
        <color auto="1"/>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auto="1"/>
      </right>
      <top style="thin">
        <color rgb="FFD0D0D0"/>
      </top>
      <bottom style="thin">
        <color rgb="FFD0D0D0"/>
      </bottom>
      <diagonal/>
    </border>
    <border>
      <left style="thin">
        <color auto="1"/>
      </left>
      <right style="thin">
        <color rgb="FFD0D0D0"/>
      </right>
      <top style="thin">
        <color rgb="FFD0D0D0"/>
      </top>
      <bottom style="thin">
        <color auto="1"/>
      </bottom>
      <diagonal/>
    </border>
    <border>
      <left style="thin">
        <color rgb="FFD0D0D0"/>
      </left>
      <right style="thin">
        <color rgb="FFD0D0D0"/>
      </right>
      <top style="thin">
        <color rgb="FFD0D0D0"/>
      </top>
      <bottom style="thin">
        <color auto="1"/>
      </bottom>
      <diagonal/>
    </border>
    <border>
      <left style="thin">
        <color rgb="FFD0D0D0"/>
      </left>
      <right style="thin">
        <color auto="1"/>
      </right>
      <top style="thin">
        <color rgb="FFD0D0D0"/>
      </top>
      <bottom style="thin">
        <color auto="1"/>
      </bottom>
      <diagonal/>
    </border>
    <border>
      <left/>
      <right/>
      <top/>
      <bottom style="thin">
        <color rgb="FF000000"/>
      </bottom>
      <diagonal/>
    </border>
  </borders>
  <cellStyleXfs count="1">
    <xf numFmtId="0" fontId="0" fillId="0" borderId="0"/>
  </cellStyleXfs>
  <cellXfs count="952">
    <xf numFmtId="0" fontId="0" fillId="0" borderId="0" xfId="0"/>
    <xf numFmtId="0" fontId="4" fillId="0" borderId="0" xfId="0" applyFont="1"/>
    <xf numFmtId="0" fontId="5" fillId="0" borderId="0" xfId="0" applyFont="1"/>
    <xf numFmtId="0" fontId="7" fillId="0" borderId="0" xfId="0" applyFont="1"/>
    <xf numFmtId="0" fontId="8" fillId="0" borderId="0" xfId="0" applyFont="1"/>
    <xf numFmtId="0" fontId="10" fillId="0" borderId="0" xfId="0" applyFont="1"/>
    <xf numFmtId="0" fontId="4" fillId="3" borderId="1" xfId="0" applyFont="1" applyFill="1" applyBorder="1" applyAlignment="1">
      <alignment horizontal="center" vertical="center" wrapText="1"/>
    </xf>
    <xf numFmtId="0" fontId="12" fillId="0" borderId="0" xfId="0" applyFont="1"/>
    <xf numFmtId="3" fontId="5" fillId="0" borderId="0" xfId="0" applyNumberFormat="1" applyFont="1"/>
    <xf numFmtId="167" fontId="5" fillId="0" borderId="0" xfId="0" applyNumberFormat="1" applyFont="1"/>
    <xf numFmtId="164" fontId="7" fillId="0" borderId="0" xfId="0" applyNumberFormat="1" applyFont="1"/>
    <xf numFmtId="165" fontId="7" fillId="0" borderId="0" xfId="0" applyNumberFormat="1" applyFont="1"/>
    <xf numFmtId="165" fontId="5" fillId="0" borderId="0" xfId="0" applyNumberFormat="1" applyFont="1"/>
    <xf numFmtId="3" fontId="7" fillId="0" borderId="0" xfId="0" applyNumberFormat="1" applyFont="1"/>
    <xf numFmtId="3" fontId="8" fillId="0" borderId="0" xfId="0" applyNumberFormat="1" applyFont="1"/>
    <xf numFmtId="2" fontId="5" fillId="0" borderId="0" xfId="0" applyNumberFormat="1" applyFont="1" applyAlignment="1">
      <alignment horizontal="right" vertical="center"/>
    </xf>
    <xf numFmtId="164" fontId="5" fillId="0" borderId="0" xfId="0" applyNumberFormat="1" applyFont="1" applyAlignment="1">
      <alignment horizontal="right" vertical="center"/>
    </xf>
    <xf numFmtId="1" fontId="5" fillId="0" borderId="0" xfId="0" applyNumberFormat="1" applyFont="1" applyAlignment="1">
      <alignment horizontal="right" vertical="center"/>
    </xf>
    <xf numFmtId="0" fontId="7" fillId="0" borderId="0" xfId="0" applyFont="1" applyAlignment="1">
      <alignment horizontal="left" vertical="center" wrapText="1"/>
    </xf>
    <xf numFmtId="164" fontId="7" fillId="0" borderId="0" xfId="0" applyNumberFormat="1" applyFont="1" applyAlignment="1">
      <alignment horizontal="right" vertical="center"/>
    </xf>
    <xf numFmtId="164" fontId="5" fillId="6" borderId="0" xfId="0" applyNumberFormat="1" applyFont="1" applyFill="1" applyAlignment="1">
      <alignment horizontal="right" vertical="center"/>
    </xf>
    <xf numFmtId="2" fontId="5" fillId="6" borderId="0" xfId="0" applyNumberFormat="1" applyFont="1" applyFill="1" applyAlignment="1">
      <alignment horizontal="right" vertical="center"/>
    </xf>
    <xf numFmtId="3" fontId="5" fillId="6" borderId="0" xfId="0" applyNumberFormat="1" applyFont="1" applyFill="1" applyAlignment="1">
      <alignment horizontal="right" vertical="center"/>
    </xf>
    <xf numFmtId="168" fontId="5" fillId="6" borderId="0" xfId="0" applyNumberFormat="1" applyFont="1" applyFill="1" applyAlignment="1">
      <alignment horizontal="right" vertical="center"/>
    </xf>
    <xf numFmtId="10" fontId="5" fillId="0" borderId="0" xfId="0" applyNumberFormat="1" applyFont="1" applyAlignment="1">
      <alignment horizontal="right" vertical="center"/>
    </xf>
    <xf numFmtId="169" fontId="5" fillId="0" borderId="0" xfId="0" applyNumberFormat="1" applyFont="1" applyAlignment="1">
      <alignment horizontal="right" vertical="center"/>
    </xf>
    <xf numFmtId="168" fontId="7" fillId="5" borderId="0" xfId="0" applyNumberFormat="1" applyFont="1" applyFill="1" applyAlignment="1">
      <alignment horizontal="right" vertical="center"/>
    </xf>
    <xf numFmtId="168" fontId="7" fillId="0" borderId="0" xfId="0" applyNumberFormat="1" applyFont="1" applyAlignment="1">
      <alignment horizontal="right" vertical="center"/>
    </xf>
    <xf numFmtId="0" fontId="19" fillId="0" borderId="0" xfId="0" applyFont="1"/>
    <xf numFmtId="164" fontId="20" fillId="0" borderId="0" xfId="0" applyNumberFormat="1" applyFont="1" applyAlignment="1">
      <alignment horizontal="right"/>
    </xf>
    <xf numFmtId="171" fontId="20" fillId="8" borderId="0" xfId="0" applyNumberFormat="1" applyFont="1" applyFill="1" applyAlignment="1">
      <alignment horizontal="right"/>
    </xf>
    <xf numFmtId="0" fontId="22" fillId="0" borderId="0" xfId="0" applyFont="1"/>
    <xf numFmtId="0" fontId="23" fillId="0" borderId="0" xfId="0" applyFont="1"/>
    <xf numFmtId="171" fontId="20" fillId="0" borderId="0" xfId="0" applyNumberFormat="1" applyFont="1" applyAlignment="1">
      <alignment horizontal="right"/>
    </xf>
    <xf numFmtId="1" fontId="20" fillId="8" borderId="0" xfId="0" applyNumberFormat="1" applyFont="1" applyFill="1" applyAlignment="1">
      <alignment horizontal="right"/>
    </xf>
    <xf numFmtId="167" fontId="20" fillId="0" borderId="0" xfId="0" applyNumberFormat="1" applyFont="1" applyAlignment="1">
      <alignment horizontal="right"/>
    </xf>
    <xf numFmtId="172" fontId="22" fillId="0" borderId="0" xfId="0" applyNumberFormat="1" applyFont="1" applyAlignment="1">
      <alignment horizontal="right"/>
    </xf>
    <xf numFmtId="0" fontId="27" fillId="0" borderId="0" xfId="0" applyFont="1"/>
    <xf numFmtId="171" fontId="27" fillId="0" borderId="0" xfId="0" applyNumberFormat="1" applyFont="1"/>
    <xf numFmtId="171" fontId="27" fillId="9" borderId="0" xfId="0" applyNumberFormat="1" applyFont="1" applyFill="1"/>
    <xf numFmtId="0" fontId="31" fillId="0" borderId="0" xfId="0" applyFont="1"/>
    <xf numFmtId="173" fontId="8" fillId="0" borderId="0" xfId="0" applyNumberFormat="1" applyFont="1"/>
    <xf numFmtId="173" fontId="7" fillId="0" borderId="0" xfId="0" applyNumberFormat="1" applyFont="1"/>
    <xf numFmtId="173" fontId="0" fillId="0" borderId="0" xfId="0" applyNumberFormat="1"/>
    <xf numFmtId="173" fontId="5" fillId="0" borderId="0" xfId="0" applyNumberFormat="1" applyFont="1"/>
    <xf numFmtId="172" fontId="8" fillId="0" borderId="0" xfId="0" applyNumberFormat="1" applyFont="1"/>
    <xf numFmtId="49" fontId="31" fillId="0" borderId="0" xfId="0" applyNumberFormat="1" applyFont="1" applyAlignment="1">
      <alignment horizontal="right"/>
    </xf>
    <xf numFmtId="49" fontId="33" fillId="0" borderId="0" xfId="0" applyNumberFormat="1" applyFont="1" applyAlignment="1">
      <alignment horizontal="right"/>
    </xf>
    <xf numFmtId="10" fontId="8" fillId="0" borderId="0" xfId="0" applyNumberFormat="1" applyFont="1"/>
    <xf numFmtId="0" fontId="35" fillId="0" borderId="0" xfId="0" applyFont="1"/>
    <xf numFmtId="0" fontId="27" fillId="0" borderId="0" xfId="0" quotePrefix="1" applyFont="1"/>
    <xf numFmtId="0" fontId="48" fillId="12" borderId="1" xfId="0" applyFont="1" applyFill="1" applyBorder="1" applyAlignment="1">
      <alignment horizontal="center"/>
    </xf>
    <xf numFmtId="0" fontId="28" fillId="0" borderId="0" xfId="0" applyFont="1"/>
    <xf numFmtId="0" fontId="29" fillId="9" borderId="0" xfId="0" applyFont="1" applyFill="1"/>
    <xf numFmtId="0" fontId="17" fillId="0" borderId="0" xfId="0" applyFont="1" applyAlignment="1">
      <alignment wrapText="1"/>
    </xf>
    <xf numFmtId="0" fontId="10" fillId="0" borderId="0" xfId="0" applyFont="1" applyAlignment="1">
      <alignment horizontal="left" vertical="center" wrapText="1"/>
    </xf>
    <xf numFmtId="0" fontId="48" fillId="12" borderId="0" xfId="0" applyFont="1" applyFill="1"/>
    <xf numFmtId="0" fontId="4" fillId="12" borderId="0" xfId="0" applyFont="1" applyFill="1" applyAlignment="1">
      <alignment horizontal="center" vertical="center"/>
    </xf>
    <xf numFmtId="173" fontId="5" fillId="0" borderId="0" xfId="0" applyNumberFormat="1" applyFont="1" applyAlignment="1">
      <alignment horizontal="right" vertical="center"/>
    </xf>
    <xf numFmtId="173" fontId="7" fillId="0" borderId="0" xfId="0" applyNumberFormat="1" applyFont="1" applyAlignment="1">
      <alignment horizontal="right" vertical="center"/>
    </xf>
    <xf numFmtId="0" fontId="7" fillId="6" borderId="0" xfId="0" applyFont="1" applyFill="1"/>
    <xf numFmtId="0" fontId="7" fillId="6" borderId="0" xfId="0" applyFont="1" applyFill="1" applyAlignment="1">
      <alignment horizontal="left" vertical="center" wrapText="1"/>
    </xf>
    <xf numFmtId="0" fontId="15" fillId="6" borderId="0" xfId="0" applyFont="1" applyFill="1"/>
    <xf numFmtId="173" fontId="5" fillId="6" borderId="0" xfId="0" applyNumberFormat="1" applyFont="1" applyFill="1" applyAlignment="1">
      <alignment horizontal="right" vertical="center"/>
    </xf>
    <xf numFmtId="0" fontId="5" fillId="0" borderId="0" xfId="0" applyFont="1" applyAlignment="1">
      <alignment horizontal="center" vertical="center"/>
    </xf>
    <xf numFmtId="0" fontId="7" fillId="0" borderId="0" xfId="0" applyFont="1" applyAlignment="1">
      <alignment horizontal="center" vertical="center"/>
    </xf>
    <xf numFmtId="0" fontId="5" fillId="6" borderId="0" xfId="0" applyFont="1" applyFill="1" applyAlignment="1">
      <alignment horizontal="center" vertical="center"/>
    </xf>
    <xf numFmtId="0" fontId="7" fillId="6" borderId="0" xfId="0" applyFont="1" applyFill="1" applyAlignment="1">
      <alignment horizontal="center" vertical="center"/>
    </xf>
    <xf numFmtId="0" fontId="7" fillId="5" borderId="0" xfId="0" applyFont="1" applyFill="1" applyAlignment="1">
      <alignment horizontal="center" vertical="center"/>
    </xf>
    <xf numFmtId="0" fontId="8" fillId="0" borderId="0" xfId="0" applyFont="1" applyAlignment="1">
      <alignment horizontal="center" vertical="center"/>
    </xf>
    <xf numFmtId="0" fontId="21" fillId="0" borderId="0" xfId="0" applyFont="1"/>
    <xf numFmtId="0" fontId="19" fillId="8" borderId="0" xfId="0" applyFont="1" applyFill="1"/>
    <xf numFmtId="173" fontId="20" fillId="8" borderId="0" xfId="0" applyNumberFormat="1" applyFont="1" applyFill="1" applyAlignment="1">
      <alignment horizontal="right"/>
    </xf>
    <xf numFmtId="0" fontId="21" fillId="8" borderId="0" xfId="0" applyFont="1" applyFill="1"/>
    <xf numFmtId="0" fontId="10" fillId="7" borderId="0" xfId="0" applyFont="1" applyFill="1" applyAlignment="1">
      <alignment horizontal="center" vertical="center"/>
    </xf>
    <xf numFmtId="0" fontId="10" fillId="0" borderId="0" xfId="0" applyFont="1" applyAlignment="1">
      <alignment horizontal="center" vertical="center"/>
    </xf>
    <xf numFmtId="173" fontId="20" fillId="0" borderId="0" xfId="0" applyNumberFormat="1" applyFont="1" applyAlignment="1">
      <alignment horizontal="right"/>
    </xf>
    <xf numFmtId="173" fontId="25" fillId="0" borderId="0" xfId="0" applyNumberFormat="1" applyFont="1" applyAlignment="1">
      <alignment horizontal="right"/>
    </xf>
    <xf numFmtId="173" fontId="19" fillId="0" borderId="0" xfId="0" applyNumberFormat="1" applyFont="1" applyAlignment="1">
      <alignment horizontal="right"/>
    </xf>
    <xf numFmtId="0" fontId="11" fillId="0" borderId="0" xfId="0" applyFont="1"/>
    <xf numFmtId="173" fontId="8" fillId="0" borderId="0" xfId="0" applyNumberFormat="1" applyFont="1" applyAlignment="1">
      <alignment horizontal="right" vertical="center"/>
    </xf>
    <xf numFmtId="0" fontId="27" fillId="0" borderId="8" xfId="0" applyFont="1" applyBorder="1"/>
    <xf numFmtId="0" fontId="0" fillId="9" borderId="0" xfId="0" applyFill="1"/>
    <xf numFmtId="172" fontId="7" fillId="6" borderId="0" xfId="0" applyNumberFormat="1" applyFont="1" applyFill="1" applyAlignment="1">
      <alignment horizontal="right" vertical="center"/>
    </xf>
    <xf numFmtId="172" fontId="8" fillId="0" borderId="0" xfId="0" applyNumberFormat="1" applyFont="1" applyAlignment="1">
      <alignment horizontal="right" vertical="center"/>
    </xf>
    <xf numFmtId="0" fontId="55" fillId="0" borderId="0" xfId="0" applyFont="1"/>
    <xf numFmtId="0" fontId="56" fillId="0" borderId="0" xfId="0" applyFont="1"/>
    <xf numFmtId="171" fontId="5" fillId="0" borderId="0" xfId="0" applyNumberFormat="1" applyFont="1"/>
    <xf numFmtId="171" fontId="4" fillId="0" borderId="0" xfId="0" applyNumberFormat="1" applyFont="1"/>
    <xf numFmtId="164" fontId="4" fillId="0" borderId="0" xfId="0" applyNumberFormat="1" applyFont="1"/>
    <xf numFmtId="0" fontId="61" fillId="0" borderId="0" xfId="0" applyFont="1"/>
    <xf numFmtId="2" fontId="27" fillId="0" borderId="0" xfId="0" applyNumberFormat="1" applyFont="1"/>
    <xf numFmtId="176" fontId="0" fillId="0" borderId="0" xfId="0" applyNumberFormat="1"/>
    <xf numFmtId="0" fontId="27" fillId="8" borderId="0" xfId="0" quotePrefix="1" applyFont="1" applyFill="1"/>
    <xf numFmtId="171" fontId="27" fillId="8" borderId="0" xfId="0" applyNumberFormat="1" applyFont="1" applyFill="1"/>
    <xf numFmtId="179" fontId="27" fillId="8" borderId="0" xfId="0" applyNumberFormat="1" applyFont="1" applyFill="1"/>
    <xf numFmtId="0" fontId="27" fillId="8" borderId="0" xfId="0" applyFont="1" applyFill="1"/>
    <xf numFmtId="171" fontId="8" fillId="0" borderId="0" xfId="0" applyNumberFormat="1" applyFont="1"/>
    <xf numFmtId="171" fontId="62" fillId="0" borderId="0" xfId="0" applyNumberFormat="1" applyFont="1"/>
    <xf numFmtId="169" fontId="0" fillId="0" borderId="0" xfId="0" applyNumberFormat="1"/>
    <xf numFmtId="0" fontId="38" fillId="0" borderId="0" xfId="0" applyFont="1"/>
    <xf numFmtId="0" fontId="0" fillId="0" borderId="16" xfId="0" applyBorder="1"/>
    <xf numFmtId="0" fontId="0" fillId="0" borderId="17" xfId="0" applyBorder="1"/>
    <xf numFmtId="0" fontId="0" fillId="0" borderId="24" xfId="0" applyBorder="1"/>
    <xf numFmtId="0" fontId="19" fillId="0" borderId="22" xfId="0" applyFont="1" applyBorder="1"/>
    <xf numFmtId="0" fontId="19" fillId="0" borderId="24" xfId="0" applyFont="1" applyBorder="1"/>
    <xf numFmtId="0" fontId="19" fillId="0" borderId="22" xfId="0" applyFont="1" applyBorder="1" applyAlignment="1">
      <alignment horizontal="left"/>
    </xf>
    <xf numFmtId="0" fontId="19" fillId="0" borderId="24" xfId="0" applyFont="1" applyBorder="1" applyAlignment="1">
      <alignment horizontal="left"/>
    </xf>
    <xf numFmtId="0" fontId="19" fillId="0" borderId="26" xfId="0" applyFont="1" applyBorder="1" applyAlignment="1">
      <alignment horizontal="left"/>
    </xf>
    <xf numFmtId="171" fontId="25" fillId="0" borderId="23" xfId="0" applyNumberFormat="1" applyFont="1" applyBorder="1" applyAlignment="1">
      <alignment horizontal="right"/>
    </xf>
    <xf numFmtId="171" fontId="20" fillId="0" borderId="25" xfId="0" applyNumberFormat="1" applyFont="1" applyBorder="1" applyAlignment="1">
      <alignment horizontal="right"/>
    </xf>
    <xf numFmtId="164" fontId="25" fillId="0" borderId="25" xfId="0" applyNumberFormat="1" applyFont="1" applyBorder="1" applyAlignment="1">
      <alignment horizontal="right"/>
    </xf>
    <xf numFmtId="171" fontId="19" fillId="0" borderId="25" xfId="0" applyNumberFormat="1" applyFont="1" applyBorder="1" applyAlignment="1">
      <alignment horizontal="right"/>
    </xf>
    <xf numFmtId="9" fontId="20" fillId="0" borderId="25" xfId="0" applyNumberFormat="1" applyFont="1" applyBorder="1" applyAlignment="1">
      <alignment horizontal="right"/>
    </xf>
    <xf numFmtId="171" fontId="20" fillId="0" borderId="27" xfId="0" applyNumberFormat="1" applyFont="1" applyBorder="1" applyAlignment="1">
      <alignment horizontal="right"/>
    </xf>
    <xf numFmtId="0" fontId="66" fillId="18" borderId="0" xfId="0" applyFont="1" applyFill="1" applyAlignment="1">
      <alignment horizontal="left"/>
    </xf>
    <xf numFmtId="2" fontId="0" fillId="9" borderId="0" xfId="0" applyNumberFormat="1" applyFill="1"/>
    <xf numFmtId="0" fontId="19" fillId="9" borderId="0" xfId="0" applyFont="1" applyFill="1"/>
    <xf numFmtId="0" fontId="67" fillId="0" borderId="0" xfId="0" applyFont="1"/>
    <xf numFmtId="0" fontId="19" fillId="9" borderId="17" xfId="0" applyFont="1" applyFill="1" applyBorder="1"/>
    <xf numFmtId="0" fontId="19" fillId="0" borderId="17" xfId="0" applyFont="1" applyBorder="1"/>
    <xf numFmtId="0" fontId="66" fillId="18" borderId="28" xfId="0" applyFont="1" applyFill="1" applyBorder="1" applyAlignment="1">
      <alignment horizontal="left"/>
    </xf>
    <xf numFmtId="0" fontId="66" fillId="18" borderId="13" xfId="0" applyFont="1" applyFill="1" applyBorder="1" applyAlignment="1">
      <alignment horizontal="left"/>
    </xf>
    <xf numFmtId="0" fontId="66" fillId="18" borderId="13" xfId="0" applyFont="1" applyFill="1" applyBorder="1" applyAlignment="1">
      <alignment horizontal="center"/>
    </xf>
    <xf numFmtId="0" fontId="66" fillId="18" borderId="29" xfId="0" applyFont="1" applyFill="1" applyBorder="1" applyAlignment="1">
      <alignment horizontal="left"/>
    </xf>
    <xf numFmtId="0" fontId="19" fillId="9" borderId="30" xfId="0" applyFont="1" applyFill="1" applyBorder="1"/>
    <xf numFmtId="0" fontId="19" fillId="9" borderId="3" xfId="0" applyFont="1" applyFill="1" applyBorder="1"/>
    <xf numFmtId="0" fontId="67" fillId="9" borderId="3" xfId="0" applyFont="1" applyFill="1" applyBorder="1"/>
    <xf numFmtId="0" fontId="19" fillId="9" borderId="32" xfId="0" applyFont="1" applyFill="1" applyBorder="1"/>
    <xf numFmtId="0" fontId="19" fillId="9" borderId="33" xfId="0" applyFont="1" applyFill="1" applyBorder="1"/>
    <xf numFmtId="0" fontId="19" fillId="0" borderId="38" xfId="0" applyFont="1" applyBorder="1"/>
    <xf numFmtId="0" fontId="19" fillId="0" borderId="39" xfId="0" applyFont="1" applyBorder="1"/>
    <xf numFmtId="0" fontId="67" fillId="0" borderId="39" xfId="0" applyFont="1" applyBorder="1"/>
    <xf numFmtId="0" fontId="19" fillId="9" borderId="35" xfId="0" applyFont="1" applyFill="1" applyBorder="1"/>
    <xf numFmtId="0" fontId="19" fillId="9" borderId="36" xfId="0" applyFont="1" applyFill="1" applyBorder="1"/>
    <xf numFmtId="0" fontId="67" fillId="9" borderId="36" xfId="0" applyFont="1" applyFill="1" applyBorder="1"/>
    <xf numFmtId="0" fontId="19" fillId="9" borderId="0" xfId="0" applyFont="1" applyFill="1" applyAlignment="1">
      <alignment horizontal="center"/>
    </xf>
    <xf numFmtId="0" fontId="19" fillId="0" borderId="0" xfId="0" applyFont="1" applyAlignment="1">
      <alignment horizontal="center"/>
    </xf>
    <xf numFmtId="0" fontId="19" fillId="9" borderId="33" xfId="0" applyFont="1" applyFill="1" applyBorder="1" applyAlignment="1">
      <alignment horizontal="center"/>
    </xf>
    <xf numFmtId="0" fontId="19" fillId="0" borderId="39" xfId="0" applyFont="1" applyBorder="1" applyAlignment="1">
      <alignment horizontal="center"/>
    </xf>
    <xf numFmtId="0" fontId="19" fillId="9" borderId="36" xfId="0" applyFont="1" applyFill="1" applyBorder="1" applyAlignment="1">
      <alignment horizontal="center"/>
    </xf>
    <xf numFmtId="0" fontId="19" fillId="9" borderId="3" xfId="0" applyFont="1" applyFill="1" applyBorder="1" applyAlignment="1">
      <alignment horizontal="center"/>
    </xf>
    <xf numFmtId="170" fontId="20" fillId="9" borderId="0" xfId="0" applyNumberFormat="1" applyFont="1" applyFill="1" applyAlignment="1">
      <alignment horizontal="right"/>
    </xf>
    <xf numFmtId="169" fontId="20" fillId="9" borderId="0" xfId="0" applyNumberFormat="1" applyFont="1" applyFill="1" applyAlignment="1">
      <alignment horizontal="right"/>
    </xf>
    <xf numFmtId="9" fontId="20" fillId="9" borderId="0" xfId="0" applyNumberFormat="1" applyFont="1" applyFill="1" applyAlignment="1">
      <alignment horizontal="right"/>
    </xf>
    <xf numFmtId="2" fontId="19" fillId="9" borderId="0" xfId="0" applyNumberFormat="1" applyFont="1" applyFill="1" applyAlignment="1">
      <alignment horizontal="right"/>
    </xf>
    <xf numFmtId="170" fontId="20" fillId="0" borderId="0" xfId="0" applyNumberFormat="1" applyFont="1" applyAlignment="1">
      <alignment horizontal="right"/>
    </xf>
    <xf numFmtId="169" fontId="20" fillId="0" borderId="0" xfId="0" applyNumberFormat="1" applyFont="1" applyAlignment="1">
      <alignment horizontal="right"/>
    </xf>
    <xf numFmtId="9" fontId="20" fillId="0" borderId="0" xfId="0" applyNumberFormat="1" applyFont="1" applyAlignment="1">
      <alignment horizontal="right"/>
    </xf>
    <xf numFmtId="2" fontId="19" fillId="0" borderId="0" xfId="0" applyNumberFormat="1" applyFont="1" applyAlignment="1">
      <alignment horizontal="right"/>
    </xf>
    <xf numFmtId="170" fontId="20" fillId="9" borderId="33" xfId="0" applyNumberFormat="1" applyFont="1" applyFill="1" applyBorder="1" applyAlignment="1">
      <alignment horizontal="right"/>
    </xf>
    <xf numFmtId="169" fontId="20" fillId="9" borderId="33" xfId="0" applyNumberFormat="1" applyFont="1" applyFill="1" applyBorder="1" applyAlignment="1">
      <alignment horizontal="right"/>
    </xf>
    <xf numFmtId="9" fontId="20" fillId="9" borderId="33" xfId="0" applyNumberFormat="1" applyFont="1" applyFill="1" applyBorder="1" applyAlignment="1">
      <alignment horizontal="right"/>
    </xf>
    <xf numFmtId="2" fontId="19" fillId="9" borderId="33" xfId="0" applyNumberFormat="1" applyFont="1" applyFill="1" applyBorder="1" applyAlignment="1">
      <alignment horizontal="right"/>
    </xf>
    <xf numFmtId="170" fontId="20" fillId="0" borderId="39" xfId="0" applyNumberFormat="1" applyFont="1" applyBorder="1" applyAlignment="1">
      <alignment horizontal="right"/>
    </xf>
    <xf numFmtId="169" fontId="20" fillId="0" borderId="39" xfId="0" applyNumberFormat="1" applyFont="1" applyBorder="1" applyAlignment="1">
      <alignment horizontal="right"/>
    </xf>
    <xf numFmtId="9" fontId="20" fillId="0" borderId="39" xfId="0" applyNumberFormat="1" applyFont="1" applyBorder="1" applyAlignment="1">
      <alignment horizontal="right"/>
    </xf>
    <xf numFmtId="2" fontId="19" fillId="0" borderId="39" xfId="0" applyNumberFormat="1" applyFont="1" applyBorder="1" applyAlignment="1">
      <alignment horizontal="right"/>
    </xf>
    <xf numFmtId="170" fontId="20" fillId="9" borderId="36" xfId="0" applyNumberFormat="1" applyFont="1" applyFill="1" applyBorder="1" applyAlignment="1">
      <alignment horizontal="right"/>
    </xf>
    <xf numFmtId="169" fontId="20" fillId="9" borderId="36" xfId="0" applyNumberFormat="1" applyFont="1" applyFill="1" applyBorder="1" applyAlignment="1">
      <alignment horizontal="right"/>
    </xf>
    <xf numFmtId="9" fontId="20" fillId="9" borderId="36" xfId="0" applyNumberFormat="1" applyFont="1" applyFill="1" applyBorder="1" applyAlignment="1">
      <alignment horizontal="right"/>
    </xf>
    <xf numFmtId="2" fontId="19" fillId="9" borderId="36" xfId="0" applyNumberFormat="1" applyFont="1" applyFill="1" applyBorder="1" applyAlignment="1">
      <alignment horizontal="right"/>
    </xf>
    <xf numFmtId="0" fontId="19" fillId="0" borderId="0" xfId="0" applyFont="1" applyAlignment="1">
      <alignment horizontal="right"/>
    </xf>
    <xf numFmtId="170" fontId="20" fillId="9" borderId="3" xfId="0" applyNumberFormat="1" applyFont="1" applyFill="1" applyBorder="1" applyAlignment="1">
      <alignment horizontal="right"/>
    </xf>
    <xf numFmtId="0" fontId="19" fillId="9" borderId="3" xfId="0" applyFont="1" applyFill="1" applyBorder="1" applyAlignment="1">
      <alignment horizontal="right"/>
    </xf>
    <xf numFmtId="0" fontId="64" fillId="9" borderId="20" xfId="0" applyFont="1" applyFill="1" applyBorder="1" applyAlignment="1">
      <alignment wrapText="1"/>
    </xf>
    <xf numFmtId="0" fontId="64" fillId="0" borderId="20" xfId="0" applyFont="1" applyBorder="1" applyAlignment="1">
      <alignment wrapText="1"/>
    </xf>
    <xf numFmtId="0" fontId="64" fillId="9" borderId="34" xfId="0" applyFont="1" applyFill="1" applyBorder="1" applyAlignment="1">
      <alignment wrapText="1"/>
    </xf>
    <xf numFmtId="0" fontId="64" fillId="0" borderId="40" xfId="0" applyFont="1" applyBorder="1" applyAlignment="1">
      <alignment wrapText="1"/>
    </xf>
    <xf numFmtId="0" fontId="64" fillId="9" borderId="37" xfId="0" applyFont="1" applyFill="1" applyBorder="1" applyAlignment="1">
      <alignment wrapText="1"/>
    </xf>
    <xf numFmtId="0" fontId="64" fillId="9" borderId="31" xfId="0" applyFont="1" applyFill="1" applyBorder="1" applyAlignment="1">
      <alignment wrapText="1"/>
    </xf>
    <xf numFmtId="0" fontId="27" fillId="19" borderId="0" xfId="0" applyFont="1" applyFill="1" applyAlignment="1">
      <alignment horizontal="center"/>
    </xf>
    <xf numFmtId="0" fontId="0" fillId="0" borderId="0" xfId="0" applyAlignment="1">
      <alignment horizontal="right"/>
    </xf>
    <xf numFmtId="0" fontId="27" fillId="0" borderId="0" xfId="0" applyFont="1" applyAlignment="1">
      <alignment horizontal="right"/>
    </xf>
    <xf numFmtId="0" fontId="23" fillId="19" borderId="0" xfId="0" applyFont="1" applyFill="1" applyAlignment="1">
      <alignment horizontal="center"/>
    </xf>
    <xf numFmtId="170" fontId="19" fillId="0" borderId="0" xfId="0" applyNumberFormat="1" applyFont="1" applyAlignment="1">
      <alignment horizontal="right"/>
    </xf>
    <xf numFmtId="169" fontId="19" fillId="0" borderId="0" xfId="0" applyNumberFormat="1" applyFont="1" applyAlignment="1">
      <alignment horizontal="right"/>
    </xf>
    <xf numFmtId="171" fontId="19" fillId="0" borderId="0" xfId="0" applyNumberFormat="1" applyFont="1" applyAlignment="1">
      <alignment horizontal="right"/>
    </xf>
    <xf numFmtId="0" fontId="19" fillId="0" borderId="15" xfId="0" applyFont="1" applyBorder="1"/>
    <xf numFmtId="0" fontId="23" fillId="0" borderId="17" xfId="0" applyFont="1" applyBorder="1"/>
    <xf numFmtId="0" fontId="23" fillId="19" borderId="20" xfId="0" applyFont="1" applyFill="1" applyBorder="1" applyAlignment="1">
      <alignment horizontal="center"/>
    </xf>
    <xf numFmtId="170" fontId="23" fillId="0" borderId="20" xfId="0" applyNumberFormat="1" applyFont="1" applyBorder="1" applyAlignment="1">
      <alignment horizontal="right"/>
    </xf>
    <xf numFmtId="169" fontId="23" fillId="0" borderId="20" xfId="0" applyNumberFormat="1" applyFont="1" applyBorder="1" applyAlignment="1">
      <alignment horizontal="right"/>
    </xf>
    <xf numFmtId="171" fontId="23" fillId="0" borderId="20" xfId="0" applyNumberFormat="1" applyFont="1" applyBorder="1" applyAlignment="1">
      <alignment horizontal="right"/>
    </xf>
    <xf numFmtId="0" fontId="19" fillId="0" borderId="30" xfId="0" applyFont="1" applyBorder="1"/>
    <xf numFmtId="171" fontId="19" fillId="0" borderId="3" xfId="0" applyNumberFormat="1" applyFont="1" applyBorder="1" applyAlignment="1">
      <alignment horizontal="right"/>
    </xf>
    <xf numFmtId="171" fontId="23" fillId="0" borderId="31" xfId="0" applyNumberFormat="1" applyFont="1" applyBorder="1" applyAlignment="1">
      <alignment horizontal="right"/>
    </xf>
    <xf numFmtId="0" fontId="23" fillId="0" borderId="38" xfId="0" applyFont="1" applyBorder="1"/>
    <xf numFmtId="0" fontId="19" fillId="0" borderId="39" xfId="0" applyFont="1" applyBorder="1" applyAlignment="1">
      <alignment horizontal="right"/>
    </xf>
    <xf numFmtId="0" fontId="23" fillId="0" borderId="40" xfId="0" applyFont="1" applyBorder="1" applyAlignment="1">
      <alignment horizontal="right"/>
    </xf>
    <xf numFmtId="0" fontId="19" fillId="0" borderId="44" xfId="0" applyFont="1" applyBorder="1"/>
    <xf numFmtId="171" fontId="23" fillId="0" borderId="45" xfId="0" applyNumberFormat="1" applyFont="1" applyBorder="1" applyAlignment="1">
      <alignment horizontal="right"/>
    </xf>
    <xf numFmtId="0" fontId="19" fillId="0" borderId="48" xfId="0" applyFont="1" applyBorder="1"/>
    <xf numFmtId="171" fontId="23" fillId="0" borderId="49" xfId="0" applyNumberFormat="1" applyFont="1" applyBorder="1" applyAlignment="1">
      <alignment horizontal="right"/>
    </xf>
    <xf numFmtId="0" fontId="23" fillId="8" borderId="50" xfId="0" applyFont="1" applyFill="1" applyBorder="1"/>
    <xf numFmtId="171" fontId="23" fillId="8" borderId="51" xfId="0" applyNumberFormat="1" applyFont="1" applyFill="1" applyBorder="1" applyAlignment="1">
      <alignment horizontal="right"/>
    </xf>
    <xf numFmtId="171" fontId="20" fillId="0" borderId="23" xfId="0" applyNumberFormat="1" applyFont="1" applyBorder="1" applyAlignment="1">
      <alignment horizontal="right"/>
    </xf>
    <xf numFmtId="170" fontId="19" fillId="0" borderId="25" xfId="0" applyNumberFormat="1" applyFont="1" applyBorder="1" applyAlignment="1">
      <alignment horizontal="right"/>
    </xf>
    <xf numFmtId="169" fontId="19" fillId="0" borderId="25" xfId="0" applyNumberFormat="1" applyFont="1" applyBorder="1" applyAlignment="1">
      <alignment horizontal="right"/>
    </xf>
    <xf numFmtId="0" fontId="19" fillId="9" borderId="26" xfId="0" applyFont="1" applyFill="1" applyBorder="1"/>
    <xf numFmtId="0" fontId="64" fillId="9" borderId="27" xfId="0" applyFont="1" applyFill="1" applyBorder="1" applyAlignment="1">
      <alignment wrapText="1"/>
    </xf>
    <xf numFmtId="0" fontId="23" fillId="19" borderId="44" xfId="0" applyFont="1" applyFill="1" applyBorder="1" applyAlignment="1">
      <alignment horizontal="left"/>
    </xf>
    <xf numFmtId="0" fontId="23" fillId="19" borderId="52" xfId="0" applyFont="1" applyFill="1" applyBorder="1" applyAlignment="1">
      <alignment horizontal="center"/>
    </xf>
    <xf numFmtId="0" fontId="23" fillId="19" borderId="45" xfId="0" applyFont="1" applyFill="1" applyBorder="1" applyAlignment="1">
      <alignment horizontal="center"/>
    </xf>
    <xf numFmtId="0" fontId="0" fillId="9" borderId="24" xfId="0" applyFill="1" applyBorder="1"/>
    <xf numFmtId="0" fontId="0" fillId="9" borderId="46" xfId="0" applyFill="1" applyBorder="1"/>
    <xf numFmtId="169" fontId="23" fillId="0" borderId="53" xfId="0" applyNumberFormat="1" applyFont="1" applyBorder="1" applyAlignment="1">
      <alignment horizontal="right"/>
    </xf>
    <xf numFmtId="170" fontId="19" fillId="0" borderId="53" xfId="0" applyNumberFormat="1" applyFont="1" applyBorder="1" applyAlignment="1">
      <alignment horizontal="right"/>
    </xf>
    <xf numFmtId="9" fontId="23" fillId="0" borderId="25" xfId="0" applyNumberFormat="1" applyFont="1" applyBorder="1" applyAlignment="1">
      <alignment horizontal="right"/>
    </xf>
    <xf numFmtId="0" fontId="19" fillId="9" borderId="24" xfId="0" applyFont="1" applyFill="1" applyBorder="1"/>
    <xf numFmtId="169" fontId="23" fillId="9" borderId="53" xfId="0" applyNumberFormat="1" applyFont="1" applyFill="1" applyBorder="1" applyAlignment="1">
      <alignment horizontal="right"/>
    </xf>
    <xf numFmtId="170" fontId="19" fillId="9" borderId="53" xfId="0" applyNumberFormat="1" applyFont="1" applyFill="1" applyBorder="1" applyAlignment="1">
      <alignment horizontal="right"/>
    </xf>
    <xf numFmtId="9" fontId="23" fillId="9" borderId="25" xfId="0" applyNumberFormat="1" applyFont="1" applyFill="1" applyBorder="1" applyAlignment="1">
      <alignment horizontal="right"/>
    </xf>
    <xf numFmtId="169" fontId="19" fillId="0" borderId="53" xfId="0" applyNumberFormat="1" applyFont="1" applyBorder="1" applyAlignment="1">
      <alignment horizontal="right"/>
    </xf>
    <xf numFmtId="0" fontId="19" fillId="9" borderId="46" xfId="0" applyFont="1" applyFill="1" applyBorder="1"/>
    <xf numFmtId="169" fontId="23" fillId="9" borderId="54" xfId="0" applyNumberFormat="1" applyFont="1" applyFill="1" applyBorder="1" applyAlignment="1">
      <alignment horizontal="right"/>
    </xf>
    <xf numFmtId="169" fontId="19" fillId="9" borderId="54" xfId="0" applyNumberFormat="1" applyFont="1" applyFill="1" applyBorder="1" applyAlignment="1">
      <alignment horizontal="right"/>
    </xf>
    <xf numFmtId="9" fontId="23" fillId="9" borderId="47" xfId="0" applyNumberFormat="1" applyFont="1" applyFill="1" applyBorder="1" applyAlignment="1">
      <alignment horizontal="right"/>
    </xf>
    <xf numFmtId="49" fontId="23" fillId="19" borderId="44" xfId="0" applyNumberFormat="1" applyFont="1" applyFill="1" applyBorder="1" applyAlignment="1">
      <alignment horizontal="left"/>
    </xf>
    <xf numFmtId="181" fontId="23" fillId="19" borderId="52" xfId="0" applyNumberFormat="1" applyFont="1" applyFill="1" applyBorder="1" applyAlignment="1">
      <alignment horizontal="center"/>
    </xf>
    <xf numFmtId="49" fontId="23" fillId="19" borderId="45" xfId="0" applyNumberFormat="1" applyFont="1" applyFill="1" applyBorder="1" applyAlignment="1">
      <alignment horizontal="center"/>
    </xf>
    <xf numFmtId="169" fontId="20" fillId="0" borderId="53" xfId="0" applyNumberFormat="1" applyFont="1" applyBorder="1" applyAlignment="1">
      <alignment horizontal="right"/>
    </xf>
    <xf numFmtId="9" fontId="19" fillId="0" borderId="25" xfId="0" applyNumberFormat="1" applyFont="1" applyBorder="1" applyAlignment="1">
      <alignment horizontal="right"/>
    </xf>
    <xf numFmtId="9" fontId="69" fillId="0" borderId="25" xfId="0" applyNumberFormat="1" applyFont="1" applyBorder="1" applyAlignment="1">
      <alignment horizontal="right"/>
    </xf>
    <xf numFmtId="169" fontId="20" fillId="9" borderId="53" xfId="0" applyNumberFormat="1" applyFont="1" applyFill="1" applyBorder="1" applyAlignment="1">
      <alignment horizontal="right"/>
    </xf>
    <xf numFmtId="9" fontId="19" fillId="9" borderId="25" xfId="0" applyNumberFormat="1" applyFont="1" applyFill="1" applyBorder="1" applyAlignment="1">
      <alignment horizontal="right"/>
    </xf>
    <xf numFmtId="169" fontId="20" fillId="9" borderId="54" xfId="0" applyNumberFormat="1" applyFont="1" applyFill="1" applyBorder="1" applyAlignment="1">
      <alignment horizontal="right"/>
    </xf>
    <xf numFmtId="9" fontId="69" fillId="9" borderId="47" xfId="0" applyNumberFormat="1" applyFont="1" applyFill="1" applyBorder="1" applyAlignment="1">
      <alignment horizontal="right"/>
    </xf>
    <xf numFmtId="0" fontId="23" fillId="19" borderId="0" xfId="0" applyFont="1" applyFill="1"/>
    <xf numFmtId="0" fontId="27" fillId="0" borderId="18" xfId="0" applyFont="1" applyBorder="1"/>
    <xf numFmtId="0" fontId="27" fillId="0" borderId="46" xfId="0" applyFont="1" applyBorder="1"/>
    <xf numFmtId="0" fontId="19" fillId="0" borderId="53" xfId="0" applyFont="1" applyBorder="1" applyAlignment="1">
      <alignment horizontal="right"/>
    </xf>
    <xf numFmtId="0" fontId="19" fillId="0" borderId="53" xfId="0" applyFont="1" applyBorder="1" applyAlignment="1">
      <alignment horizontal="center"/>
    </xf>
    <xf numFmtId="0" fontId="64" fillId="0" borderId="25" xfId="0" applyFont="1" applyBorder="1"/>
    <xf numFmtId="0" fontId="19" fillId="9" borderId="53" xfId="0" applyFont="1" applyFill="1" applyBorder="1" applyAlignment="1">
      <alignment horizontal="right"/>
    </xf>
    <xf numFmtId="0" fontId="19" fillId="9" borderId="53" xfId="0" applyFont="1" applyFill="1" applyBorder="1" applyAlignment="1">
      <alignment horizontal="center"/>
    </xf>
    <xf numFmtId="0" fontId="64" fillId="9" borderId="25" xfId="0" applyFont="1" applyFill="1" applyBorder="1"/>
    <xf numFmtId="0" fontId="0" fillId="9" borderId="48" xfId="0" applyFill="1" applyBorder="1"/>
    <xf numFmtId="0" fontId="19" fillId="9" borderId="55" xfId="0" applyFont="1" applyFill="1" applyBorder="1" applyAlignment="1">
      <alignment horizontal="right"/>
    </xf>
    <xf numFmtId="0" fontId="19" fillId="9" borderId="55" xfId="0" applyFont="1" applyFill="1" applyBorder="1" applyAlignment="1">
      <alignment horizontal="center"/>
    </xf>
    <xf numFmtId="0" fontId="64" fillId="9" borderId="49" xfId="0" applyFont="1" applyFill="1" applyBorder="1"/>
    <xf numFmtId="0" fontId="27" fillId="8" borderId="56" xfId="0" applyFont="1" applyFill="1" applyBorder="1"/>
    <xf numFmtId="0" fontId="23" fillId="8" borderId="57" xfId="0" applyFont="1" applyFill="1" applyBorder="1" applyAlignment="1">
      <alignment horizontal="right"/>
    </xf>
    <xf numFmtId="0" fontId="23" fillId="8" borderId="57" xfId="0" applyFont="1" applyFill="1" applyBorder="1" applyAlignment="1">
      <alignment horizontal="center"/>
    </xf>
    <xf numFmtId="0" fontId="71" fillId="8" borderId="58" xfId="0" applyFont="1" applyFill="1" applyBorder="1"/>
    <xf numFmtId="0" fontId="23" fillId="20" borderId="59" xfId="0" applyFont="1" applyFill="1" applyBorder="1"/>
    <xf numFmtId="0" fontId="19" fillId="20" borderId="19" xfId="0" applyFont="1" applyFill="1" applyBorder="1"/>
    <xf numFmtId="0" fontId="19" fillId="20" borderId="60" xfId="0" applyFont="1" applyFill="1" applyBorder="1"/>
    <xf numFmtId="0" fontId="19" fillId="20" borderId="61" xfId="0" applyFont="1" applyFill="1" applyBorder="1"/>
    <xf numFmtId="2" fontId="19" fillId="20" borderId="20" xfId="0" applyNumberFormat="1" applyFont="1" applyFill="1" applyBorder="1" applyAlignment="1">
      <alignment horizontal="right"/>
    </xf>
    <xf numFmtId="169" fontId="19" fillId="20" borderId="20" xfId="0" applyNumberFormat="1" applyFont="1" applyFill="1" applyBorder="1" applyAlignment="1">
      <alignment horizontal="right"/>
    </xf>
    <xf numFmtId="180" fontId="23" fillId="20" borderId="21" xfId="0" applyNumberFormat="1" applyFont="1" applyFill="1" applyBorder="1" applyAlignment="1">
      <alignment horizontal="right"/>
    </xf>
    <xf numFmtId="0" fontId="23" fillId="0" borderId="62" xfId="0" applyFont="1" applyBorder="1"/>
    <xf numFmtId="0" fontId="19" fillId="0" borderId="62" xfId="0" applyFont="1" applyBorder="1"/>
    <xf numFmtId="0" fontId="4" fillId="0" borderId="14" xfId="0" applyFont="1" applyBorder="1"/>
    <xf numFmtId="0" fontId="5" fillId="0" borderId="20" xfId="0" applyFont="1" applyBorder="1"/>
    <xf numFmtId="0" fontId="5" fillId="0" borderId="23" xfId="0" applyFont="1" applyBorder="1"/>
    <xf numFmtId="0" fontId="5" fillId="0" borderId="25" xfId="0" applyFont="1" applyBorder="1"/>
    <xf numFmtId="0" fontId="5" fillId="0" borderId="27" xfId="0" applyFont="1" applyBorder="1"/>
    <xf numFmtId="0" fontId="4" fillId="9" borderId="22" xfId="0" applyFont="1" applyFill="1" applyBorder="1"/>
    <xf numFmtId="0" fontId="4" fillId="9" borderId="24" xfId="0" applyFont="1" applyFill="1" applyBorder="1"/>
    <xf numFmtId="0" fontId="4" fillId="9" borderId="26" xfId="0" applyFont="1" applyFill="1" applyBorder="1"/>
    <xf numFmtId="0" fontId="7" fillId="9" borderId="0" xfId="0" applyFont="1" applyFill="1"/>
    <xf numFmtId="0" fontId="76" fillId="2" borderId="0" xfId="0" applyFont="1" applyFill="1"/>
    <xf numFmtId="0" fontId="41" fillId="8" borderId="0" xfId="0" applyFont="1" applyFill="1"/>
    <xf numFmtId="0" fontId="30" fillId="8" borderId="0" xfId="0" applyFont="1" applyFill="1"/>
    <xf numFmtId="0" fontId="27" fillId="0" borderId="16" xfId="0" applyFont="1" applyBorder="1"/>
    <xf numFmtId="0" fontId="27" fillId="0" borderId="44" xfId="0" applyFont="1" applyBorder="1"/>
    <xf numFmtId="0" fontId="27" fillId="0" borderId="24" xfId="0" quotePrefix="1" applyFont="1" applyBorder="1"/>
    <xf numFmtId="0" fontId="27" fillId="0" borderId="24" xfId="0" applyFont="1" applyBorder="1"/>
    <xf numFmtId="176" fontId="24" fillId="0" borderId="25" xfId="0" applyNumberFormat="1" applyFont="1" applyBorder="1" applyAlignment="1">
      <alignment horizontal="right"/>
    </xf>
    <xf numFmtId="0" fontId="0" fillId="0" borderId="25" xfId="0" applyBorder="1" applyAlignment="1">
      <alignment horizontal="right"/>
    </xf>
    <xf numFmtId="171" fontId="42" fillId="0" borderId="45" xfId="0" applyNumberFormat="1" applyFont="1" applyBorder="1" applyAlignment="1">
      <alignment horizontal="right"/>
    </xf>
    <xf numFmtId="171" fontId="24" fillId="0" borderId="25" xfId="0" applyNumberFormat="1" applyFont="1" applyBorder="1" applyAlignment="1">
      <alignment horizontal="right"/>
    </xf>
    <xf numFmtId="171" fontId="43" fillId="0" borderId="25" xfId="0" applyNumberFormat="1" applyFont="1" applyBorder="1" applyAlignment="1">
      <alignment horizontal="right"/>
    </xf>
    <xf numFmtId="171" fontId="42" fillId="0" borderId="47" xfId="0" applyNumberFormat="1" applyFont="1" applyBorder="1" applyAlignment="1">
      <alignment horizontal="right"/>
    </xf>
    <xf numFmtId="0" fontId="27" fillId="0" borderId="26" xfId="0" applyFont="1" applyBorder="1"/>
    <xf numFmtId="164" fontId="27" fillId="0" borderId="25" xfId="0" applyNumberFormat="1" applyFont="1" applyBorder="1" applyAlignment="1">
      <alignment horizontal="right"/>
    </xf>
    <xf numFmtId="164" fontId="27" fillId="0" borderId="27" xfId="0" applyNumberFormat="1" applyFont="1" applyBorder="1" applyAlignment="1">
      <alignment horizontal="right"/>
    </xf>
    <xf numFmtId="0" fontId="30" fillId="9" borderId="22" xfId="0" applyFont="1" applyFill="1" applyBorder="1"/>
    <xf numFmtId="171" fontId="78" fillId="9" borderId="23" xfId="0" applyNumberFormat="1" applyFont="1" applyFill="1" applyBorder="1" applyAlignment="1">
      <alignment horizontal="right"/>
    </xf>
    <xf numFmtId="176" fontId="24" fillId="0" borderId="20" xfId="0" applyNumberFormat="1" applyFont="1" applyBorder="1" applyAlignment="1">
      <alignment horizontal="right"/>
    </xf>
    <xf numFmtId="171" fontId="42" fillId="0" borderId="19" xfId="0" applyNumberFormat="1" applyFont="1" applyBorder="1" applyAlignment="1">
      <alignment horizontal="right"/>
    </xf>
    <xf numFmtId="164" fontId="27" fillId="0" borderId="21" xfId="0" applyNumberFormat="1" applyFont="1" applyBorder="1" applyAlignment="1">
      <alignment horizontal="right"/>
    </xf>
    <xf numFmtId="0" fontId="28" fillId="0" borderId="17" xfId="0" applyFont="1" applyBorder="1"/>
    <xf numFmtId="0" fontId="51" fillId="0" borderId="18" xfId="0" applyFont="1" applyBorder="1" applyAlignment="1">
      <alignment wrapText="1"/>
    </xf>
    <xf numFmtId="1" fontId="45" fillId="0" borderId="19" xfId="0" applyNumberFormat="1" applyFont="1" applyBorder="1" applyAlignment="1">
      <alignment horizontal="right"/>
    </xf>
    <xf numFmtId="1" fontId="37" fillId="0" borderId="20" xfId="0" applyNumberFormat="1" applyFont="1" applyBorder="1" applyAlignment="1">
      <alignment horizontal="right"/>
    </xf>
    <xf numFmtId="1" fontId="39" fillId="0" borderId="20" xfId="0" applyNumberFormat="1" applyFont="1" applyBorder="1" applyAlignment="1">
      <alignment horizontal="right"/>
    </xf>
    <xf numFmtId="0" fontId="27" fillId="0" borderId="21" xfId="0" applyFont="1" applyBorder="1" applyAlignment="1">
      <alignment horizontal="right"/>
    </xf>
    <xf numFmtId="0" fontId="0" fillId="0" borderId="0" xfId="0" applyAlignment="1">
      <alignment wrapText="1"/>
    </xf>
    <xf numFmtId="0" fontId="22" fillId="9" borderId="0" xfId="0" applyFont="1" applyFill="1"/>
    <xf numFmtId="173" fontId="19" fillId="9" borderId="0" xfId="0" applyNumberFormat="1" applyFont="1" applyFill="1"/>
    <xf numFmtId="0" fontId="56" fillId="9" borderId="0" xfId="0" applyFont="1" applyFill="1"/>
    <xf numFmtId="173" fontId="19" fillId="0" borderId="0" xfId="0" applyNumberFormat="1" applyFont="1"/>
    <xf numFmtId="0" fontId="23" fillId="9" borderId="0" xfId="0" applyFont="1" applyFill="1"/>
    <xf numFmtId="173" fontId="23" fillId="9" borderId="0" xfId="0" applyNumberFormat="1" applyFont="1" applyFill="1"/>
    <xf numFmtId="178" fontId="19" fillId="9" borderId="0" xfId="0" applyNumberFormat="1" applyFont="1" applyFill="1"/>
    <xf numFmtId="178" fontId="23" fillId="9" borderId="0" xfId="0" applyNumberFormat="1" applyFont="1" applyFill="1"/>
    <xf numFmtId="178" fontId="22" fillId="0" borderId="0" xfId="0" applyNumberFormat="1" applyFont="1"/>
    <xf numFmtId="9" fontId="20" fillId="9" borderId="0" xfId="0" applyNumberFormat="1" applyFont="1" applyFill="1" applyAlignment="1">
      <alignment horizontal="center"/>
    </xf>
    <xf numFmtId="173" fontId="23" fillId="0" borderId="0" xfId="0" applyNumberFormat="1" applyFont="1"/>
    <xf numFmtId="178" fontId="19" fillId="0" borderId="0" xfId="0" applyNumberFormat="1" applyFont="1"/>
    <xf numFmtId="178" fontId="23" fillId="0" borderId="0" xfId="0" applyNumberFormat="1" applyFont="1"/>
    <xf numFmtId="0" fontId="23" fillId="9" borderId="17" xfId="0" applyFont="1" applyFill="1" applyBorder="1"/>
    <xf numFmtId="0" fontId="66" fillId="18" borderId="41" xfId="0" applyFont="1" applyFill="1" applyBorder="1" applyAlignment="1">
      <alignment horizontal="left"/>
    </xf>
    <xf numFmtId="0" fontId="66" fillId="18" borderId="42" xfId="0" applyFont="1" applyFill="1" applyBorder="1" applyAlignment="1">
      <alignment horizontal="left"/>
    </xf>
    <xf numFmtId="0" fontId="66" fillId="18" borderId="42" xfId="0" applyFont="1" applyFill="1" applyBorder="1" applyAlignment="1">
      <alignment horizontal="center"/>
    </xf>
    <xf numFmtId="0" fontId="66" fillId="18" borderId="43" xfId="0" applyFont="1" applyFill="1" applyBorder="1" applyAlignment="1">
      <alignment horizontal="left"/>
    </xf>
    <xf numFmtId="0" fontId="23" fillId="9" borderId="30" xfId="0" applyFont="1" applyFill="1" applyBorder="1"/>
    <xf numFmtId="0" fontId="22" fillId="9" borderId="3" xfId="0" applyFont="1" applyFill="1" applyBorder="1"/>
    <xf numFmtId="178" fontId="19" fillId="9" borderId="3" xfId="0" applyNumberFormat="1" applyFont="1" applyFill="1" applyBorder="1"/>
    <xf numFmtId="178" fontId="23" fillId="9" borderId="3" xfId="0" applyNumberFormat="1" applyFont="1" applyFill="1" applyBorder="1"/>
    <xf numFmtId="179" fontId="19" fillId="9" borderId="0" xfId="0" applyNumberFormat="1" applyFont="1" applyFill="1"/>
    <xf numFmtId="179" fontId="23" fillId="9" borderId="0" xfId="0" applyNumberFormat="1" applyFont="1" applyFill="1"/>
    <xf numFmtId="179" fontId="22" fillId="0" borderId="0" xfId="0" applyNumberFormat="1" applyFont="1"/>
    <xf numFmtId="179" fontId="19" fillId="0" borderId="0" xfId="0" applyNumberFormat="1" applyFont="1"/>
    <xf numFmtId="179" fontId="56" fillId="9" borderId="0" xfId="0" applyNumberFormat="1" applyFont="1" applyFill="1" applyAlignment="1">
      <alignment horizontal="right"/>
    </xf>
    <xf numFmtId="179" fontId="23" fillId="0" borderId="0" xfId="0" applyNumberFormat="1" applyFont="1"/>
    <xf numFmtId="179" fontId="19" fillId="9" borderId="3" xfId="0" applyNumberFormat="1" applyFont="1" applyFill="1" applyBorder="1"/>
    <xf numFmtId="179" fontId="23" fillId="9" borderId="3" xfId="0" applyNumberFormat="1" applyFont="1" applyFill="1" applyBorder="1"/>
    <xf numFmtId="9" fontId="19" fillId="0" borderId="0" xfId="0" applyNumberFormat="1" applyFont="1"/>
    <xf numFmtId="9" fontId="19" fillId="9" borderId="0" xfId="0" applyNumberFormat="1" applyFont="1" applyFill="1"/>
    <xf numFmtId="9" fontId="20" fillId="0" borderId="0" xfId="0" applyNumberFormat="1" applyFont="1" applyAlignment="1">
      <alignment horizontal="center"/>
    </xf>
    <xf numFmtId="9" fontId="20" fillId="9" borderId="3" xfId="0" applyNumberFormat="1" applyFont="1" applyFill="1" applyBorder="1" applyAlignment="1">
      <alignment horizontal="center"/>
    </xf>
    <xf numFmtId="179" fontId="23" fillId="9" borderId="0" xfId="0" applyNumberFormat="1" applyFont="1" applyFill="1" applyAlignment="1">
      <alignment horizontal="center"/>
    </xf>
    <xf numFmtId="179" fontId="23" fillId="0" borderId="0" xfId="0" applyNumberFormat="1" applyFont="1" applyAlignment="1">
      <alignment horizontal="center"/>
    </xf>
    <xf numFmtId="179" fontId="23" fillId="9" borderId="3" xfId="0" applyNumberFormat="1" applyFont="1" applyFill="1" applyBorder="1" applyAlignment="1">
      <alignment horizontal="center"/>
    </xf>
    <xf numFmtId="0" fontId="18" fillId="9" borderId="20" xfId="0" applyFont="1" applyFill="1" applyBorder="1" applyAlignment="1">
      <alignment wrapText="1"/>
    </xf>
    <xf numFmtId="0" fontId="18" fillId="0" borderId="20" xfId="0" applyFont="1" applyBorder="1" applyAlignment="1">
      <alignment wrapText="1"/>
    </xf>
    <xf numFmtId="0" fontId="35" fillId="9" borderId="20" xfId="0" applyFont="1" applyFill="1" applyBorder="1" applyAlignment="1">
      <alignment wrapText="1"/>
    </xf>
    <xf numFmtId="0" fontId="18" fillId="9" borderId="31" xfId="0" applyFont="1" applyFill="1" applyBorder="1" applyAlignment="1">
      <alignment wrapText="1"/>
    </xf>
    <xf numFmtId="0" fontId="79" fillId="0" borderId="17" xfId="0" applyFont="1" applyBorder="1"/>
    <xf numFmtId="0" fontId="80" fillId="9" borderId="17" xfId="0" applyFont="1" applyFill="1" applyBorder="1"/>
    <xf numFmtId="0" fontId="0" fillId="0" borderId="14" xfId="0" applyBorder="1"/>
    <xf numFmtId="0" fontId="30" fillId="0" borderId="63" xfId="0" applyFont="1" applyBorder="1"/>
    <xf numFmtId="0" fontId="27" fillId="0" borderId="63" xfId="0" applyFont="1" applyBorder="1"/>
    <xf numFmtId="9" fontId="27" fillId="0" borderId="63" xfId="0" applyNumberFormat="1" applyFont="1" applyBorder="1" applyAlignment="1">
      <alignment horizontal="center"/>
    </xf>
    <xf numFmtId="0" fontId="0" fillId="0" borderId="63" xfId="0" applyBorder="1"/>
    <xf numFmtId="0" fontId="0" fillId="0" borderId="63" xfId="0" applyBorder="1" applyAlignment="1">
      <alignment wrapText="1"/>
    </xf>
    <xf numFmtId="0" fontId="29" fillId="8" borderId="13" xfId="0" applyFont="1" applyFill="1" applyBorder="1"/>
    <xf numFmtId="178" fontId="29" fillId="8" borderId="13" xfId="0" applyNumberFormat="1" applyFont="1" applyFill="1" applyBorder="1"/>
    <xf numFmtId="178" fontId="30" fillId="8" borderId="0" xfId="0" applyNumberFormat="1" applyFont="1" applyFill="1"/>
    <xf numFmtId="0" fontId="29" fillId="8" borderId="28" xfId="0" applyFont="1" applyFill="1" applyBorder="1"/>
    <xf numFmtId="0" fontId="30" fillId="8" borderId="17" xfId="0" applyFont="1" applyFill="1" applyBorder="1"/>
    <xf numFmtId="0" fontId="53" fillId="8" borderId="29" xfId="0" quotePrefix="1" applyFont="1" applyFill="1" applyBorder="1" applyAlignment="1">
      <alignment wrapText="1"/>
    </xf>
    <xf numFmtId="0" fontId="27" fillId="8" borderId="20" xfId="0" applyFont="1" applyFill="1" applyBorder="1" applyAlignment="1">
      <alignment wrapText="1"/>
    </xf>
    <xf numFmtId="0" fontId="27" fillId="8" borderId="30" xfId="0" applyFont="1" applyFill="1" applyBorder="1"/>
    <xf numFmtId="0" fontId="27" fillId="8" borderId="3" xfId="0" applyFont="1" applyFill="1" applyBorder="1"/>
    <xf numFmtId="0" fontId="51" fillId="8" borderId="31" xfId="0" applyFont="1" applyFill="1" applyBorder="1" applyAlignment="1">
      <alignment wrapText="1"/>
    </xf>
    <xf numFmtId="179" fontId="29" fillId="8" borderId="13" xfId="0" applyNumberFormat="1" applyFont="1" applyFill="1" applyBorder="1"/>
    <xf numFmtId="179" fontId="30" fillId="8" borderId="0" xfId="0" applyNumberFormat="1" applyFont="1" applyFill="1"/>
    <xf numFmtId="164" fontId="27" fillId="8" borderId="3" xfId="0" applyNumberFormat="1" applyFont="1" applyFill="1" applyBorder="1"/>
    <xf numFmtId="0" fontId="26" fillId="0" borderId="14" xfId="0" applyFont="1" applyBorder="1"/>
    <xf numFmtId="179" fontId="0" fillId="0" borderId="14" xfId="0" applyNumberFormat="1" applyBorder="1"/>
    <xf numFmtId="178" fontId="0" fillId="0" borderId="14" xfId="0" applyNumberFormat="1" applyBorder="1"/>
    <xf numFmtId="0" fontId="26" fillId="0" borderId="0" xfId="0" applyFont="1"/>
    <xf numFmtId="179" fontId="0" fillId="0" borderId="0" xfId="0" applyNumberFormat="1"/>
    <xf numFmtId="178" fontId="0" fillId="0" borderId="0" xfId="0" applyNumberFormat="1"/>
    <xf numFmtId="0" fontId="0" fillId="0" borderId="15" xfId="0" applyBorder="1"/>
    <xf numFmtId="179" fontId="27" fillId="0" borderId="15" xfId="0" applyNumberFormat="1" applyFont="1" applyBorder="1"/>
    <xf numFmtId="178" fontId="27" fillId="0" borderId="15" xfId="0" applyNumberFormat="1" applyFont="1" applyBorder="1"/>
    <xf numFmtId="0" fontId="26" fillId="0" borderId="16" xfId="0" applyFont="1" applyBorder="1"/>
    <xf numFmtId="0" fontId="26" fillId="0" borderId="17" xfId="0" applyFont="1" applyBorder="1"/>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173" fontId="70" fillId="0" borderId="0" xfId="0" applyNumberFormat="1" applyFont="1"/>
    <xf numFmtId="0" fontId="82" fillId="0" borderId="0" xfId="0" applyFont="1"/>
    <xf numFmtId="0" fontId="81" fillId="12" borderId="0" xfId="0" applyFont="1" applyFill="1"/>
    <xf numFmtId="0" fontId="81" fillId="12" borderId="0" xfId="0" applyFont="1" applyFill="1" applyAlignment="1">
      <alignment horizontal="center"/>
    </xf>
    <xf numFmtId="173" fontId="82" fillId="0" borderId="0" xfId="0" applyNumberFormat="1" applyFont="1"/>
    <xf numFmtId="173" fontId="65" fillId="0" borderId="0" xfId="0" applyNumberFormat="1" applyFont="1"/>
    <xf numFmtId="0" fontId="13" fillId="18" borderId="1" xfId="0" applyFont="1" applyFill="1" applyBorder="1" applyAlignment="1">
      <alignment horizontal="center" vertical="center" wrapText="1"/>
    </xf>
    <xf numFmtId="164" fontId="31" fillId="0" borderId="0" xfId="0" applyNumberFormat="1" applyFont="1"/>
    <xf numFmtId="0" fontId="33" fillId="0" borderId="0" xfId="0" applyFont="1"/>
    <xf numFmtId="0" fontId="4" fillId="9" borderId="0" xfId="0" applyFont="1" applyFill="1"/>
    <xf numFmtId="0" fontId="33" fillId="9" borderId="0" xfId="0" applyFont="1" applyFill="1"/>
    <xf numFmtId="171" fontId="8" fillId="9" borderId="0" xfId="0" applyNumberFormat="1" applyFont="1" applyFill="1"/>
    <xf numFmtId="0" fontId="31" fillId="9" borderId="0" xfId="0" applyFont="1" applyFill="1"/>
    <xf numFmtId="49" fontId="33" fillId="9" borderId="0" xfId="0" applyNumberFormat="1" applyFont="1" applyFill="1" applyAlignment="1">
      <alignment horizontal="right"/>
    </xf>
    <xf numFmtId="175" fontId="31" fillId="9" borderId="0" xfId="0" applyNumberFormat="1" applyFont="1" applyFill="1"/>
    <xf numFmtId="164" fontId="36" fillId="0" borderId="0" xfId="0" applyNumberFormat="1" applyFont="1"/>
    <xf numFmtId="171" fontId="34" fillId="0" borderId="0" xfId="0" applyNumberFormat="1" applyFont="1"/>
    <xf numFmtId="0" fontId="87" fillId="0" borderId="0" xfId="0" applyFont="1"/>
    <xf numFmtId="3" fontId="4" fillId="0" borderId="0" xfId="0" applyNumberFormat="1" applyFont="1"/>
    <xf numFmtId="3" fontId="34" fillId="0" borderId="0" xfId="0" applyNumberFormat="1" applyFont="1"/>
    <xf numFmtId="3" fontId="8" fillId="9" borderId="0" xfId="0" applyNumberFormat="1" applyFont="1" applyFill="1"/>
    <xf numFmtId="169" fontId="8" fillId="9" borderId="0" xfId="0" applyNumberFormat="1" applyFont="1" applyFill="1"/>
    <xf numFmtId="166" fontId="8" fillId="9" borderId="0" xfId="0" applyNumberFormat="1" applyFont="1" applyFill="1"/>
    <xf numFmtId="171" fontId="4" fillId="9" borderId="0" xfId="0" applyNumberFormat="1" applyFont="1" applyFill="1"/>
    <xf numFmtId="3" fontId="7" fillId="9" borderId="0" xfId="0" applyNumberFormat="1" applyFont="1" applyFill="1"/>
    <xf numFmtId="0" fontId="4" fillId="8" borderId="0" xfId="0" applyFont="1" applyFill="1"/>
    <xf numFmtId="171" fontId="4" fillId="8" borderId="0" xfId="0" applyNumberFormat="1" applyFont="1" applyFill="1"/>
    <xf numFmtId="0" fontId="0" fillId="8" borderId="0" xfId="0" applyFill="1"/>
    <xf numFmtId="0" fontId="88" fillId="8" borderId="0" xfId="0" applyFont="1" applyFill="1"/>
    <xf numFmtId="3" fontId="4" fillId="8" borderId="0" xfId="0" applyNumberFormat="1" applyFont="1" applyFill="1"/>
    <xf numFmtId="171" fontId="7" fillId="0" borderId="0" xfId="0" applyNumberFormat="1" applyFont="1"/>
    <xf numFmtId="0" fontId="7" fillId="0" borderId="13" xfId="0" applyFont="1" applyBorder="1"/>
    <xf numFmtId="0" fontId="12" fillId="0" borderId="13" xfId="0" applyFont="1" applyBorder="1"/>
    <xf numFmtId="171" fontId="7" fillId="0" borderId="13" xfId="0" applyNumberFormat="1" applyFont="1" applyBorder="1"/>
    <xf numFmtId="3" fontId="7" fillId="0" borderId="13" xfId="0" applyNumberFormat="1" applyFont="1" applyBorder="1"/>
    <xf numFmtId="0" fontId="4" fillId="8" borderId="3" xfId="0" applyFont="1" applyFill="1" applyBorder="1"/>
    <xf numFmtId="0" fontId="88" fillId="8" borderId="3" xfId="0" applyFont="1" applyFill="1" applyBorder="1"/>
    <xf numFmtId="171" fontId="4" fillId="8" borderId="3" xfId="0" applyNumberFormat="1" applyFont="1" applyFill="1" applyBorder="1"/>
    <xf numFmtId="3" fontId="4" fillId="8" borderId="3" xfId="0" applyNumberFormat="1" applyFont="1" applyFill="1" applyBorder="1"/>
    <xf numFmtId="171" fontId="8" fillId="0" borderId="13" xfId="0" applyNumberFormat="1" applyFont="1" applyBorder="1"/>
    <xf numFmtId="176" fontId="4" fillId="8" borderId="3" xfId="0" applyNumberFormat="1" applyFont="1" applyFill="1" applyBorder="1"/>
    <xf numFmtId="168" fontId="4" fillId="8" borderId="3" xfId="0" applyNumberFormat="1" applyFont="1" applyFill="1" applyBorder="1"/>
    <xf numFmtId="0" fontId="88" fillId="0" borderId="0" xfId="0" applyFont="1"/>
    <xf numFmtId="0" fontId="90" fillId="0" borderId="0" xfId="0" applyFont="1"/>
    <xf numFmtId="171" fontId="90" fillId="0" borderId="0" xfId="0" applyNumberFormat="1" applyFont="1"/>
    <xf numFmtId="3" fontId="90" fillId="0" borderId="0" xfId="0" applyNumberFormat="1" applyFont="1"/>
    <xf numFmtId="164" fontId="23" fillId="0" borderId="0" xfId="0" applyNumberFormat="1" applyFont="1"/>
    <xf numFmtId="0" fontId="91" fillId="0" borderId="0" xfId="0" applyFont="1"/>
    <xf numFmtId="0" fontId="65" fillId="0" borderId="0" xfId="0" applyFont="1"/>
    <xf numFmtId="0" fontId="65" fillId="9" borderId="0" xfId="0" applyFont="1" applyFill="1"/>
    <xf numFmtId="0" fontId="92" fillId="9" borderId="0" xfId="0" applyFont="1" applyFill="1"/>
    <xf numFmtId="0" fontId="65" fillId="0" borderId="0" xfId="0" quotePrefix="1" applyFont="1"/>
    <xf numFmtId="0" fontId="65" fillId="0" borderId="13" xfId="0" applyFont="1" applyBorder="1"/>
    <xf numFmtId="0" fontId="83" fillId="8" borderId="3" xfId="0" applyFont="1" applyFill="1" applyBorder="1"/>
    <xf numFmtId="0" fontId="92" fillId="0" borderId="0" xfId="0" applyFont="1"/>
    <xf numFmtId="0" fontId="83" fillId="8" borderId="0" xfId="0" applyFont="1" applyFill="1"/>
    <xf numFmtId="164" fontId="0" fillId="0" borderId="0" xfId="0" applyNumberFormat="1"/>
    <xf numFmtId="10" fontId="0" fillId="0" borderId="0" xfId="0" applyNumberFormat="1"/>
    <xf numFmtId="175" fontId="0" fillId="0" borderId="0" xfId="0" applyNumberFormat="1"/>
    <xf numFmtId="171" fontId="0" fillId="9" borderId="0" xfId="0" applyNumberFormat="1" applyFill="1"/>
    <xf numFmtId="1" fontId="0" fillId="9" borderId="0" xfId="0" applyNumberFormat="1" applyFill="1"/>
    <xf numFmtId="164" fontId="0" fillId="9" borderId="0" xfId="0" applyNumberFormat="1" applyFill="1"/>
    <xf numFmtId="0" fontId="67" fillId="0" borderId="62" xfId="0" applyFont="1" applyBorder="1"/>
    <xf numFmtId="0" fontId="0" fillId="0" borderId="6" xfId="0" applyBorder="1" applyAlignment="1">
      <alignment horizontal="center"/>
    </xf>
    <xf numFmtId="179" fontId="0" fillId="0" borderId="4" xfId="0" applyNumberFormat="1" applyBorder="1" applyAlignment="1">
      <alignment horizontal="center"/>
    </xf>
    <xf numFmtId="0" fontId="79" fillId="19" borderId="10" xfId="0" applyFont="1" applyFill="1" applyBorder="1"/>
    <xf numFmtId="169" fontId="23" fillId="19" borderId="11" xfId="0" applyNumberFormat="1" applyFont="1" applyFill="1" applyBorder="1" applyAlignment="1">
      <alignment horizontal="center"/>
    </xf>
    <xf numFmtId="169" fontId="23" fillId="19" borderId="12" xfId="0" applyNumberFormat="1" applyFont="1" applyFill="1" applyBorder="1" applyAlignment="1">
      <alignment horizontal="center"/>
    </xf>
    <xf numFmtId="10" fontId="23" fillId="12" borderId="8" xfId="0" applyNumberFormat="1" applyFont="1" applyFill="1" applyBorder="1" applyAlignment="1">
      <alignment horizontal="center"/>
    </xf>
    <xf numFmtId="179" fontId="19" fillId="0" borderId="4" xfId="0" applyNumberFormat="1" applyFont="1" applyBorder="1" applyAlignment="1">
      <alignment horizontal="center"/>
    </xf>
    <xf numFmtId="179" fontId="19" fillId="0" borderId="6" xfId="0" applyNumberFormat="1" applyFont="1" applyBorder="1" applyAlignment="1">
      <alignment horizontal="center"/>
    </xf>
    <xf numFmtId="10" fontId="23" fillId="11" borderId="8" xfId="0" applyNumberFormat="1" applyFont="1" applyFill="1" applyBorder="1" applyAlignment="1">
      <alignment horizontal="center"/>
    </xf>
    <xf numFmtId="179" fontId="23" fillId="8" borderId="4" xfId="0" applyNumberFormat="1" applyFont="1" applyFill="1" applyBorder="1" applyAlignment="1">
      <alignment horizontal="center"/>
    </xf>
    <xf numFmtId="10" fontId="23" fillId="12" borderId="9" xfId="0" applyNumberFormat="1" applyFont="1" applyFill="1" applyBorder="1" applyAlignment="1">
      <alignment horizontal="center"/>
    </xf>
    <xf numFmtId="179" fontId="19" fillId="0" borderId="5" xfId="0" applyNumberFormat="1" applyFont="1" applyBorder="1" applyAlignment="1">
      <alignment horizontal="center"/>
    </xf>
    <xf numFmtId="179" fontId="19" fillId="0" borderId="7" xfId="0" applyNumberFormat="1" applyFont="1" applyBorder="1" applyAlignment="1">
      <alignment horizontal="center"/>
    </xf>
    <xf numFmtId="164" fontId="23" fillId="19" borderId="11" xfId="0" applyNumberFormat="1" applyFont="1" applyFill="1" applyBorder="1" applyAlignment="1">
      <alignment horizontal="center"/>
    </xf>
    <xf numFmtId="164" fontId="23" fillId="19" borderId="12" xfId="0" applyNumberFormat="1" applyFont="1" applyFill="1" applyBorder="1" applyAlignment="1">
      <alignment horizontal="center"/>
    </xf>
    <xf numFmtId="0" fontId="27" fillId="19" borderId="10" xfId="0" applyFont="1" applyFill="1" applyBorder="1"/>
    <xf numFmtId="0" fontId="27" fillId="19" borderId="11" xfId="0" applyFont="1" applyFill="1" applyBorder="1" applyAlignment="1">
      <alignment horizontal="center"/>
    </xf>
    <xf numFmtId="0" fontId="27" fillId="19" borderId="12" xfId="0" applyFont="1" applyFill="1" applyBorder="1" applyAlignment="1">
      <alignment horizontal="center"/>
    </xf>
    <xf numFmtId="179" fontId="27" fillId="0" borderId="4" xfId="0" applyNumberFormat="1" applyFont="1" applyBorder="1" applyAlignment="1">
      <alignment horizontal="center"/>
    </xf>
    <xf numFmtId="0" fontId="13" fillId="18" borderId="0" xfId="0" applyFont="1" applyFill="1" applyAlignment="1">
      <alignment horizontal="center" vertical="center"/>
    </xf>
    <xf numFmtId="0" fontId="4" fillId="19" borderId="0" xfId="0" applyFont="1" applyFill="1" applyAlignment="1">
      <alignment horizontal="center" vertical="center"/>
    </xf>
    <xf numFmtId="0" fontId="83" fillId="0" borderId="0" xfId="0" applyFont="1"/>
    <xf numFmtId="0" fontId="11" fillId="0" borderId="0" xfId="0" applyFont="1" applyAlignment="1">
      <alignment horizontal="left" vertical="center" wrapText="1"/>
    </xf>
    <xf numFmtId="0" fontId="92" fillId="0" borderId="0" xfId="0" applyFont="1" applyAlignment="1">
      <alignment horizontal="left" vertical="center" wrapText="1"/>
    </xf>
    <xf numFmtId="1" fontId="13" fillId="18" borderId="1" xfId="0" applyNumberFormat="1" applyFont="1" applyFill="1" applyBorder="1" applyAlignment="1">
      <alignment horizontal="center" vertical="center"/>
    </xf>
    <xf numFmtId="1" fontId="14" fillId="18" borderId="1" xfId="0" applyNumberFormat="1" applyFont="1" applyFill="1" applyBorder="1" applyAlignment="1">
      <alignment horizontal="center" vertical="center"/>
    </xf>
    <xf numFmtId="0" fontId="66" fillId="18" borderId="1" xfId="0" applyFont="1" applyFill="1" applyBorder="1" applyAlignment="1">
      <alignment horizontal="center"/>
    </xf>
    <xf numFmtId="0" fontId="13" fillId="18" borderId="1" xfId="0" applyFont="1" applyFill="1" applyBorder="1" applyAlignment="1">
      <alignment horizontal="center" vertical="center"/>
    </xf>
    <xf numFmtId="0" fontId="10" fillId="19" borderId="0" xfId="0" applyFont="1" applyFill="1" applyAlignment="1">
      <alignment horizontal="center" vertical="center"/>
    </xf>
    <xf numFmtId="182" fontId="5" fillId="7" borderId="0" xfId="0" applyNumberFormat="1" applyFont="1" applyFill="1" applyAlignment="1">
      <alignment horizontal="right" vertical="center"/>
    </xf>
    <xf numFmtId="182" fontId="8" fillId="0" borderId="0" xfId="0" applyNumberFormat="1" applyFont="1" applyAlignment="1">
      <alignment horizontal="right" vertical="center"/>
    </xf>
    <xf numFmtId="182" fontId="7" fillId="0" borderId="0" xfId="0" applyNumberFormat="1" applyFont="1" applyAlignment="1">
      <alignment horizontal="right" vertical="center"/>
    </xf>
    <xf numFmtId="182" fontId="5" fillId="0" borderId="0" xfId="0" applyNumberFormat="1" applyFont="1" applyAlignment="1">
      <alignment horizontal="right" vertical="center"/>
    </xf>
    <xf numFmtId="182" fontId="7" fillId="5" borderId="0" xfId="0" applyNumberFormat="1" applyFont="1" applyFill="1" applyAlignment="1">
      <alignment horizontal="right" vertical="center"/>
    </xf>
    <xf numFmtId="182" fontId="7" fillId="6" borderId="0" xfId="0" applyNumberFormat="1" applyFont="1" applyFill="1" applyAlignment="1">
      <alignment horizontal="right" vertical="center"/>
    </xf>
    <xf numFmtId="182" fontId="19" fillId="0" borderId="0" xfId="0" applyNumberFormat="1" applyFont="1" applyAlignment="1">
      <alignment horizontal="right"/>
    </xf>
    <xf numFmtId="0" fontId="4" fillId="0" borderId="14" xfId="0" applyFont="1" applyBorder="1" applyAlignment="1">
      <alignment horizontal="left" vertical="center" wrapText="1"/>
    </xf>
    <xf numFmtId="182" fontId="4" fillId="0" borderId="14" xfId="0" applyNumberFormat="1" applyFont="1" applyBorder="1" applyAlignment="1">
      <alignment horizontal="right" vertical="center"/>
    </xf>
    <xf numFmtId="182" fontId="4" fillId="5" borderId="14" xfId="0" applyNumberFormat="1" applyFont="1" applyFill="1" applyBorder="1" applyAlignment="1">
      <alignment horizontal="right" vertical="center"/>
    </xf>
    <xf numFmtId="0" fontId="23" fillId="8" borderId="14" xfId="0" applyFont="1" applyFill="1" applyBorder="1"/>
    <xf numFmtId="182" fontId="23" fillId="8" borderId="14" xfId="0" applyNumberFormat="1" applyFont="1" applyFill="1" applyBorder="1" applyAlignment="1">
      <alignment horizontal="right"/>
    </xf>
    <xf numFmtId="0" fontId="4" fillId="8" borderId="14" xfId="0" applyFont="1" applyFill="1" applyBorder="1" applyAlignment="1">
      <alignment horizontal="left" vertical="center" wrapText="1"/>
    </xf>
    <xf numFmtId="182" fontId="4" fillId="8" borderId="14" xfId="0" applyNumberFormat="1" applyFont="1" applyFill="1" applyBorder="1" applyAlignment="1">
      <alignment horizontal="right" vertical="center"/>
    </xf>
    <xf numFmtId="0" fontId="7" fillId="9" borderId="0" xfId="0" applyFont="1" applyFill="1" applyAlignment="1">
      <alignment horizontal="left" vertical="center" wrapText="1"/>
    </xf>
    <xf numFmtId="182" fontId="5" fillId="9" borderId="0" xfId="0" applyNumberFormat="1" applyFont="1" applyFill="1" applyAlignment="1">
      <alignment horizontal="right" vertical="center"/>
    </xf>
    <xf numFmtId="182" fontId="7" fillId="9" borderId="0" xfId="0" applyNumberFormat="1" applyFont="1" applyFill="1" applyAlignment="1">
      <alignment horizontal="right" vertical="center"/>
    </xf>
    <xf numFmtId="182" fontId="8" fillId="9" borderId="0" xfId="0" applyNumberFormat="1" applyFont="1" applyFill="1" applyAlignment="1">
      <alignment horizontal="right" vertical="center"/>
    </xf>
    <xf numFmtId="172" fontId="8" fillId="9" borderId="0" xfId="0" applyNumberFormat="1" applyFont="1" applyFill="1" applyAlignment="1">
      <alignment horizontal="right" vertical="center"/>
    </xf>
    <xf numFmtId="172" fontId="7" fillId="9" borderId="0" xfId="0" applyNumberFormat="1" applyFont="1" applyFill="1" applyAlignment="1">
      <alignment horizontal="right" vertical="center"/>
    </xf>
    <xf numFmtId="0" fontId="93" fillId="9" borderId="0" xfId="0" applyFont="1" applyFill="1" applyAlignment="1">
      <alignment horizontal="left" vertical="center" wrapText="1"/>
    </xf>
    <xf numFmtId="0" fontId="93" fillId="0" borderId="0" xfId="0" applyFont="1" applyAlignment="1">
      <alignment horizontal="left" vertical="center" wrapText="1"/>
    </xf>
    <xf numFmtId="0" fontId="94" fillId="0" borderId="0" xfId="0" applyFont="1"/>
    <xf numFmtId="0" fontId="31" fillId="0" borderId="0" xfId="0" applyFont="1" applyAlignment="1">
      <alignment horizontal="center" vertical="center"/>
    </xf>
    <xf numFmtId="0" fontId="31" fillId="9" borderId="0" xfId="0" applyFont="1" applyFill="1" applyAlignment="1">
      <alignment horizontal="center" vertical="center"/>
    </xf>
    <xf numFmtId="0" fontId="95" fillId="0" borderId="14" xfId="0" applyFont="1" applyBorder="1" applyAlignment="1">
      <alignment horizontal="center" vertical="center"/>
    </xf>
    <xf numFmtId="0" fontId="95" fillId="8" borderId="14" xfId="0" applyFont="1" applyFill="1" applyBorder="1" applyAlignment="1">
      <alignment horizontal="center" vertical="center"/>
    </xf>
    <xf numFmtId="172" fontId="19" fillId="9" borderId="0" xfId="0" applyNumberFormat="1" applyFont="1" applyFill="1"/>
    <xf numFmtId="172" fontId="19" fillId="0" borderId="0" xfId="0" applyNumberFormat="1" applyFont="1"/>
    <xf numFmtId="0" fontId="94" fillId="0" borderId="0" xfId="0" applyFont="1" applyAlignment="1">
      <alignment horizontal="center"/>
    </xf>
    <xf numFmtId="1" fontId="94" fillId="0" borderId="0" xfId="0" applyNumberFormat="1" applyFont="1" applyAlignment="1">
      <alignment horizontal="center"/>
    </xf>
    <xf numFmtId="0" fontId="22" fillId="0" borderId="0" xfId="0" applyFont="1" applyAlignment="1">
      <alignment horizontal="center"/>
    </xf>
    <xf numFmtId="182" fontId="19" fillId="0" borderId="0" xfId="0" applyNumberFormat="1" applyFont="1"/>
    <xf numFmtId="0" fontId="79" fillId="8" borderId="14" xfId="0" applyFont="1" applyFill="1" applyBorder="1" applyAlignment="1">
      <alignment horizontal="center"/>
    </xf>
    <xf numFmtId="182" fontId="23" fillId="8" borderId="14" xfId="0" applyNumberFormat="1" applyFont="1" applyFill="1" applyBorder="1"/>
    <xf numFmtId="0" fontId="57" fillId="9" borderId="0" xfId="0" applyFont="1" applyFill="1" applyAlignment="1">
      <alignment horizontal="left" vertical="center" wrapText="1"/>
    </xf>
    <xf numFmtId="0" fontId="96" fillId="0" borderId="28" xfId="0" applyFont="1" applyBorder="1"/>
    <xf numFmtId="0" fontId="19" fillId="0" borderId="13" xfId="0" applyFont="1" applyBorder="1"/>
    <xf numFmtId="173" fontId="19" fillId="0" borderId="13" xfId="0" applyNumberFormat="1" applyFont="1" applyBorder="1"/>
    <xf numFmtId="173" fontId="25" fillId="0" borderId="13" xfId="0" applyNumberFormat="1" applyFont="1" applyBorder="1"/>
    <xf numFmtId="173" fontId="97" fillId="0" borderId="13" xfId="0" applyNumberFormat="1" applyFont="1" applyBorder="1"/>
    <xf numFmtId="173" fontId="97" fillId="0" borderId="29" xfId="0" applyNumberFormat="1" applyFont="1" applyBorder="1"/>
    <xf numFmtId="0" fontId="96" fillId="0" borderId="17" xfId="0" applyFont="1" applyBorder="1"/>
    <xf numFmtId="172" fontId="25" fillId="0" borderId="0" xfId="0" applyNumberFormat="1" applyFont="1"/>
    <xf numFmtId="172" fontId="97" fillId="0" borderId="0" xfId="0" applyNumberFormat="1" applyFont="1"/>
    <xf numFmtId="172" fontId="97" fillId="0" borderId="20" xfId="0" applyNumberFormat="1" applyFont="1" applyBorder="1"/>
    <xf numFmtId="0" fontId="23" fillId="8" borderId="3" xfId="0" applyFont="1" applyFill="1" applyBorder="1"/>
    <xf numFmtId="173" fontId="98" fillId="8" borderId="3" xfId="0" applyNumberFormat="1" applyFont="1" applyFill="1" applyBorder="1"/>
    <xf numFmtId="173" fontId="99" fillId="8" borderId="3" xfId="0" applyNumberFormat="1" applyFont="1" applyFill="1" applyBorder="1"/>
    <xf numFmtId="173" fontId="48" fillId="8" borderId="3" xfId="0" applyNumberFormat="1" applyFont="1" applyFill="1" applyBorder="1"/>
    <xf numFmtId="173" fontId="48" fillId="8" borderId="31" xfId="0" applyNumberFormat="1" applyFont="1" applyFill="1" applyBorder="1"/>
    <xf numFmtId="173" fontId="97" fillId="0" borderId="0" xfId="0" applyNumberFormat="1" applyFont="1"/>
    <xf numFmtId="0" fontId="68" fillId="0" borderId="62" xfId="0" applyFont="1" applyBorder="1" applyAlignment="1">
      <alignment wrapText="1"/>
    </xf>
    <xf numFmtId="0" fontId="68" fillId="0" borderId="0" xfId="0" applyFont="1" applyAlignment="1">
      <alignment wrapText="1"/>
    </xf>
    <xf numFmtId="0" fontId="23" fillId="9" borderId="62" xfId="0" applyFont="1" applyFill="1" applyBorder="1"/>
    <xf numFmtId="0" fontId="96" fillId="0" borderId="62" xfId="0" applyFont="1" applyBorder="1"/>
    <xf numFmtId="173" fontId="20" fillId="0" borderId="0" xfId="0" applyNumberFormat="1" applyFont="1"/>
    <xf numFmtId="173" fontId="22" fillId="0" borderId="0" xfId="0" applyNumberFormat="1" applyFont="1"/>
    <xf numFmtId="167" fontId="25" fillId="0" borderId="0" xfId="0" applyNumberFormat="1" applyFont="1"/>
    <xf numFmtId="167" fontId="97" fillId="0" borderId="0" xfId="0" applyNumberFormat="1" applyFont="1"/>
    <xf numFmtId="2" fontId="20" fillId="0" borderId="0" xfId="0" applyNumberFormat="1" applyFont="1"/>
    <xf numFmtId="0" fontId="100" fillId="0" borderId="62" xfId="0" applyFont="1" applyBorder="1"/>
    <xf numFmtId="173" fontId="98" fillId="0" borderId="0" xfId="0" applyNumberFormat="1" applyFont="1"/>
    <xf numFmtId="173" fontId="48" fillId="0" borderId="0" xfId="0" applyNumberFormat="1" applyFont="1"/>
    <xf numFmtId="0" fontId="23" fillId="0" borderId="64" xfId="0" applyFont="1" applyBorder="1"/>
    <xf numFmtId="0" fontId="19" fillId="0" borderId="14" xfId="0" applyFont="1" applyBorder="1"/>
    <xf numFmtId="173" fontId="23" fillId="0" borderId="14" xfId="0" applyNumberFormat="1" applyFont="1" applyBorder="1"/>
    <xf numFmtId="0" fontId="100" fillId="9" borderId="62" xfId="0" applyFont="1" applyFill="1" applyBorder="1"/>
    <xf numFmtId="173" fontId="25" fillId="0" borderId="0" xfId="0" applyNumberFormat="1" applyFont="1"/>
    <xf numFmtId="172" fontId="20" fillId="0" borderId="0" xfId="0" applyNumberFormat="1" applyFont="1"/>
    <xf numFmtId="183" fontId="98" fillId="0" borderId="0" xfId="0" applyNumberFormat="1" applyFont="1"/>
    <xf numFmtId="173" fontId="79" fillId="0" borderId="0" xfId="0" applyNumberFormat="1" applyFont="1"/>
    <xf numFmtId="183" fontId="20" fillId="0" borderId="0" xfId="0" applyNumberFormat="1" applyFont="1"/>
    <xf numFmtId="0" fontId="48" fillId="9" borderId="0" xfId="0" applyFont="1" applyFill="1"/>
    <xf numFmtId="164" fontId="48" fillId="9" borderId="0" xfId="0" applyNumberFormat="1" applyFont="1" applyFill="1"/>
    <xf numFmtId="0" fontId="79" fillId="9" borderId="0" xfId="0" applyFont="1" applyFill="1"/>
    <xf numFmtId="0" fontId="101" fillId="0" borderId="62" xfId="0" applyFont="1" applyBorder="1"/>
    <xf numFmtId="173" fontId="91" fillId="0" borderId="0" xfId="0" applyNumberFormat="1" applyFont="1"/>
    <xf numFmtId="173" fontId="99" fillId="9" borderId="0" xfId="0" applyNumberFormat="1" applyFont="1" applyFill="1"/>
    <xf numFmtId="184" fontId="23" fillId="9" borderId="0" xfId="0" applyNumberFormat="1" applyFont="1" applyFill="1"/>
    <xf numFmtId="0" fontId="79" fillId="0" borderId="0" xfId="0" applyFont="1"/>
    <xf numFmtId="0" fontId="96" fillId="0" borderId="16" xfId="0" applyFont="1" applyBorder="1"/>
    <xf numFmtId="173" fontId="19" fillId="0" borderId="14" xfId="0" applyNumberFormat="1" applyFont="1" applyBorder="1"/>
    <xf numFmtId="0" fontId="19" fillId="0" borderId="19" xfId="0" applyFont="1" applyBorder="1"/>
    <xf numFmtId="0" fontId="19" fillId="0" borderId="20" xfId="0" applyFont="1" applyBorder="1"/>
    <xf numFmtId="184" fontId="23" fillId="0" borderId="0" xfId="0" applyNumberFormat="1" applyFont="1"/>
    <xf numFmtId="0" fontId="23" fillId="8" borderId="18" xfId="0" applyFont="1" applyFill="1" applyBorder="1"/>
    <xf numFmtId="0" fontId="23" fillId="8" borderId="15" xfId="0" applyFont="1" applyFill="1" applyBorder="1"/>
    <xf numFmtId="0" fontId="19" fillId="0" borderId="21" xfId="0" applyFont="1" applyBorder="1"/>
    <xf numFmtId="0" fontId="4" fillId="8" borderId="65" xfId="0" applyFont="1" applyFill="1" applyBorder="1" applyAlignment="1">
      <alignment horizontal="left" vertical="center" wrapText="1"/>
    </xf>
    <xf numFmtId="173" fontId="4" fillId="8" borderId="65" xfId="0" applyNumberFormat="1" applyFont="1" applyFill="1" applyBorder="1" applyAlignment="1">
      <alignment horizontal="right" vertical="center"/>
    </xf>
    <xf numFmtId="173" fontId="93" fillId="6" borderId="0" xfId="0" applyNumberFormat="1" applyFont="1" applyFill="1" applyAlignment="1">
      <alignment horizontal="right" vertical="center"/>
    </xf>
    <xf numFmtId="186" fontId="7" fillId="0" borderId="0" xfId="0" applyNumberFormat="1" applyFont="1" applyAlignment="1">
      <alignment horizontal="right" vertical="center"/>
    </xf>
    <xf numFmtId="186" fontId="7" fillId="6" borderId="0" xfId="0" applyNumberFormat="1" applyFont="1" applyFill="1" applyAlignment="1">
      <alignment horizontal="right" vertical="center"/>
    </xf>
    <xf numFmtId="185" fontId="7" fillId="9" borderId="0" xfId="0" applyNumberFormat="1" applyFont="1" applyFill="1" applyAlignment="1">
      <alignment horizontal="right" vertical="center"/>
    </xf>
    <xf numFmtId="0" fontId="95" fillId="8" borderId="65" xfId="0" applyFont="1" applyFill="1" applyBorder="1" applyAlignment="1">
      <alignment horizontal="center" vertical="center"/>
    </xf>
    <xf numFmtId="0" fontId="93" fillId="0" borderId="0" xfId="0" applyFont="1" applyAlignment="1">
      <alignment horizontal="center" vertical="center"/>
    </xf>
    <xf numFmtId="0" fontId="27" fillId="9" borderId="0" xfId="0" applyFont="1" applyFill="1"/>
    <xf numFmtId="0" fontId="4" fillId="19" borderId="0" xfId="0" applyFont="1" applyFill="1"/>
    <xf numFmtId="173" fontId="62" fillId="19" borderId="0" xfId="0" applyNumberFormat="1" applyFont="1" applyFill="1"/>
    <xf numFmtId="0" fontId="93" fillId="0" borderId="0" xfId="0" applyFont="1"/>
    <xf numFmtId="172" fontId="93" fillId="0" borderId="0" xfId="0" applyNumberFormat="1" applyFont="1"/>
    <xf numFmtId="173" fontId="92" fillId="0" borderId="0" xfId="0" applyNumberFormat="1" applyFont="1"/>
    <xf numFmtId="0" fontId="95" fillId="0" borderId="14" xfId="0" applyFont="1" applyBorder="1"/>
    <xf numFmtId="173" fontId="4" fillId="0" borderId="14" xfId="0" applyNumberFormat="1" applyFont="1" applyBorder="1"/>
    <xf numFmtId="173" fontId="95" fillId="0" borderId="14" xfId="0" applyNumberFormat="1" applyFont="1" applyBorder="1"/>
    <xf numFmtId="0" fontId="4" fillId="19" borderId="13" xfId="0" applyFont="1" applyFill="1" applyBorder="1"/>
    <xf numFmtId="173" fontId="4" fillId="19" borderId="13" xfId="0" applyNumberFormat="1" applyFont="1" applyFill="1" applyBorder="1"/>
    <xf numFmtId="0" fontId="102" fillId="0" borderId="0" xfId="0" applyFont="1"/>
    <xf numFmtId="172" fontId="102" fillId="0" borderId="0" xfId="0" applyNumberFormat="1" applyFont="1"/>
    <xf numFmtId="0" fontId="4" fillId="8" borderId="13" xfId="0" applyFont="1" applyFill="1" applyBorder="1"/>
    <xf numFmtId="173" fontId="4" fillId="8" borderId="13" xfId="0" applyNumberFormat="1" applyFont="1" applyFill="1" applyBorder="1"/>
    <xf numFmtId="174" fontId="4" fillId="0" borderId="0" xfId="0" applyNumberFormat="1" applyFont="1"/>
    <xf numFmtId="0" fontId="4" fillId="8" borderId="66" xfId="0" applyFont="1" applyFill="1" applyBorder="1"/>
    <xf numFmtId="173" fontId="4" fillId="8" borderId="66" xfId="0" applyNumberFormat="1" applyFont="1" applyFill="1" applyBorder="1"/>
    <xf numFmtId="0" fontId="70" fillId="0" borderId="0" xfId="0" applyFont="1"/>
    <xf numFmtId="173" fontId="103" fillId="0" borderId="0" xfId="0" applyNumberFormat="1" applyFont="1"/>
    <xf numFmtId="0" fontId="23" fillId="0" borderId="14" xfId="0" applyFont="1" applyBorder="1"/>
    <xf numFmtId="0" fontId="80" fillId="0" borderId="14" xfId="0" applyFont="1" applyBorder="1"/>
    <xf numFmtId="0" fontId="87" fillId="19" borderId="0" xfId="0" applyFont="1" applyFill="1"/>
    <xf numFmtId="0" fontId="87" fillId="0" borderId="14" xfId="0" applyFont="1" applyBorder="1"/>
    <xf numFmtId="0" fontId="87" fillId="19" borderId="13" xfId="0" applyFont="1" applyFill="1" applyBorder="1"/>
    <xf numFmtId="0" fontId="87" fillId="8" borderId="13" xfId="0" applyFont="1" applyFill="1" applyBorder="1"/>
    <xf numFmtId="0" fontId="87" fillId="8" borderId="66" xfId="0" applyFont="1" applyFill="1" applyBorder="1"/>
    <xf numFmtId="0" fontId="92" fillId="0" borderId="0" xfId="0" quotePrefix="1" applyFont="1"/>
    <xf numFmtId="173" fontId="97" fillId="0" borderId="0" xfId="0" applyNumberFormat="1" applyFont="1" applyAlignment="1">
      <alignment horizontal="right"/>
    </xf>
    <xf numFmtId="173" fontId="97" fillId="9" borderId="0" xfId="0" applyNumberFormat="1" applyFont="1" applyFill="1" applyAlignment="1">
      <alignment horizontal="right"/>
    </xf>
    <xf numFmtId="0" fontId="97" fillId="0" borderId="0" xfId="0" applyFont="1"/>
    <xf numFmtId="173" fontId="7" fillId="9" borderId="0" xfId="0" applyNumberFormat="1" applyFont="1" applyFill="1" applyAlignment="1">
      <alignment horizontal="right" vertical="center" wrapText="1"/>
    </xf>
    <xf numFmtId="173" fontId="7" fillId="0" borderId="0" xfId="0" applyNumberFormat="1" applyFont="1" applyAlignment="1">
      <alignment horizontal="right" vertical="center" wrapText="1"/>
    </xf>
    <xf numFmtId="0" fontId="4" fillId="19" borderId="13" xfId="0" applyFont="1" applyFill="1" applyBorder="1" applyAlignment="1">
      <alignment horizontal="left" vertical="center" wrapText="1"/>
    </xf>
    <xf numFmtId="0" fontId="95" fillId="19" borderId="13" xfId="0" applyFont="1" applyFill="1" applyBorder="1" applyAlignment="1">
      <alignment horizontal="center" vertical="center"/>
    </xf>
    <xf numFmtId="173" fontId="23" fillId="19" borderId="13" xfId="0" applyNumberFormat="1" applyFont="1" applyFill="1" applyBorder="1"/>
    <xf numFmtId="173" fontId="48" fillId="19" borderId="13" xfId="0" applyNumberFormat="1" applyFont="1" applyFill="1" applyBorder="1" applyAlignment="1">
      <alignment horizontal="right"/>
    </xf>
    <xf numFmtId="0" fontId="4" fillId="8" borderId="66" xfId="0" applyFont="1" applyFill="1" applyBorder="1" applyAlignment="1">
      <alignment horizontal="left" vertical="center" wrapText="1"/>
    </xf>
    <xf numFmtId="0" fontId="95" fillId="8" borderId="66" xfId="0" applyFont="1" applyFill="1" applyBorder="1" applyAlignment="1">
      <alignment horizontal="center" vertical="center"/>
    </xf>
    <xf numFmtId="0" fontId="23" fillId="8" borderId="66" xfId="0" applyFont="1" applyFill="1" applyBorder="1"/>
    <xf numFmtId="173" fontId="23" fillId="8" borderId="66" xfId="0" applyNumberFormat="1" applyFont="1" applyFill="1" applyBorder="1"/>
    <xf numFmtId="173" fontId="4" fillId="8" borderId="66" xfId="0" applyNumberFormat="1" applyFont="1" applyFill="1" applyBorder="1" applyAlignment="1">
      <alignment horizontal="right" vertical="center" wrapText="1"/>
    </xf>
    <xf numFmtId="0" fontId="89" fillId="0" borderId="0" xfId="0" applyFont="1" applyAlignment="1">
      <alignment horizontal="left" vertical="center" wrapText="1"/>
    </xf>
    <xf numFmtId="0" fontId="92" fillId="0" borderId="0" xfId="0" applyFont="1" applyAlignment="1">
      <alignment horizontal="center" vertical="center"/>
    </xf>
    <xf numFmtId="164" fontId="67" fillId="0" borderId="0" xfId="0" applyNumberFormat="1" applyFont="1"/>
    <xf numFmtId="164" fontId="89" fillId="0" borderId="0" xfId="0" applyNumberFormat="1" applyFont="1" applyAlignment="1">
      <alignment horizontal="right" vertical="center" wrapText="1"/>
    </xf>
    <xf numFmtId="0" fontId="52" fillId="0" borderId="0" xfId="0" applyFont="1" applyAlignment="1">
      <alignment horizontal="left" vertical="center" wrapText="1"/>
    </xf>
    <xf numFmtId="0" fontId="95" fillId="0" borderId="0" xfId="0" applyFont="1" applyAlignment="1">
      <alignment horizontal="center" vertical="center"/>
    </xf>
    <xf numFmtId="167" fontId="91" fillId="0" borderId="0" xfId="0" applyNumberFormat="1" applyFont="1"/>
    <xf numFmtId="167" fontId="52" fillId="0" borderId="0" xfId="0" applyNumberFormat="1" applyFont="1" applyAlignment="1">
      <alignment horizontal="right" vertical="center" wrapText="1"/>
    </xf>
    <xf numFmtId="0" fontId="92" fillId="0" borderId="0" xfId="0" quotePrefix="1" applyFont="1" applyAlignment="1">
      <alignment horizontal="left" vertical="center"/>
    </xf>
    <xf numFmtId="0" fontId="92" fillId="0" borderId="0" xfId="0" applyFont="1" applyAlignment="1">
      <alignment horizontal="left" vertical="center"/>
    </xf>
    <xf numFmtId="1" fontId="66" fillId="18" borderId="1" xfId="0" applyNumberFormat="1" applyFont="1" applyFill="1" applyBorder="1" applyAlignment="1">
      <alignment horizontal="center"/>
    </xf>
    <xf numFmtId="1" fontId="20" fillId="0" borderId="0" xfId="0" applyNumberFormat="1" applyFont="1" applyAlignment="1">
      <alignment horizontal="right"/>
    </xf>
    <xf numFmtId="1" fontId="20" fillId="9" borderId="0" xfId="0" applyNumberFormat="1" applyFont="1" applyFill="1" applyAlignment="1">
      <alignment horizontal="right"/>
    </xf>
    <xf numFmtId="164" fontId="20" fillId="9" borderId="0" xfId="0" applyNumberFormat="1" applyFont="1" applyFill="1" applyAlignment="1">
      <alignment horizontal="right"/>
    </xf>
    <xf numFmtId="171" fontId="20" fillId="9" borderId="0" xfId="0" applyNumberFormat="1" applyFont="1" applyFill="1" applyAlignment="1">
      <alignment horizontal="right"/>
    </xf>
    <xf numFmtId="173" fontId="20" fillId="9" borderId="0" xfId="0" applyNumberFormat="1" applyFont="1" applyFill="1"/>
    <xf numFmtId="0" fontId="23" fillId="19" borderId="13" xfId="0" applyFont="1" applyFill="1" applyBorder="1"/>
    <xf numFmtId="0" fontId="80" fillId="19" borderId="13" xfId="0" applyFont="1" applyFill="1" applyBorder="1"/>
    <xf numFmtId="0" fontId="80" fillId="8" borderId="66" xfId="0" applyFont="1" applyFill="1" applyBorder="1"/>
    <xf numFmtId="173" fontId="83" fillId="0" borderId="0" xfId="0" applyNumberFormat="1" applyFont="1"/>
    <xf numFmtId="0" fontId="4" fillId="8" borderId="0" xfId="0" applyFont="1" applyFill="1" applyAlignment="1">
      <alignment horizontal="center" vertical="center"/>
    </xf>
    <xf numFmtId="0" fontId="13" fillId="18" borderId="2" xfId="0" applyFont="1" applyFill="1" applyBorder="1" applyAlignment="1">
      <alignment horizontal="center" vertical="center"/>
    </xf>
    <xf numFmtId="0" fontId="13" fillId="18" borderId="2" xfId="0" applyFont="1" applyFill="1" applyBorder="1" applyAlignment="1">
      <alignment horizontal="left" vertical="center"/>
    </xf>
    <xf numFmtId="0" fontId="60" fillId="0" borderId="0" xfId="0" applyFont="1"/>
    <xf numFmtId="0" fontId="60" fillId="6" borderId="0" xfId="0" applyFont="1" applyFill="1"/>
    <xf numFmtId="0" fontId="54" fillId="0" borderId="0" xfId="0" applyFont="1"/>
    <xf numFmtId="0" fontId="54" fillId="8" borderId="0" xfId="0" applyFont="1" applyFill="1"/>
    <xf numFmtId="164" fontId="20" fillId="0" borderId="0" xfId="0" applyNumberFormat="1" applyFont="1"/>
    <xf numFmtId="164" fontId="20" fillId="11" borderId="0" xfId="0" applyNumberFormat="1" applyFont="1" applyFill="1"/>
    <xf numFmtId="167" fontId="20" fillId="0" borderId="0" xfId="0" applyNumberFormat="1" applyFont="1"/>
    <xf numFmtId="171" fontId="23" fillId="22" borderId="0" xfId="0" applyNumberFormat="1" applyFont="1" applyFill="1" applyAlignment="1">
      <alignment horizontal="right"/>
    </xf>
    <xf numFmtId="164" fontId="23" fillId="22" borderId="0" xfId="0" applyNumberFormat="1" applyFont="1" applyFill="1"/>
    <xf numFmtId="0" fontId="27" fillId="22" borderId="0" xfId="0" applyFont="1" applyFill="1"/>
    <xf numFmtId="2" fontId="4" fillId="22" borderId="0" xfId="0" applyNumberFormat="1" applyFont="1" applyFill="1" applyAlignment="1">
      <alignment horizontal="right" vertical="center"/>
    </xf>
    <xf numFmtId="173" fontId="4" fillId="22" borderId="0" xfId="0" applyNumberFormat="1" applyFont="1" applyFill="1" applyAlignment="1">
      <alignment horizontal="right" vertical="center"/>
    </xf>
    <xf numFmtId="164" fontId="4" fillId="22" borderId="0" xfId="0" applyNumberFormat="1" applyFont="1" applyFill="1" applyAlignment="1">
      <alignment horizontal="right" vertical="center"/>
    </xf>
    <xf numFmtId="0" fontId="23" fillId="22" borderId="0" xfId="0" applyFont="1" applyFill="1"/>
    <xf numFmtId="3" fontId="4" fillId="22" borderId="0" xfId="0" applyNumberFormat="1" applyFont="1" applyFill="1" applyAlignment="1">
      <alignment horizontal="right" vertical="center"/>
    </xf>
    <xf numFmtId="168" fontId="4" fillId="22" borderId="0" xfId="0" applyNumberFormat="1" applyFont="1" applyFill="1" applyAlignment="1">
      <alignment horizontal="right" vertical="center"/>
    </xf>
    <xf numFmtId="0" fontId="4" fillId="22" borderId="0" xfId="0" applyFont="1" applyFill="1" applyAlignment="1">
      <alignment horizontal="center" vertical="center"/>
    </xf>
    <xf numFmtId="164" fontId="23" fillId="22" borderId="0" xfId="0" applyNumberFormat="1" applyFont="1" applyFill="1" applyAlignment="1">
      <alignment horizontal="right"/>
    </xf>
    <xf numFmtId="10" fontId="4" fillId="22" borderId="0" xfId="0" applyNumberFormat="1" applyFont="1" applyFill="1" applyAlignment="1">
      <alignment horizontal="right" vertical="center"/>
    </xf>
    <xf numFmtId="169" fontId="4" fillId="22" borderId="0" xfId="0" applyNumberFormat="1" applyFont="1" applyFill="1" applyAlignment="1">
      <alignment horizontal="right" vertical="center"/>
    </xf>
    <xf numFmtId="1" fontId="4" fillId="22" borderId="0" xfId="0" applyNumberFormat="1" applyFont="1" applyFill="1" applyAlignment="1">
      <alignment horizontal="right" vertical="center"/>
    </xf>
    <xf numFmtId="164" fontId="104" fillId="22" borderId="0" xfId="0" applyNumberFormat="1" applyFont="1" applyFill="1" applyAlignment="1">
      <alignment horizontal="right"/>
    </xf>
    <xf numFmtId="173" fontId="23" fillId="22" borderId="0" xfId="0" applyNumberFormat="1" applyFont="1" applyFill="1" applyAlignment="1">
      <alignment horizontal="right"/>
    </xf>
    <xf numFmtId="1" fontId="23" fillId="22" borderId="0" xfId="0" applyNumberFormat="1" applyFont="1" applyFill="1" applyAlignment="1">
      <alignment horizontal="right"/>
    </xf>
    <xf numFmtId="167" fontId="23" fillId="22" borderId="0" xfId="0" applyNumberFormat="1" applyFont="1" applyFill="1" applyAlignment="1">
      <alignment horizontal="right"/>
    </xf>
    <xf numFmtId="172" fontId="23" fillId="22" borderId="0" xfId="0" applyNumberFormat="1" applyFont="1" applyFill="1"/>
    <xf numFmtId="173" fontId="23" fillId="22" borderId="0" xfId="0" applyNumberFormat="1" applyFont="1" applyFill="1"/>
    <xf numFmtId="167" fontId="23" fillId="22" borderId="0" xfId="0" applyNumberFormat="1" applyFont="1" applyFill="1"/>
    <xf numFmtId="0" fontId="92" fillId="6" borderId="0" xfId="0" applyFont="1" applyFill="1" applyAlignment="1">
      <alignment horizontal="left" vertical="center" wrapText="1"/>
    </xf>
    <xf numFmtId="0" fontId="65" fillId="8" borderId="0" xfId="0" applyFont="1" applyFill="1"/>
    <xf numFmtId="173" fontId="5" fillId="5" borderId="0" xfId="0" applyNumberFormat="1" applyFont="1" applyFill="1" applyAlignment="1">
      <alignment horizontal="right" vertical="center"/>
    </xf>
    <xf numFmtId="0" fontId="20" fillId="0" borderId="0" xfId="0" applyFont="1"/>
    <xf numFmtId="10" fontId="5" fillId="5" borderId="0" xfId="0" applyNumberFormat="1" applyFont="1" applyFill="1" applyAlignment="1">
      <alignment horizontal="right" vertical="center"/>
    </xf>
    <xf numFmtId="164" fontId="5" fillId="5" borderId="0" xfId="0" applyNumberFormat="1" applyFont="1" applyFill="1" applyAlignment="1">
      <alignment horizontal="right" vertical="center"/>
    </xf>
    <xf numFmtId="2" fontId="5" fillId="9" borderId="0" xfId="0" applyNumberFormat="1" applyFont="1" applyFill="1" applyAlignment="1">
      <alignment horizontal="right" vertical="center"/>
    </xf>
    <xf numFmtId="0" fontId="60" fillId="9" borderId="0" xfId="0" applyFont="1" applyFill="1"/>
    <xf numFmtId="0" fontId="92" fillId="9" borderId="0" xfId="0" applyFont="1" applyFill="1" applyAlignment="1">
      <alignment horizontal="left" vertical="center" wrapText="1"/>
    </xf>
    <xf numFmtId="173" fontId="5" fillId="9" borderId="0" xfId="0" applyNumberFormat="1" applyFont="1" applyFill="1" applyAlignment="1">
      <alignment horizontal="right" vertical="center"/>
    </xf>
    <xf numFmtId="164" fontId="5" fillId="9" borderId="0" xfId="0" applyNumberFormat="1" applyFont="1" applyFill="1" applyAlignment="1">
      <alignment horizontal="right" vertical="center"/>
    </xf>
    <xf numFmtId="0" fontId="15" fillId="9" borderId="0" xfId="0" applyFont="1" applyFill="1"/>
    <xf numFmtId="0" fontId="13" fillId="18" borderId="1" xfId="0" applyFont="1" applyFill="1" applyBorder="1" applyAlignment="1">
      <alignment horizontal="left" vertical="center" wrapText="1"/>
    </xf>
    <xf numFmtId="0" fontId="5" fillId="9" borderId="0" xfId="0" applyFont="1" applyFill="1"/>
    <xf numFmtId="0" fontId="13" fillId="18" borderId="67" xfId="0" applyFont="1" applyFill="1" applyBorder="1" applyAlignment="1">
      <alignment horizontal="center" vertical="center" wrapText="1"/>
    </xf>
    <xf numFmtId="179" fontId="5" fillId="0" borderId="0" xfId="0" applyNumberFormat="1" applyFont="1"/>
    <xf numFmtId="178" fontId="5" fillId="0" borderId="0" xfId="0" applyNumberFormat="1" applyFont="1"/>
    <xf numFmtId="164" fontId="5" fillId="0" borderId="0" xfId="0" applyNumberFormat="1" applyFont="1"/>
    <xf numFmtId="171" fontId="5" fillId="9" borderId="0" xfId="0" applyNumberFormat="1" applyFont="1" applyFill="1"/>
    <xf numFmtId="179" fontId="5" fillId="9" borderId="0" xfId="0" applyNumberFormat="1" applyFont="1" applyFill="1"/>
    <xf numFmtId="178" fontId="5" fillId="9" borderId="0" xfId="0" applyNumberFormat="1" applyFont="1" applyFill="1"/>
    <xf numFmtId="164" fontId="5" fillId="9" borderId="0" xfId="0" applyNumberFormat="1" applyFont="1" applyFill="1"/>
    <xf numFmtId="0" fontId="13" fillId="18" borderId="68" xfId="0" applyFont="1" applyFill="1" applyBorder="1" applyAlignment="1">
      <alignment horizontal="left" vertical="center" wrapText="1"/>
    </xf>
    <xf numFmtId="0" fontId="5" fillId="0" borderId="17" xfId="0" applyFont="1" applyBorder="1"/>
    <xf numFmtId="0" fontId="5" fillId="9" borderId="17" xfId="0" applyFont="1" applyFill="1" applyBorder="1"/>
    <xf numFmtId="0" fontId="13" fillId="18" borderId="69" xfId="0" applyFont="1" applyFill="1" applyBorder="1" applyAlignment="1">
      <alignment horizontal="left" vertical="center" wrapText="1"/>
    </xf>
    <xf numFmtId="0" fontId="5" fillId="9" borderId="20" xfId="0" applyFont="1" applyFill="1" applyBorder="1"/>
    <xf numFmtId="0" fontId="5" fillId="0" borderId="30" xfId="0" applyFont="1" applyBorder="1"/>
    <xf numFmtId="0" fontId="5" fillId="0" borderId="3" xfId="0" applyFont="1" applyBorder="1"/>
    <xf numFmtId="171" fontId="5" fillId="0" borderId="3" xfId="0" applyNumberFormat="1" applyFont="1" applyBorder="1"/>
    <xf numFmtId="179" fontId="5" fillId="0" borderId="3" xfId="0" applyNumberFormat="1" applyFont="1" applyBorder="1"/>
    <xf numFmtId="178" fontId="5" fillId="0" borderId="3" xfId="0" applyNumberFormat="1" applyFont="1" applyBorder="1"/>
    <xf numFmtId="164" fontId="5" fillId="0" borderId="3" xfId="0" applyNumberFormat="1" applyFont="1" applyBorder="1"/>
    <xf numFmtId="0" fontId="5" fillId="0" borderId="31" xfId="0" applyFont="1" applyBorder="1"/>
    <xf numFmtId="0" fontId="27" fillId="8" borderId="66" xfId="0" applyFont="1" applyFill="1" applyBorder="1"/>
    <xf numFmtId="171" fontId="4" fillId="8" borderId="66" xfId="0" applyNumberFormat="1" applyFont="1" applyFill="1" applyBorder="1"/>
    <xf numFmtId="0" fontId="4" fillId="19" borderId="1" xfId="0" applyFont="1" applyFill="1" applyBorder="1" applyAlignment="1">
      <alignment horizontal="center" vertical="center" wrapText="1"/>
    </xf>
    <xf numFmtId="0" fontId="107" fillId="0" borderId="0" xfId="0" applyFont="1"/>
    <xf numFmtId="0" fontId="108" fillId="0" borderId="0" xfId="0" applyFont="1"/>
    <xf numFmtId="3" fontId="107" fillId="0" borderId="0" xfId="0" applyNumberFormat="1" applyFont="1"/>
    <xf numFmtId="0" fontId="13" fillId="18" borderId="14" xfId="0" applyFont="1" applyFill="1" applyBorder="1" applyAlignment="1">
      <alignment horizontal="center" vertical="center"/>
    </xf>
    <xf numFmtId="177" fontId="7" fillId="5" borderId="0" xfId="0" applyNumberFormat="1" applyFont="1" applyFill="1" applyAlignment="1">
      <alignment horizontal="center" vertical="center"/>
    </xf>
    <xf numFmtId="0" fontId="15" fillId="0" borderId="0" xfId="0" applyFont="1" applyAlignment="1">
      <alignment horizontal="center" vertical="center"/>
    </xf>
    <xf numFmtId="176" fontId="7" fillId="9" borderId="0" xfId="0" applyNumberFormat="1" applyFont="1" applyFill="1" applyAlignment="1">
      <alignment horizontal="center" vertical="center"/>
    </xf>
    <xf numFmtId="0" fontId="15" fillId="9" borderId="0" xfId="0" applyFont="1" applyFill="1" applyAlignment="1">
      <alignment horizontal="center" vertical="center"/>
    </xf>
    <xf numFmtId="172" fontId="7" fillId="5" borderId="0" xfId="0" applyNumberFormat="1" applyFont="1" applyFill="1" applyAlignment="1">
      <alignment horizontal="center" vertical="center"/>
    </xf>
    <xf numFmtId="0" fontId="31" fillId="0" borderId="0" xfId="0" quotePrefix="1" applyFont="1" applyAlignment="1">
      <alignment horizontal="center" vertical="center"/>
    </xf>
    <xf numFmtId="172" fontId="19" fillId="9" borderId="0" xfId="0" applyNumberFormat="1" applyFont="1" applyFill="1" applyAlignment="1">
      <alignment horizontal="center"/>
    </xf>
    <xf numFmtId="172" fontId="19" fillId="0" borderId="0" xfId="0" applyNumberFormat="1" applyFont="1" applyAlignment="1">
      <alignment horizontal="center"/>
    </xf>
    <xf numFmtId="164" fontId="19" fillId="9" borderId="0" xfId="0" applyNumberFormat="1" applyFont="1" applyFill="1" applyAlignment="1">
      <alignment horizontal="center"/>
    </xf>
    <xf numFmtId="0" fontId="31" fillId="9" borderId="0" xfId="0" quotePrefix="1" applyFont="1" applyFill="1" applyAlignment="1">
      <alignment horizontal="center" vertical="center"/>
    </xf>
    <xf numFmtId="169" fontId="7" fillId="9" borderId="0" xfId="0" applyNumberFormat="1" applyFont="1" applyFill="1" applyAlignment="1">
      <alignment horizontal="center" vertical="center"/>
    </xf>
    <xf numFmtId="167" fontId="7" fillId="5" borderId="0" xfId="0" applyNumberFormat="1" applyFont="1" applyFill="1" applyAlignment="1">
      <alignment horizontal="center" vertical="center"/>
    </xf>
    <xf numFmtId="0" fontId="13" fillId="18" borderId="16" xfId="0" applyFont="1" applyFill="1" applyBorder="1" applyAlignment="1">
      <alignment horizontal="left" vertical="center"/>
    </xf>
    <xf numFmtId="0" fontId="7" fillId="0" borderId="17" xfId="0" applyFont="1" applyBorder="1" applyAlignment="1">
      <alignment horizontal="left" vertical="center" wrapText="1"/>
    </xf>
    <xf numFmtId="0" fontId="7" fillId="9" borderId="17" xfId="0" applyFont="1" applyFill="1" applyBorder="1" applyAlignment="1">
      <alignment horizontal="left" vertical="center" wrapText="1"/>
    </xf>
    <xf numFmtId="0" fontId="13" fillId="18" borderId="19" xfId="0" applyFont="1" applyFill="1" applyBorder="1" applyAlignment="1">
      <alignment horizontal="left" vertical="center"/>
    </xf>
    <xf numFmtId="0" fontId="92" fillId="0" borderId="20" xfId="0" applyFont="1" applyBorder="1" applyAlignment="1">
      <alignment horizontal="left" vertical="center" wrapText="1"/>
    </xf>
    <xf numFmtId="0" fontId="92" fillId="9" borderId="20" xfId="0" applyFont="1" applyFill="1" applyBorder="1" applyAlignment="1">
      <alignment horizontal="left" vertical="center" wrapText="1"/>
    </xf>
    <xf numFmtId="0" fontId="23" fillId="9" borderId="3" xfId="0" applyFont="1" applyFill="1" applyBorder="1" applyAlignment="1">
      <alignment horizontal="center"/>
    </xf>
    <xf numFmtId="0" fontId="65" fillId="9" borderId="31" xfId="0" applyFont="1" applyFill="1" applyBorder="1"/>
    <xf numFmtId="1" fontId="19" fillId="0" borderId="0" xfId="0" applyNumberFormat="1" applyFont="1"/>
    <xf numFmtId="1" fontId="109" fillId="0" borderId="0" xfId="0" applyNumberFormat="1" applyFont="1"/>
    <xf numFmtId="1" fontId="21" fillId="0" borderId="0" xfId="0" applyNumberFormat="1" applyFont="1"/>
    <xf numFmtId="0" fontId="31" fillId="0" borderId="0" xfId="0" applyFont="1" applyAlignment="1">
      <alignment horizontal="center"/>
    </xf>
    <xf numFmtId="0" fontId="31" fillId="9" borderId="0" xfId="0" applyFont="1" applyFill="1" applyAlignment="1">
      <alignment horizontal="center"/>
    </xf>
    <xf numFmtId="0" fontId="19" fillId="0" borderId="0" xfId="0" applyFont="1" applyAlignment="1">
      <alignment wrapText="1"/>
    </xf>
    <xf numFmtId="0" fontId="20" fillId="0" borderId="0" xfId="0" applyFont="1" applyAlignment="1">
      <alignment wrapText="1"/>
    </xf>
    <xf numFmtId="15" fontId="19" fillId="0" borderId="0" xfId="0" applyNumberFormat="1" applyFont="1"/>
    <xf numFmtId="17" fontId="19" fillId="0" borderId="0" xfId="0" applyNumberFormat="1" applyFont="1"/>
    <xf numFmtId="0" fontId="66" fillId="18" borderId="3" xfId="0" applyFont="1" applyFill="1" applyBorder="1" applyAlignment="1">
      <alignment horizontal="left"/>
    </xf>
    <xf numFmtId="0" fontId="19" fillId="9" borderId="0" xfId="0" applyFont="1" applyFill="1" applyAlignment="1">
      <alignment wrapText="1"/>
    </xf>
    <xf numFmtId="0" fontId="21" fillId="0" borderId="0" xfId="0" applyFont="1" applyAlignment="1">
      <alignment horizontal="center"/>
    </xf>
    <xf numFmtId="0" fontId="21" fillId="9" borderId="0" xfId="0" applyFont="1" applyFill="1" applyAlignment="1">
      <alignment horizontal="center"/>
    </xf>
    <xf numFmtId="0" fontId="110" fillId="0" borderId="0" xfId="0" applyFont="1" applyAlignment="1">
      <alignment horizontal="center"/>
    </xf>
    <xf numFmtId="0" fontId="110" fillId="9" borderId="0" xfId="0" applyFont="1" applyFill="1" applyAlignment="1">
      <alignment horizontal="center"/>
    </xf>
    <xf numFmtId="0" fontId="109" fillId="0" borderId="0" xfId="0" applyFont="1" applyAlignment="1">
      <alignment horizontal="center"/>
    </xf>
    <xf numFmtId="0" fontId="109" fillId="9" borderId="0" xfId="0" applyFont="1" applyFill="1" applyAlignment="1">
      <alignment horizontal="center"/>
    </xf>
    <xf numFmtId="0" fontId="111" fillId="0" borderId="0" xfId="0" applyFont="1" applyAlignment="1">
      <alignment horizontal="center"/>
    </xf>
    <xf numFmtId="0" fontId="54" fillId="0" borderId="0" xfId="0" applyFont="1" applyAlignment="1">
      <alignment horizontal="center"/>
    </xf>
    <xf numFmtId="0" fontId="54" fillId="9" borderId="0" xfId="0" applyFont="1" applyFill="1" applyAlignment="1">
      <alignment horizontal="center"/>
    </xf>
    <xf numFmtId="0" fontId="111" fillId="9" borderId="0" xfId="0" applyFont="1" applyFill="1" applyAlignment="1">
      <alignment horizontal="center"/>
    </xf>
    <xf numFmtId="0" fontId="112" fillId="9" borderId="0" xfId="0" applyFont="1" applyFill="1" applyAlignment="1">
      <alignment horizontal="center"/>
    </xf>
    <xf numFmtId="169" fontId="5" fillId="0" borderId="0" xfId="0" applyNumberFormat="1" applyFont="1"/>
    <xf numFmtId="0" fontId="5" fillId="0" borderId="0" xfId="0" applyFont="1" applyAlignment="1">
      <alignment horizontal="center"/>
    </xf>
    <xf numFmtId="169" fontId="5" fillId="9" borderId="0" xfId="0" applyNumberFormat="1" applyFont="1" applyFill="1"/>
    <xf numFmtId="0" fontId="5" fillId="9" borderId="0" xfId="0" applyFont="1" applyFill="1" applyAlignment="1">
      <alignment horizontal="center"/>
    </xf>
    <xf numFmtId="169" fontId="5" fillId="0" borderId="3" xfId="0" applyNumberFormat="1" applyFont="1" applyBorder="1"/>
    <xf numFmtId="0" fontId="5" fillId="0" borderId="3" xfId="0" applyFont="1" applyBorder="1" applyAlignment="1">
      <alignment horizontal="center"/>
    </xf>
    <xf numFmtId="0" fontId="92" fillId="0" borderId="31" xfId="0" applyFont="1" applyBorder="1" applyAlignment="1">
      <alignment horizontal="left" vertical="center" wrapText="1"/>
    </xf>
    <xf numFmtId="0" fontId="7" fillId="0" borderId="62" xfId="0" applyFont="1" applyBorder="1"/>
    <xf numFmtId="0" fontId="9" fillId="0" borderId="62" xfId="0" applyFont="1" applyBorder="1"/>
    <xf numFmtId="0" fontId="66" fillId="18" borderId="0" xfId="0" applyFont="1" applyFill="1"/>
    <xf numFmtId="0" fontId="89" fillId="0" borderId="0" xfId="0" applyFont="1"/>
    <xf numFmtId="0" fontId="113" fillId="0" borderId="0" xfId="0" applyFont="1"/>
    <xf numFmtId="164" fontId="4" fillId="22" borderId="0" xfId="0" applyNumberFormat="1" applyFont="1" applyFill="1"/>
    <xf numFmtId="0" fontId="23" fillId="19" borderId="45" xfId="0" applyFont="1" applyFill="1" applyBorder="1" applyAlignment="1">
      <alignment horizontal="center" wrapText="1"/>
    </xf>
    <xf numFmtId="0" fontId="117" fillId="0" borderId="0" xfId="0" applyFont="1"/>
    <xf numFmtId="0" fontId="118" fillId="0" borderId="0" xfId="0" applyFont="1"/>
    <xf numFmtId="0" fontId="119" fillId="10" borderId="0" xfId="0" applyFont="1" applyFill="1"/>
    <xf numFmtId="0" fontId="121" fillId="0" borderId="0" xfId="0" applyFont="1"/>
    <xf numFmtId="0" fontId="16" fillId="10" borderId="0" xfId="0" applyFont="1" applyFill="1"/>
    <xf numFmtId="0" fontId="27" fillId="12" borderId="70" xfId="0" applyFont="1" applyFill="1" applyBorder="1"/>
    <xf numFmtId="0" fontId="27" fillId="12" borderId="71" xfId="0" applyFont="1" applyFill="1" applyBorder="1"/>
    <xf numFmtId="0" fontId="27" fillId="12" borderId="71" xfId="0" applyFont="1" applyFill="1" applyBorder="1" applyAlignment="1">
      <alignment horizontal="center"/>
    </xf>
    <xf numFmtId="0" fontId="27" fillId="8" borderId="71" xfId="0" applyFont="1" applyFill="1" applyBorder="1" applyAlignment="1">
      <alignment horizontal="center"/>
    </xf>
    <xf numFmtId="0" fontId="27" fillId="12" borderId="72" xfId="0" applyFont="1" applyFill="1" applyBorder="1" applyAlignment="1">
      <alignment horizontal="center"/>
    </xf>
    <xf numFmtId="0" fontId="0" fillId="0" borderId="73" xfId="0" applyBorder="1"/>
    <xf numFmtId="0" fontId="0" fillId="0" borderId="74" xfId="0" applyBorder="1"/>
    <xf numFmtId="175" fontId="120" fillId="0" borderId="74" xfId="0" applyNumberFormat="1" applyFont="1" applyBorder="1"/>
    <xf numFmtId="171" fontId="120" fillId="0" borderId="74" xfId="0" applyNumberFormat="1" applyFont="1" applyBorder="1"/>
    <xf numFmtId="175" fontId="0" fillId="0" borderId="74" xfId="0" applyNumberFormat="1" applyBorder="1"/>
    <xf numFmtId="164" fontId="120" fillId="0" borderId="74" xfId="0" applyNumberFormat="1" applyFont="1" applyBorder="1"/>
    <xf numFmtId="164" fontId="0" fillId="0" borderId="74" xfId="0" applyNumberFormat="1" applyBorder="1"/>
    <xf numFmtId="175" fontId="27" fillId="8" borderId="74" xfId="0" applyNumberFormat="1" applyFont="1" applyFill="1" applyBorder="1"/>
    <xf numFmtId="175" fontId="0" fillId="0" borderId="75" xfId="0" applyNumberFormat="1" applyBorder="1"/>
    <xf numFmtId="0" fontId="120" fillId="0" borderId="74" xfId="0" applyFont="1" applyBorder="1" applyAlignment="1">
      <alignment horizontal="center"/>
    </xf>
    <xf numFmtId="0" fontId="0" fillId="0" borderId="76" xfId="0" applyBorder="1"/>
    <xf numFmtId="0" fontId="0" fillId="0" borderId="77" xfId="0" applyBorder="1"/>
    <xf numFmtId="175" fontId="120" fillId="0" borderId="77" xfId="0" applyNumberFormat="1" applyFont="1" applyBorder="1"/>
    <xf numFmtId="171" fontId="120" fillId="0" borderId="77" xfId="0" applyNumberFormat="1" applyFont="1" applyBorder="1"/>
    <xf numFmtId="175" fontId="0" fillId="0" borderId="77" xfId="0" applyNumberFormat="1" applyBorder="1"/>
    <xf numFmtId="0" fontId="120" fillId="0" borderId="77" xfId="0" applyFont="1" applyBorder="1" applyAlignment="1">
      <alignment horizontal="center"/>
    </xf>
    <xf numFmtId="164" fontId="120" fillId="0" borderId="77" xfId="0" applyNumberFormat="1" applyFont="1" applyBorder="1"/>
    <xf numFmtId="164" fontId="0" fillId="0" borderId="77" xfId="0" applyNumberFormat="1" applyBorder="1"/>
    <xf numFmtId="175" fontId="27" fillId="8" borderId="77" xfId="0" applyNumberFormat="1" applyFont="1" applyFill="1" applyBorder="1"/>
    <xf numFmtId="175" fontId="0" fillId="0" borderId="78" xfId="0" applyNumberFormat="1" applyBorder="1"/>
    <xf numFmtId="0" fontId="27" fillId="12" borderId="71" xfId="0" applyFont="1" applyFill="1" applyBorder="1" applyAlignment="1">
      <alignment horizontal="center" wrapText="1"/>
    </xf>
    <xf numFmtId="0" fontId="27" fillId="8" borderId="71" xfId="0" applyFont="1" applyFill="1" applyBorder="1" applyAlignment="1">
      <alignment horizontal="center" wrapText="1"/>
    </xf>
    <xf numFmtId="0" fontId="27" fillId="12" borderId="71" xfId="0" applyFont="1" applyFill="1" applyBorder="1" applyAlignment="1">
      <alignment wrapText="1"/>
    </xf>
    <xf numFmtId="0" fontId="27" fillId="12" borderId="72" xfId="0" applyFont="1" applyFill="1" applyBorder="1" applyAlignment="1">
      <alignment horizontal="center" wrapText="1"/>
    </xf>
    <xf numFmtId="187" fontId="0" fillId="0" borderId="74" xfId="0" applyNumberFormat="1" applyBorder="1"/>
    <xf numFmtId="0" fontId="118" fillId="0" borderId="75" xfId="0" applyFont="1" applyBorder="1" applyAlignment="1">
      <alignment horizontal="center"/>
    </xf>
    <xf numFmtId="187" fontId="0" fillId="0" borderId="77" xfId="0" applyNumberFormat="1" applyBorder="1"/>
    <xf numFmtId="0" fontId="118" fillId="0" borderId="78" xfId="0" applyFont="1" applyBorder="1" applyAlignment="1">
      <alignment horizontal="center"/>
    </xf>
    <xf numFmtId="0" fontId="27" fillId="0" borderId="73" xfId="0" applyFont="1" applyBorder="1"/>
    <xf numFmtId="9" fontId="24" fillId="0" borderId="74" xfId="0" applyNumberFormat="1" applyFont="1" applyBorder="1"/>
    <xf numFmtId="175" fontId="24" fillId="0" borderId="74" xfId="0" applyNumberFormat="1" applyFont="1" applyBorder="1"/>
    <xf numFmtId="188" fontId="0" fillId="0" borderId="74" xfId="0" applyNumberFormat="1" applyBorder="1"/>
    <xf numFmtId="0" fontId="27" fillId="0" borderId="76" xfId="0" applyFont="1" applyBorder="1"/>
    <xf numFmtId="9" fontId="24" fillId="0" borderId="77" xfId="0" applyNumberFormat="1" applyFont="1" applyBorder="1"/>
    <xf numFmtId="175" fontId="24" fillId="0" borderId="77" xfId="0" applyNumberFormat="1" applyFont="1" applyBorder="1"/>
    <xf numFmtId="188" fontId="0" fillId="0" borderId="77" xfId="0" applyNumberFormat="1" applyBorder="1"/>
    <xf numFmtId="0" fontId="0" fillId="0" borderId="71" xfId="0" applyBorder="1"/>
    <xf numFmtId="10" fontId="120" fillId="0" borderId="75" xfId="0" applyNumberFormat="1" applyFont="1" applyBorder="1"/>
    <xf numFmtId="0" fontId="0" fillId="0" borderId="75" xfId="0" applyBorder="1"/>
    <xf numFmtId="10" fontId="27" fillId="0" borderId="78" xfId="0" applyNumberFormat="1" applyFont="1" applyBorder="1"/>
    <xf numFmtId="0" fontId="27" fillId="8" borderId="72" xfId="0" applyFont="1" applyFill="1" applyBorder="1" applyAlignment="1">
      <alignment horizontal="center"/>
    </xf>
    <xf numFmtId="9" fontId="120" fillId="0" borderId="74" xfId="0" applyNumberFormat="1" applyFont="1" applyBorder="1"/>
    <xf numFmtId="10" fontId="0" fillId="0" borderId="74" xfId="0" applyNumberFormat="1" applyBorder="1"/>
    <xf numFmtId="10" fontId="0" fillId="0" borderId="75" xfId="0" applyNumberFormat="1" applyBorder="1"/>
    <xf numFmtId="9" fontId="41" fillId="0" borderId="74" xfId="0" applyNumberFormat="1" applyFont="1" applyBorder="1"/>
    <xf numFmtId="10" fontId="27" fillId="8" borderId="75" xfId="0" applyNumberFormat="1" applyFont="1" applyFill="1" applyBorder="1"/>
    <xf numFmtId="9" fontId="120" fillId="0" borderId="77" xfId="0" applyNumberFormat="1" applyFont="1" applyBorder="1"/>
    <xf numFmtId="10" fontId="0" fillId="0" borderId="77" xfId="0" applyNumberFormat="1" applyBorder="1"/>
    <xf numFmtId="10" fontId="0" fillId="0" borderId="78" xfId="0" applyNumberFormat="1" applyBorder="1"/>
    <xf numFmtId="0" fontId="0" fillId="0" borderId="72" xfId="0" applyBorder="1"/>
    <xf numFmtId="10" fontId="24" fillId="0" borderId="75" xfId="0" applyNumberFormat="1" applyFont="1" applyBorder="1"/>
    <xf numFmtId="9" fontId="0" fillId="0" borderId="74" xfId="0" applyNumberFormat="1" applyBorder="1"/>
    <xf numFmtId="9" fontId="0" fillId="0" borderId="77" xfId="0" applyNumberFormat="1" applyBorder="1"/>
    <xf numFmtId="164" fontId="41" fillId="8" borderId="74" xfId="0" applyNumberFormat="1" applyFont="1" applyFill="1" applyBorder="1"/>
    <xf numFmtId="164" fontId="120" fillId="0" borderId="75" xfId="0" applyNumberFormat="1" applyFont="1" applyBorder="1"/>
    <xf numFmtId="164" fontId="24" fillId="0" borderId="77" xfId="0" applyNumberFormat="1" applyFont="1" applyBorder="1"/>
    <xf numFmtId="164" fontId="24" fillId="0" borderId="78" xfId="0" applyNumberFormat="1" applyFont="1" applyBorder="1"/>
    <xf numFmtId="0" fontId="27" fillId="12" borderId="74" xfId="0" applyFont="1" applyFill="1" applyBorder="1" applyAlignment="1">
      <alignment horizontal="center"/>
    </xf>
    <xf numFmtId="0" fontId="27" fillId="8" borderId="74" xfId="0" applyFont="1" applyFill="1" applyBorder="1" applyAlignment="1">
      <alignment horizontal="center"/>
    </xf>
    <xf numFmtId="10" fontId="24" fillId="0" borderId="74" xfId="0" applyNumberFormat="1" applyFont="1" applyBorder="1"/>
    <xf numFmtId="189" fontId="0" fillId="0" borderId="75" xfId="0" applyNumberFormat="1" applyBorder="1"/>
    <xf numFmtId="188" fontId="0" fillId="0" borderId="75" xfId="0" applyNumberFormat="1" applyBorder="1"/>
    <xf numFmtId="10" fontId="27" fillId="12" borderId="77" xfId="0" applyNumberFormat="1" applyFont="1" applyFill="1" applyBorder="1"/>
    <xf numFmtId="10" fontId="27" fillId="8" borderId="77" xfId="0" applyNumberFormat="1" applyFont="1" applyFill="1" applyBorder="1"/>
    <xf numFmtId="189" fontId="27" fillId="0" borderId="78" xfId="0" applyNumberFormat="1" applyFont="1" applyBorder="1"/>
    <xf numFmtId="0" fontId="27" fillId="12" borderId="70" xfId="0" applyFont="1" applyFill="1" applyBorder="1" applyAlignment="1">
      <alignment horizontal="center"/>
    </xf>
    <xf numFmtId="0" fontId="0" fillId="0" borderId="73" xfId="0" applyBorder="1" applyAlignment="1">
      <alignment horizontal="center"/>
    </xf>
    <xf numFmtId="0" fontId="0" fillId="0" borderId="76" xfId="0" applyBorder="1" applyAlignment="1">
      <alignment horizontal="center"/>
    </xf>
    <xf numFmtId="0" fontId="0" fillId="0" borderId="77" xfId="0" applyBorder="1"/>
    <xf numFmtId="0" fontId="0" fillId="0" borderId="78" xfId="0" applyBorder="1"/>
    <xf numFmtId="0" fontId="0" fillId="0" borderId="74" xfId="0" applyBorder="1"/>
    <xf numFmtId="0" fontId="0" fillId="0" borderId="75" xfId="0" applyBorder="1"/>
    <xf numFmtId="0" fontId="79" fillId="8" borderId="62" xfId="0" applyFont="1" applyFill="1" applyBorder="1" applyAlignment="1">
      <alignment vertical="top" wrapText="1"/>
    </xf>
    <xf numFmtId="0" fontId="22" fillId="0" borderId="0" xfId="0" applyFont="1" applyAlignment="1">
      <alignment vertical="top" wrapText="1"/>
    </xf>
    <xf numFmtId="0" fontId="73" fillId="18" borderId="0" xfId="0" applyFont="1" applyFill="1" applyAlignment="1">
      <alignment horizontal="left"/>
    </xf>
    <xf numFmtId="0" fontId="1" fillId="0" borderId="0" xfId="0" applyFont="1"/>
    <xf numFmtId="0" fontId="74" fillId="18" borderId="0" xfId="0" applyFont="1" applyFill="1"/>
    <xf numFmtId="0" fontId="2" fillId="0" borderId="0" xfId="0" applyFont="1"/>
    <xf numFmtId="0" fontId="75" fillId="18" borderId="0" xfId="0" applyFont="1" applyFill="1"/>
    <xf numFmtId="0" fontId="3" fillId="0" borderId="0" xfId="0" applyFont="1"/>
    <xf numFmtId="0" fontId="14" fillId="18" borderId="0" xfId="0" applyFont="1" applyFill="1"/>
    <xf numFmtId="0" fontId="6" fillId="0" borderId="0" xfId="0" applyFont="1"/>
    <xf numFmtId="0" fontId="77" fillId="18" borderId="0" xfId="0" applyFont="1" applyFill="1"/>
    <xf numFmtId="0" fontId="40" fillId="10" borderId="0" xfId="0" applyFont="1" applyFill="1"/>
    <xf numFmtId="0" fontId="16" fillId="18" borderId="14" xfId="0" applyFont="1" applyFill="1" applyBorder="1"/>
    <xf numFmtId="0" fontId="44" fillId="10" borderId="14" xfId="0" applyFont="1" applyFill="1" applyBorder="1"/>
    <xf numFmtId="0" fontId="16" fillId="18" borderId="0" xfId="0" applyFont="1" applyFill="1"/>
    <xf numFmtId="0" fontId="44" fillId="10" borderId="0" xfId="0" applyFont="1" applyFill="1"/>
    <xf numFmtId="0" fontId="22" fillId="0" borderId="62" xfId="0" applyFont="1" applyBorder="1" applyAlignment="1">
      <alignment vertical="top" wrapText="1"/>
    </xf>
    <xf numFmtId="0" fontId="66" fillId="18" borderId="0" xfId="0" applyFont="1" applyFill="1"/>
    <xf numFmtId="0" fontId="85" fillId="12" borderId="0" xfId="0" applyFont="1" applyFill="1" applyAlignment="1">
      <alignment horizontal="left" vertical="center" indent="1"/>
    </xf>
    <xf numFmtId="0" fontId="52" fillId="12" borderId="0" xfId="0" applyFont="1" applyFill="1" applyAlignment="1">
      <alignment horizontal="left" vertical="center" indent="1"/>
    </xf>
    <xf numFmtId="0" fontId="114" fillId="18" borderId="0" xfId="0" applyFont="1" applyFill="1" applyAlignment="1">
      <alignment horizontal="left" vertical="center" indent="1"/>
    </xf>
    <xf numFmtId="0" fontId="116" fillId="18" borderId="0" xfId="0" applyFont="1" applyFill="1" applyAlignment="1">
      <alignment horizontal="left" vertical="center" indent="1"/>
    </xf>
    <xf numFmtId="0" fontId="16" fillId="18" borderId="0" xfId="0" applyFont="1" applyFill="1" applyAlignment="1">
      <alignment horizontal="left"/>
    </xf>
    <xf numFmtId="0" fontId="66" fillId="18" borderId="0" xfId="0" applyFont="1" applyFill="1" applyAlignment="1">
      <alignment horizontal="left"/>
    </xf>
    <xf numFmtId="0" fontId="31" fillId="0" borderId="0" xfId="0" applyFont="1" applyAlignment="1">
      <alignment horizontal="left" vertical="center" wrapText="1"/>
    </xf>
    <xf numFmtId="0" fontId="20" fillId="0" borderId="0" xfId="0" applyFont="1"/>
    <xf numFmtId="0" fontId="23" fillId="22" borderId="0" xfId="0" applyFont="1" applyFill="1"/>
    <xf numFmtId="0" fontId="19" fillId="0" borderId="0" xfId="0" applyFont="1"/>
    <xf numFmtId="0" fontId="65" fillId="0" borderId="0" xfId="0" applyFont="1"/>
    <xf numFmtId="0" fontId="84" fillId="18" borderId="0" xfId="0" applyFont="1" applyFill="1" applyAlignment="1">
      <alignment horizontal="left" vertical="center"/>
    </xf>
    <xf numFmtId="0" fontId="0" fillId="0" borderId="0" xfId="0"/>
    <xf numFmtId="0" fontId="115" fillId="9" borderId="0" xfId="0" applyFont="1" applyFill="1" applyAlignment="1">
      <alignment horizontal="left" vertical="center" indent="1"/>
    </xf>
    <xf numFmtId="0" fontId="4" fillId="9" borderId="0" xfId="0" applyFont="1" applyFill="1" applyAlignment="1">
      <alignment horizontal="left" vertical="center" indent="1"/>
    </xf>
    <xf numFmtId="0" fontId="48" fillId="9" borderId="0" xfId="0" applyFont="1" applyFill="1"/>
    <xf numFmtId="0" fontId="98" fillId="9" borderId="0" xfId="0" applyFont="1" applyFill="1"/>
    <xf numFmtId="0" fontId="48" fillId="22" borderId="0" xfId="0" applyFont="1" applyFill="1"/>
    <xf numFmtId="0" fontId="83" fillId="9" borderId="0" xfId="0" applyFont="1" applyFill="1"/>
    <xf numFmtId="0" fontId="48" fillId="9" borderId="0" xfId="0" applyFont="1" applyFill="1" applyAlignment="1">
      <alignment horizontal="left"/>
    </xf>
    <xf numFmtId="0" fontId="90" fillId="21" borderId="0" xfId="0" applyFont="1" applyFill="1" applyAlignment="1">
      <alignment horizontal="left" vertical="center" wrapText="1"/>
    </xf>
    <xf numFmtId="0" fontId="84" fillId="18" borderId="0" xfId="0" applyFont="1" applyFill="1" applyAlignment="1">
      <alignment horizontal="left" vertical="center" wrapText="1"/>
    </xf>
    <xf numFmtId="0" fontId="14" fillId="18" borderId="0" xfId="0" applyFont="1" applyFill="1" applyAlignment="1">
      <alignment horizontal="left" vertical="center" indent="1"/>
    </xf>
    <xf numFmtId="0" fontId="92" fillId="21" borderId="0" xfId="0" applyFont="1" applyFill="1" applyAlignment="1">
      <alignment horizontal="left" vertical="center" wrapText="1"/>
    </xf>
    <xf numFmtId="0" fontId="92" fillId="0" borderId="0" xfId="0" applyFont="1" applyAlignment="1">
      <alignment horizontal="left" vertical="center" wrapText="1"/>
    </xf>
    <xf numFmtId="0" fontId="27" fillId="8" borderId="0" xfId="0" applyFont="1" applyFill="1"/>
    <xf numFmtId="0" fontId="23" fillId="13" borderId="0" xfId="0" applyFont="1" applyFill="1"/>
    <xf numFmtId="0" fontId="23" fillId="8" borderId="0" xfId="0" applyFont="1" applyFill="1"/>
    <xf numFmtId="0" fontId="84" fillId="18" borderId="0" xfId="0" applyFont="1" applyFill="1" applyAlignment="1">
      <alignment horizontal="left"/>
    </xf>
    <xf numFmtId="0" fontId="92" fillId="0" borderId="0" xfId="0" applyFont="1"/>
    <xf numFmtId="0" fontId="86" fillId="0" borderId="0" xfId="0" applyFont="1"/>
    <xf numFmtId="0" fontId="18" fillId="0" borderId="0" xfId="0" applyFont="1"/>
    <xf numFmtId="0" fontId="6" fillId="4" borderId="0" xfId="0" applyFont="1" applyFill="1"/>
    <xf numFmtId="0" fontId="4" fillId="4" borderId="0" xfId="0" applyFont="1" applyFill="1"/>
    <xf numFmtId="0" fontId="23" fillId="9" borderId="0" xfId="0" applyFont="1" applyFill="1"/>
    <xf numFmtId="0" fontId="6" fillId="9" borderId="0" xfId="0" applyFont="1" applyFill="1" applyAlignment="1">
      <alignment horizontal="left" vertical="center" indent="1"/>
    </xf>
    <xf numFmtId="0" fontId="85" fillId="9" borderId="0" xfId="0" applyFont="1" applyFill="1" applyAlignment="1">
      <alignment horizontal="left" vertical="center" indent="1"/>
    </xf>
    <xf numFmtId="0" fontId="13" fillId="18" borderId="0" xfId="0" applyFont="1" applyFill="1" applyAlignment="1">
      <alignment horizontal="left" vertical="center" indent="1"/>
    </xf>
    <xf numFmtId="0" fontId="63" fillId="18" borderId="0" xfId="0" applyFont="1" applyFill="1" applyAlignment="1">
      <alignment horizontal="left"/>
    </xf>
    <xf numFmtId="0" fontId="49" fillId="0" borderId="0" xfId="0" applyFont="1"/>
    <xf numFmtId="0" fontId="29" fillId="9" borderId="0" xfId="0" applyFont="1" applyFill="1"/>
    <xf numFmtId="0" fontId="6" fillId="9" borderId="0" xfId="0" applyFont="1" applyFill="1"/>
    <xf numFmtId="0" fontId="85" fillId="9" borderId="0" xfId="0" applyFont="1" applyFill="1"/>
    <xf numFmtId="0" fontId="84" fillId="18" borderId="0" xfId="0" applyFont="1" applyFill="1"/>
    <xf numFmtId="0" fontId="11" fillId="0" borderId="0" xfId="0" applyFont="1"/>
    <xf numFmtId="0" fontId="85" fillId="0" borderId="0" xfId="0" applyFont="1"/>
    <xf numFmtId="0" fontId="32" fillId="0" borderId="0" xfId="0" applyFont="1"/>
    <xf numFmtId="0" fontId="50" fillId="0" borderId="0" xfId="0" applyFont="1"/>
    <xf numFmtId="0" fontId="46" fillId="14" borderId="0" xfId="0" applyFont="1" applyFill="1"/>
    <xf numFmtId="0" fontId="63" fillId="18" borderId="0" xfId="0" applyFont="1" applyFill="1"/>
    <xf numFmtId="0" fontId="38" fillId="0" borderId="0" xfId="0" applyFont="1"/>
    <xf numFmtId="0" fontId="65" fillId="0" borderId="0" xfId="0" applyFont="1" applyAlignment="1">
      <alignment wrapText="1"/>
    </xf>
    <xf numFmtId="0" fontId="63" fillId="18" borderId="0" xfId="0" applyFont="1" applyFill="1" applyAlignment="1">
      <alignment horizontal="left" vertical="center"/>
    </xf>
    <xf numFmtId="0" fontId="16" fillId="18" borderId="0" xfId="0" applyFont="1" applyFill="1" applyAlignment="1">
      <alignment horizontal="left" vertical="center"/>
    </xf>
    <xf numFmtId="0" fontId="16" fillId="18" borderId="0" xfId="0" applyFont="1" applyFill="1" applyAlignment="1">
      <alignment horizontal="right" vertical="center"/>
    </xf>
    <xf numFmtId="0" fontId="23" fillId="15" borderId="41" xfId="0" applyFont="1" applyFill="1" applyBorder="1" applyAlignment="1">
      <alignment horizontal="left"/>
    </xf>
    <xf numFmtId="0" fontId="23" fillId="15" borderId="42" xfId="0" applyFont="1" applyFill="1" applyBorder="1" applyAlignment="1">
      <alignment horizontal="left"/>
    </xf>
    <xf numFmtId="0" fontId="23" fillId="15" borderId="43" xfId="0" applyFont="1" applyFill="1" applyBorder="1" applyAlignment="1">
      <alignment horizontal="left"/>
    </xf>
    <xf numFmtId="0" fontId="68" fillId="0" borderId="28" xfId="0" applyFont="1" applyBorder="1" applyAlignment="1">
      <alignment wrapText="1"/>
    </xf>
    <xf numFmtId="0" fontId="68" fillId="0" borderId="13" xfId="0" applyFont="1" applyBorder="1" applyAlignment="1">
      <alignment wrapText="1"/>
    </xf>
    <xf numFmtId="0" fontId="68" fillId="0" borderId="29" xfId="0" applyFont="1" applyBorder="1" applyAlignment="1">
      <alignment wrapText="1"/>
    </xf>
    <xf numFmtId="0" fontId="23" fillId="16" borderId="41" xfId="0" applyFont="1" applyFill="1" applyBorder="1" applyAlignment="1">
      <alignment horizontal="left"/>
    </xf>
    <xf numFmtId="0" fontId="23" fillId="16" borderId="42" xfId="0" applyFont="1" applyFill="1" applyBorder="1" applyAlignment="1">
      <alignment horizontal="left"/>
    </xf>
    <xf numFmtId="0" fontId="23" fillId="16" borderId="43" xfId="0" applyFont="1" applyFill="1" applyBorder="1" applyAlignment="1">
      <alignment horizontal="left"/>
    </xf>
    <xf numFmtId="0" fontId="23" fillId="17" borderId="41" xfId="0" applyFont="1" applyFill="1" applyBorder="1" applyAlignment="1">
      <alignment horizontal="left"/>
    </xf>
    <xf numFmtId="0" fontId="23" fillId="17" borderId="42" xfId="0" applyFont="1" applyFill="1" applyBorder="1" applyAlignment="1">
      <alignment horizontal="left"/>
    </xf>
    <xf numFmtId="0" fontId="23" fillId="17" borderId="43" xfId="0" applyFont="1" applyFill="1" applyBorder="1" applyAlignment="1">
      <alignment horizontal="left"/>
    </xf>
    <xf numFmtId="0" fontId="23" fillId="8" borderId="62" xfId="0" applyFont="1" applyFill="1" applyBorder="1" applyAlignment="1">
      <alignment vertical="top" wrapText="1"/>
    </xf>
    <xf numFmtId="0" fontId="23" fillId="0" borderId="0" xfId="0" applyFont="1"/>
    <xf numFmtId="0" fontId="72" fillId="0" borderId="0" xfId="0" applyFont="1" applyAlignment="1">
      <alignment horizontal="left"/>
    </xf>
    <xf numFmtId="0" fontId="23" fillId="0" borderId="62" xfId="0" applyFont="1" applyBorder="1" applyAlignment="1">
      <alignment vertical="top" wrapText="1"/>
    </xf>
    <xf numFmtId="0" fontId="19" fillId="0" borderId="62" xfId="0" applyFont="1" applyBorder="1" applyAlignment="1">
      <alignment vertical="top" wrapText="1"/>
    </xf>
    <xf numFmtId="0" fontId="81" fillId="9" borderId="0" xfId="0" applyFont="1" applyFill="1"/>
    <xf numFmtId="0" fontId="27" fillId="9" borderId="0" xfId="0" applyFont="1" applyFill="1"/>
    <xf numFmtId="0" fontId="18" fillId="0" borderId="0" xfId="0" applyFont="1" applyAlignment="1">
      <alignment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26" fillId="0" borderId="0" xfId="0" applyFont="1"/>
    <xf numFmtId="0" fontId="16" fillId="18" borderId="13" xfId="0" applyFont="1" applyFill="1" applyBorder="1"/>
    <xf numFmtId="0" fontId="27" fillId="9" borderId="13" xfId="0" applyFont="1" applyFill="1" applyBorder="1"/>
    <xf numFmtId="0" fontId="46" fillId="9" borderId="0" xfId="0" applyFont="1" applyFill="1"/>
    <xf numFmtId="0" fontId="83" fillId="0" borderId="0" xfId="0" applyFont="1"/>
    <xf numFmtId="0" fontId="7" fillId="0" borderId="14" xfId="0" applyFont="1" applyBorder="1"/>
    <xf numFmtId="2" fontId="0" fillId="0" borderId="0" xfId="0" applyNumberFormat="1"/>
    <xf numFmtId="0" fontId="105" fillId="23" borderId="0" xfId="0" applyFont="1" applyFill="1" applyAlignment="1">
      <alignment horizontal="left"/>
    </xf>
    <xf numFmtId="0" fontId="106" fillId="23" borderId="0" xfId="0" applyFont="1" applyFill="1"/>
    <xf numFmtId="0" fontId="79" fillId="23" borderId="0" xfId="0" applyFont="1" applyFill="1"/>
    <xf numFmtId="0" fontId="22" fillId="23" borderId="0" xfId="0" applyFont="1" applyFill="1"/>
    <xf numFmtId="0" fontId="65" fillId="23" borderId="0" xfId="0" applyFont="1" applyFill="1"/>
    <xf numFmtId="0" fontId="105" fillId="23" borderId="0" xfId="0" applyFont="1" applyFill="1"/>
    <xf numFmtId="0" fontId="46" fillId="12" borderId="0" xfId="0" applyFont="1" applyFill="1"/>
    <xf numFmtId="0" fontId="122" fillId="0" borderId="0" xfId="0" applyFont="1"/>
    <xf numFmtId="0" fontId="27" fillId="24" borderId="0" xfId="0" applyFont="1" applyFill="1"/>
    <xf numFmtId="0" fontId="46" fillId="24" borderId="0" xfId="0" applyFont="1" applyFill="1"/>
    <xf numFmtId="0" fontId="39" fillId="0" borderId="0" xfId="0" applyFont="1"/>
    <xf numFmtId="0" fontId="27" fillId="9" borderId="0" xfId="0" applyFont="1" applyFill="1" applyAlignment="1">
      <alignment wrapText="1"/>
    </xf>
    <xf numFmtId="0" fontId="122" fillId="0" borderId="0" xfId="0" applyFont="1" applyAlignment="1">
      <alignment wrapText="1"/>
    </xf>
    <xf numFmtId="0" fontId="27" fillId="24" borderId="0" xfId="0" applyFont="1" applyFill="1" applyAlignment="1">
      <alignment wrapText="1"/>
    </xf>
    <xf numFmtId="190" fontId="61" fillId="0" borderId="0" xfId="0" applyNumberFormat="1" applyFont="1"/>
    <xf numFmtId="0" fontId="61" fillId="0" borderId="0" xfId="0" applyFont="1" applyAlignment="1">
      <alignment wrapText="1"/>
    </xf>
    <xf numFmtId="0" fontId="16" fillId="18" borderId="79" xfId="0" applyFont="1" applyFill="1" applyBorder="1"/>
    <xf numFmtId="0" fontId="29" fillId="9" borderId="79" xfId="0" applyFont="1" applyFill="1" applyBorder="1"/>
    <xf numFmtId="0" fontId="29" fillId="9" borderId="79" xfId="0" applyFont="1" applyFill="1" applyBorder="1" applyAlignment="1">
      <alignment horizontal="center"/>
    </xf>
    <xf numFmtId="0" fontId="123" fillId="21" borderId="0" xfId="0" applyFont="1" applyFill="1"/>
    <xf numFmtId="190" fontId="123" fillId="21" borderId="0" xfId="0" applyNumberFormat="1" applyFont="1" applyFill="1"/>
    <xf numFmtId="176" fontId="123" fillId="21" borderId="0" xfId="0" applyNumberFormat="1" applyFont="1" applyFill="1"/>
  </cellXfs>
  <cellStyles count="1">
    <cellStyle name="Normal" xfId="0" builtinId="0"/>
  </cellStyles>
  <dxfs count="6">
    <dxf>
      <font>
        <b/>
        <i val="0"/>
        <color rgb="FF9C5700"/>
      </font>
      <fill>
        <patternFill patternType="solid">
          <fgColor indexed="64"/>
          <bgColor rgb="FFFFEB9C"/>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5700"/>
      </font>
      <fill>
        <patternFill patternType="solid">
          <fgColor indexed="64"/>
          <bgColor rgb="FFFFEB9C"/>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a:t>WHOOP Valuation Football Field — Series G mark $10.1B</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'Football Field'!$B$30</c:f>
              <c:strCache>
                <c:ptCount val="1"/>
                <c:pt idx="0">
                  <c:v>Low (offset)</c:v>
                </c:pt>
              </c:strCache>
            </c:strRef>
          </c:tx>
          <c:spPr>
            <a:solidFill>
              <a:srgbClr val="FFFFFF"/>
            </a:solidFill>
            <a:ln>
              <a:noFill/>
            </a:ln>
            <a:effectLst/>
          </c:spPr>
          <c:invertIfNegative val="0"/>
          <c:cat>
            <c:strRef>
              <c:f>'Football Field'!$A$31:$A$36</c:f>
              <c:strCache>
                <c:ptCount val="6"/>
                <c:pt idx="0">
                  <c:v>1. Intrinsic DCF</c:v>
                </c:pt>
                <c:pt idx="1">
                  <c:v>1b. DCF + Real Options</c:v>
                </c:pt>
                <c:pt idx="2">
                  <c:v>2. Public Comps (Three-Thesis)</c:v>
                </c:pt>
                <c:pt idx="3">
                  <c:v>4. Last-Round Implied (Series G)</c:v>
                </c:pt>
                <c:pt idx="4">
                  <c:v>5. Implied IPO Range</c:v>
                </c:pt>
                <c:pt idx="5">
                  <c:v>Weighted Avg</c:v>
                </c:pt>
              </c:strCache>
            </c:strRef>
          </c:cat>
          <c:val>
            <c:numRef>
              <c:f>'Football Field'!$B$31:$B$36</c:f>
              <c:numCache>
                <c:formatCode>"$"#,##0;\("$"#,##0\);\-</c:formatCode>
                <c:ptCount val="6"/>
                <c:pt idx="0">
                  <c:v>4.6214297616496074</c:v>
                </c:pt>
                <c:pt idx="1">
                  <c:v>4.8006086094816354</c:v>
                </c:pt>
                <c:pt idx="2">
                  <c:v>1.177</c:v>
                </c:pt>
                <c:pt idx="3">
                  <c:v>9.41</c:v>
                </c:pt>
                <c:pt idx="4">
                  <c:v>11.882352941176471</c:v>
                </c:pt>
                <c:pt idx="5" formatCode="0.00">
                  <c:v>7.3065144038412395</c:v>
                </c:pt>
              </c:numCache>
            </c:numRef>
          </c:val>
          <c:extLst>
            <c:ext xmlns:c16="http://schemas.microsoft.com/office/drawing/2014/chart" uri="{C3380CC4-5D6E-409C-BE32-E72D297353CC}">
              <c16:uniqueId val="{00000000-2B69-48D5-93A6-3B40211673AC}"/>
            </c:ext>
          </c:extLst>
        </c:ser>
        <c:ser>
          <c:idx val="1"/>
          <c:order val="1"/>
          <c:tx>
            <c:strRef>
              <c:f>'Football Field'!$C$30</c:f>
              <c:strCache>
                <c:ptCount val="1"/>
                <c:pt idx="0">
                  <c:v>Range (visible bar)</c:v>
                </c:pt>
              </c:strCache>
            </c:strRef>
          </c:tx>
          <c:spPr>
            <a:solidFill>
              <a:srgbClr val="2E75B6"/>
            </a:solidFill>
            <a:ln>
              <a:noFill/>
            </a:ln>
            <a:effectLst/>
          </c:spPr>
          <c:invertIfNegative val="0"/>
          <c:cat>
            <c:strRef>
              <c:f>'Football Field'!$A$31:$A$36</c:f>
              <c:strCache>
                <c:ptCount val="6"/>
                <c:pt idx="0">
                  <c:v>1. Intrinsic DCF</c:v>
                </c:pt>
                <c:pt idx="1">
                  <c:v>1b. DCF + Real Options</c:v>
                </c:pt>
                <c:pt idx="2">
                  <c:v>2. Public Comps (Three-Thesis)</c:v>
                </c:pt>
                <c:pt idx="3">
                  <c:v>4. Last-Round Implied (Series G)</c:v>
                </c:pt>
                <c:pt idx="4">
                  <c:v>5. Implied IPO Range</c:v>
                </c:pt>
                <c:pt idx="5">
                  <c:v>Weighted Avg</c:v>
                </c:pt>
              </c:strCache>
            </c:strRef>
          </c:cat>
          <c:val>
            <c:numRef>
              <c:f>'Football Field'!$C$31:$C$36</c:f>
              <c:numCache>
                <c:formatCode>"$"#,##0;\("$"#,##0\);\-</c:formatCode>
                <c:ptCount val="6"/>
                <c:pt idx="0">
                  <c:v>5.9057219325270287</c:v>
                </c:pt>
                <c:pt idx="1">
                  <c:v>7.0076765216324564</c:v>
                </c:pt>
                <c:pt idx="2">
                  <c:v>6.3717500000000005</c:v>
                </c:pt>
                <c:pt idx="3">
                  <c:v>1E-3</c:v>
                </c:pt>
                <c:pt idx="4" formatCode="&quot;$&quot;#,##0.00">
                  <c:v>1.5843137254901958</c:v>
                </c:pt>
                <c:pt idx="5">
                  <c:v>1E-3</c:v>
                </c:pt>
              </c:numCache>
            </c:numRef>
          </c:val>
          <c:extLst>
            <c:ext xmlns:c16="http://schemas.microsoft.com/office/drawing/2014/chart" uri="{C3380CC4-5D6E-409C-BE32-E72D297353CC}">
              <c16:uniqueId val="{00000002-2B69-48D5-93A6-3B40211673AC}"/>
            </c:ext>
          </c:extLst>
        </c:ser>
        <c:dLbls>
          <c:showLegendKey val="0"/>
          <c:showVal val="0"/>
          <c:showCatName val="0"/>
          <c:showSerName val="0"/>
          <c:showPercent val="0"/>
          <c:showBubbleSize val="0"/>
        </c:dLbls>
        <c:gapWidth val="150"/>
        <c:overlap val="100"/>
        <c:axId val="154778120"/>
        <c:axId val="154796040"/>
      </c:barChart>
      <c:catAx>
        <c:axId val="154778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96040"/>
        <c:crosses val="autoZero"/>
        <c:auto val="1"/>
        <c:lblAlgn val="ctr"/>
        <c:lblOffset val="100"/>
        <c:noMultiLvlLbl val="0"/>
      </c:catAx>
      <c:valAx>
        <c:axId val="154796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Enterprise Value ($B)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78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114300</xdr:rowOff>
    </xdr:from>
    <xdr:to>
      <xdr:col>9</xdr:col>
      <xdr:colOff>447675</xdr:colOff>
      <xdr:row>65</xdr:row>
      <xdr:rowOff>114300</xdr:rowOff>
    </xdr:to>
    <xdr:graphicFrame macro="">
      <xdr:nvGraphicFramePr>
        <xdr:cNvPr id="3" name="Chart 2">
          <a:extLst>
            <a:ext uri="{FF2B5EF4-FFF2-40B4-BE49-F238E27FC236}">
              <a16:creationId xmlns:a16="http://schemas.microsoft.com/office/drawing/2014/main" id="{9E60A0C2-8158-8727-EAE5-AD7424D39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553804</xdr:colOff>
      <xdr:row>43</xdr:row>
      <xdr:rowOff>187325</xdr:rowOff>
    </xdr:from>
    <xdr:to>
      <xdr:col>5</xdr:col>
      <xdr:colOff>572854</xdr:colOff>
      <xdr:row>46</xdr:row>
      <xdr:rowOff>22225</xdr:rowOff>
    </xdr:to>
    <xdr:sp macro="" textlink="">
      <xdr:nvSpPr>
        <xdr:cNvPr id="7" name="SeriesG_Label">
          <a:extLst>
            <a:ext uri="{FF2B5EF4-FFF2-40B4-BE49-F238E27FC236}">
              <a16:creationId xmlns:a16="http://schemas.microsoft.com/office/drawing/2014/main" id="{A2FCF3D9-E421-FAC5-C46F-7A4C425004EF}"/>
            </a:ext>
            <a:ext uri="{147F2762-F138-4A5C-976F-8EAC2B608ADB}">
              <a16:predDERef xmlns:a16="http://schemas.microsoft.com/office/drawing/2014/main" pred="{9E60A0C2-8158-8727-EAE5-AD7424D393B5}"/>
            </a:ext>
          </a:extLst>
        </xdr:cNvPr>
        <xdr:cNvSpPr txBox="1"/>
      </xdr:nvSpPr>
      <xdr:spPr>
        <a:xfrm>
          <a:off x="5354404" y="21199475"/>
          <a:ext cx="952500" cy="406400"/>
        </a:xfrm>
        <a:prstGeom prst="rect">
          <a:avLst/>
        </a:prstGeom>
        <a:solidFill>
          <a:prstClr val="white"/>
        </a:solidFill>
        <a:ln>
          <a:solidFill>
            <a:prstClr val="black"/>
          </a:solidFill>
        </a:ln>
      </xdr:spPr>
      <xdr:txBody>
        <a:bodyPr vertOverflow="overflow" vert="horz" wrap="square" rtlCol="0" anchor="t">
          <a:spAutoFit/>
        </a:bodyPr>
        <a:lstStyle/>
        <a:p>
          <a:pPr algn="l"/>
          <a:r>
            <a:rPr kumimoji="0" lang="en-US" sz="900" b="1" i="0" u="none" strike="noStrike" kern="0" cap="none" spc="0" normalizeH="0" baseline="0" noProof="0">
              <a:ln>
                <a:noFill/>
              </a:ln>
              <a:solidFill>
                <a:srgbClr val="C00000"/>
              </a:solidFill>
              <a:effectLst/>
              <a:uLnTx/>
              <a:uFillTx/>
              <a:latin typeface="Calibri"/>
            </a:rPr>
            <a:t>Series G
$10.1B</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F3859E-943C-4933-B6A8-2C4356E46C30}">
  <we:reference id="WA200009404" version="1.0.0.8" store="en-US" storeType="omex"/>
  <we:alternateReferences>
    <we:reference id="WA200009404" version="1.0.0.8" store="en-US" storeType="omex"/>
  </we:alternateReferences>
  <we:properties>
    <we:property name="claude.fileId" value="&quot;551a0b9c-7344-4cdd-89bc-f52463175f4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C61"/>
  <sheetViews>
    <sheetView showGridLines="0" topLeftCell="A24" workbookViewId="0">
      <selection activeCell="B61" sqref="B61:C61"/>
    </sheetView>
  </sheetViews>
  <sheetFormatPr baseColWidth="10" defaultColWidth="8.83203125" defaultRowHeight="15" x14ac:dyDescent="0.2"/>
  <cols>
    <col min="1" max="1" width="2.5" customWidth="1"/>
    <col min="2" max="3" width="46.6640625" customWidth="1"/>
  </cols>
  <sheetData>
    <row r="1" spans="1:3" ht="19" x14ac:dyDescent="0.25">
      <c r="A1" s="100"/>
    </row>
    <row r="3" spans="1:3" ht="28" customHeight="1" x14ac:dyDescent="0.35">
      <c r="B3" s="830" t="s">
        <v>0</v>
      </c>
      <c r="C3" s="831"/>
    </row>
    <row r="4" spans="1:3" ht="21" x14ac:dyDescent="0.25">
      <c r="A4" s="31" t="s">
        <v>1</v>
      </c>
      <c r="B4" s="832" t="s">
        <v>2</v>
      </c>
      <c r="C4" s="833"/>
    </row>
    <row r="5" spans="1:3" x14ac:dyDescent="0.2">
      <c r="B5" s="834" t="s">
        <v>3</v>
      </c>
      <c r="C5" s="835"/>
    </row>
    <row r="8" spans="1:3" x14ac:dyDescent="0.2">
      <c r="B8" s="259" t="s">
        <v>4</v>
      </c>
      <c r="C8" s="256" t="s">
        <v>0</v>
      </c>
    </row>
    <row r="9" spans="1:3" x14ac:dyDescent="0.2">
      <c r="B9" s="260" t="s">
        <v>5</v>
      </c>
      <c r="C9" s="257" t="s">
        <v>6</v>
      </c>
    </row>
    <row r="10" spans="1:3" x14ac:dyDescent="0.2">
      <c r="B10" s="260" t="s">
        <v>7</v>
      </c>
      <c r="C10" s="257" t="s">
        <v>8</v>
      </c>
    </row>
    <row r="11" spans="1:3" x14ac:dyDescent="0.2">
      <c r="B11" s="260" t="s">
        <v>9</v>
      </c>
      <c r="C11" s="257" t="s">
        <v>10</v>
      </c>
    </row>
    <row r="12" spans="1:3" x14ac:dyDescent="0.2">
      <c r="B12" s="260" t="s">
        <v>11</v>
      </c>
      <c r="C12" s="257" t="s">
        <v>12</v>
      </c>
    </row>
    <row r="13" spans="1:3" x14ac:dyDescent="0.2">
      <c r="B13" s="260" t="s">
        <v>13</v>
      </c>
      <c r="C13" s="257" t="s">
        <v>14</v>
      </c>
    </row>
    <row r="14" spans="1:3" x14ac:dyDescent="0.2">
      <c r="B14" s="261" t="s">
        <v>15</v>
      </c>
      <c r="C14" s="258" t="s">
        <v>16</v>
      </c>
    </row>
    <row r="17" spans="2:3" x14ac:dyDescent="0.2">
      <c r="B17" s="836" t="s">
        <v>17</v>
      </c>
      <c r="C17" s="837"/>
    </row>
    <row r="18" spans="2:3" x14ac:dyDescent="0.2">
      <c r="B18" s="262" t="s">
        <v>18</v>
      </c>
      <c r="C18" s="82"/>
    </row>
    <row r="19" spans="2:3" x14ac:dyDescent="0.2">
      <c r="B19" s="262" t="s">
        <v>19</v>
      </c>
      <c r="C19" s="82"/>
    </row>
    <row r="20" spans="2:3" x14ac:dyDescent="0.2">
      <c r="B20" s="262" t="s">
        <v>20</v>
      </c>
      <c r="C20" s="82"/>
    </row>
    <row r="21" spans="2:3" x14ac:dyDescent="0.2">
      <c r="B21" s="262" t="s">
        <v>21</v>
      </c>
      <c r="C21" s="82"/>
    </row>
    <row r="22" spans="2:3" x14ac:dyDescent="0.2">
      <c r="B22" s="262" t="s">
        <v>22</v>
      </c>
      <c r="C22" s="82"/>
    </row>
    <row r="25" spans="2:3" x14ac:dyDescent="0.2">
      <c r="B25" s="836" t="s">
        <v>23</v>
      </c>
      <c r="C25" s="837"/>
    </row>
    <row r="26" spans="2:3" x14ac:dyDescent="0.2">
      <c r="B26" s="2" t="s">
        <v>24</v>
      </c>
    </row>
    <row r="27" spans="2:3" x14ac:dyDescent="0.2">
      <c r="B27" s="3" t="s">
        <v>25</v>
      </c>
    </row>
    <row r="28" spans="2:3" x14ac:dyDescent="0.2">
      <c r="B28" s="4" t="s">
        <v>26</v>
      </c>
    </row>
    <row r="29" spans="2:3" x14ac:dyDescent="0.2">
      <c r="B29" s="263" t="s">
        <v>27</v>
      </c>
    </row>
    <row r="32" spans="2:3" x14ac:dyDescent="0.2">
      <c r="B32" s="836" t="s">
        <v>28</v>
      </c>
      <c r="C32" s="837"/>
    </row>
    <row r="33" spans="2:3" ht="24" customHeight="1" x14ac:dyDescent="0.2">
      <c r="B33" s="838" t="s">
        <v>29</v>
      </c>
      <c r="C33" s="839"/>
    </row>
    <row r="34" spans="2:3" x14ac:dyDescent="0.2">
      <c r="B34" s="265" t="s">
        <v>30</v>
      </c>
      <c r="C34" s="264" t="str">
        <f>Assumptions!$B$3</f>
        <v>Base</v>
      </c>
    </row>
    <row r="35" spans="2:3" ht="16" thickBot="1" x14ac:dyDescent="0.25"/>
    <row r="36" spans="2:3" ht="16" x14ac:dyDescent="0.2">
      <c r="B36" s="267" t="s">
        <v>31</v>
      </c>
      <c r="C36" s="272">
        <f>DCF!C32</f>
        <v>7308.7519814361349</v>
      </c>
    </row>
    <row r="37" spans="2:3" x14ac:dyDescent="0.2">
      <c r="B37" s="103" t="s">
        <v>32</v>
      </c>
      <c r="C37" s="273">
        <f>DCF!C37</f>
        <v>1008.2225677195346</v>
      </c>
    </row>
    <row r="38" spans="2:3" x14ac:dyDescent="0.2">
      <c r="B38" s="103" t="s">
        <v>33</v>
      </c>
      <c r="C38" s="273">
        <f>DCF!C36</f>
        <v>-10</v>
      </c>
    </row>
    <row r="39" spans="2:3" x14ac:dyDescent="0.2">
      <c r="B39" s="268" t="s">
        <v>34</v>
      </c>
      <c r="C39" s="274">
        <f>DCF!C38</f>
        <v>8306.9745491556696</v>
      </c>
    </row>
    <row r="40" spans="2:3" x14ac:dyDescent="0.2">
      <c r="B40" s="103" t="s">
        <v>35</v>
      </c>
      <c r="C40" s="270">
        <f>DCF!C40</f>
        <v>20.260913534526022</v>
      </c>
    </row>
    <row r="41" spans="2:3" x14ac:dyDescent="0.2">
      <c r="B41" s="103"/>
      <c r="C41" s="271"/>
    </row>
    <row r="42" spans="2:3" x14ac:dyDescent="0.2">
      <c r="B42" s="269" t="s">
        <v>36</v>
      </c>
      <c r="C42" s="273">
        <f>DCF!C46</f>
        <v>704.48043032202577</v>
      </c>
    </row>
    <row r="43" spans="2:3" ht="17" thickBot="1" x14ac:dyDescent="0.25">
      <c r="B43" s="230" t="s">
        <v>37</v>
      </c>
      <c r="C43" s="275">
        <f>DCF!C51</f>
        <v>9011.4549794776958</v>
      </c>
    </row>
    <row r="45" spans="2:3" x14ac:dyDescent="0.2">
      <c r="B45" s="279" t="s">
        <v>38</v>
      </c>
      <c r="C45" s="280">
        <f>DCF!C52</f>
        <v>10100</v>
      </c>
    </row>
    <row r="46" spans="2:3" x14ac:dyDescent="0.2">
      <c r="B46" s="269" t="s">
        <v>39</v>
      </c>
      <c r="C46" s="277">
        <f>DCF!C53</f>
        <v>-0.17752727236082477</v>
      </c>
    </row>
    <row r="47" spans="2:3" x14ac:dyDescent="0.2">
      <c r="B47" s="276" t="s">
        <v>40</v>
      </c>
      <c r="C47" s="278">
        <f>DCF!C54</f>
        <v>-0.10777673470517868</v>
      </c>
    </row>
    <row r="48" spans="2:3" ht="17" x14ac:dyDescent="0.2">
      <c r="B48" s="840" t="s">
        <v>41</v>
      </c>
      <c r="C48" s="841"/>
    </row>
    <row r="49" spans="2:3" ht="16" x14ac:dyDescent="0.2">
      <c r="B49" s="266" t="s">
        <v>42</v>
      </c>
      <c r="C49" s="282">
        <f>'Football Field'!D16*1000</f>
        <v>7306.5144038412391</v>
      </c>
    </row>
    <row r="50" spans="2:3" x14ac:dyDescent="0.2">
      <c r="B50" s="102" t="s">
        <v>35</v>
      </c>
      <c r="C50" s="281">
        <f>'Football Field'!G16</f>
        <v>19.503693667905463</v>
      </c>
    </row>
    <row r="51" spans="2:3" x14ac:dyDescent="0.2">
      <c r="B51" s="229" t="s">
        <v>43</v>
      </c>
      <c r="C51" s="283">
        <f>'Football Field'!D18</f>
        <v>-0.22353725782771106</v>
      </c>
    </row>
    <row r="53" spans="2:3" ht="17" x14ac:dyDescent="0.2">
      <c r="B53" s="842" t="s">
        <v>44</v>
      </c>
      <c r="C53" s="843"/>
    </row>
    <row r="54" spans="2:3" x14ac:dyDescent="0.2">
      <c r="B54" s="101" t="s">
        <v>45</v>
      </c>
      <c r="C54" s="286">
        <f>Checks!B17</f>
        <v>10</v>
      </c>
    </row>
    <row r="55" spans="2:3" x14ac:dyDescent="0.2">
      <c r="B55" s="102" t="s">
        <v>46</v>
      </c>
      <c r="C55" s="287">
        <f>Checks!B18</f>
        <v>0</v>
      </c>
    </row>
    <row r="56" spans="2:3" x14ac:dyDescent="0.2">
      <c r="B56" s="284" t="s">
        <v>47</v>
      </c>
      <c r="C56" s="288">
        <f>Checks!B19</f>
        <v>0</v>
      </c>
    </row>
    <row r="57" spans="2:3" x14ac:dyDescent="0.2">
      <c r="B57" s="285" t="s">
        <v>48</v>
      </c>
      <c r="C57" s="289" t="str">
        <f>Checks!B20</f>
        <v>PASS</v>
      </c>
    </row>
    <row r="58" spans="2:3" x14ac:dyDescent="0.2">
      <c r="B58" s="54"/>
    </row>
    <row r="59" spans="2:3" ht="17" x14ac:dyDescent="0.2">
      <c r="B59" s="842" t="s">
        <v>49</v>
      </c>
      <c r="C59" s="843"/>
    </row>
    <row r="60" spans="2:3" ht="100" customHeight="1" x14ac:dyDescent="0.2">
      <c r="B60" s="844" t="s">
        <v>50</v>
      </c>
      <c r="C60" s="829"/>
    </row>
    <row r="61" spans="2:3" ht="80" customHeight="1" x14ac:dyDescent="0.2">
      <c r="B61" s="828" t="s">
        <v>51</v>
      </c>
      <c r="C61" s="829"/>
    </row>
  </sheetData>
  <mergeCells count="12">
    <mergeCell ref="B61:C61"/>
    <mergeCell ref="B3:C3"/>
    <mergeCell ref="B4:C4"/>
    <mergeCell ref="B5:C5"/>
    <mergeCell ref="B17:C17"/>
    <mergeCell ref="B25:C25"/>
    <mergeCell ref="B32:C32"/>
    <mergeCell ref="B33:C33"/>
    <mergeCell ref="B48:C48"/>
    <mergeCell ref="B53:C53"/>
    <mergeCell ref="B59:C59"/>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N161"/>
  <sheetViews>
    <sheetView showGridLines="0" topLeftCell="A56" zoomScale="107" workbookViewId="0">
      <selection activeCell="D37" sqref="D37"/>
    </sheetView>
  </sheetViews>
  <sheetFormatPr baseColWidth="10" defaultColWidth="8.83203125" defaultRowHeight="15" x14ac:dyDescent="0.2"/>
  <cols>
    <col min="1" max="1" width="8.33203125" customWidth="1"/>
    <col min="2" max="2" width="46.6640625" customWidth="1"/>
    <col min="3" max="6" width="13.33203125" customWidth="1"/>
    <col min="7" max="7" width="10" customWidth="1"/>
    <col min="8" max="8" width="10.83203125" customWidth="1"/>
    <col min="9" max="9" width="63.33203125" customWidth="1"/>
  </cols>
  <sheetData>
    <row r="1" spans="1:14" ht="28" customHeight="1" x14ac:dyDescent="0.2">
      <c r="A1" s="857" t="s">
        <v>52</v>
      </c>
      <c r="B1" s="857"/>
      <c r="C1" s="857"/>
      <c r="D1" s="857"/>
      <c r="E1" s="857"/>
      <c r="F1" s="857"/>
      <c r="G1" s="857"/>
      <c r="H1" s="857"/>
      <c r="I1" s="857"/>
      <c r="J1" s="857"/>
      <c r="K1" s="857"/>
      <c r="L1" s="857"/>
      <c r="M1" s="857"/>
      <c r="N1" s="857"/>
    </row>
    <row r="2" spans="1:14" x14ac:dyDescent="0.2">
      <c r="A2" s="856"/>
      <c r="B2" s="858"/>
      <c r="C2" s="858"/>
      <c r="D2" s="858"/>
      <c r="E2" s="858"/>
      <c r="F2" s="858"/>
      <c r="G2" s="858"/>
      <c r="H2" s="858"/>
      <c r="I2" s="858"/>
      <c r="J2" s="858"/>
      <c r="K2" s="858"/>
      <c r="L2" s="858"/>
      <c r="M2" s="858"/>
      <c r="N2" s="858"/>
    </row>
    <row r="3" spans="1:14" ht="22" customHeight="1" x14ac:dyDescent="0.2">
      <c r="A3" s="57" t="s">
        <v>53</v>
      </c>
      <c r="B3" s="618" t="s">
        <v>54</v>
      </c>
      <c r="C3" s="846" t="s">
        <v>55</v>
      </c>
      <c r="D3" s="847"/>
      <c r="E3" s="847"/>
      <c r="F3" s="847"/>
      <c r="G3" s="847"/>
      <c r="H3" s="847"/>
      <c r="I3" s="847"/>
    </row>
    <row r="5" spans="1:14" ht="22" customHeight="1" x14ac:dyDescent="0.2">
      <c r="A5" s="620" t="s">
        <v>56</v>
      </c>
      <c r="B5" s="620" t="s">
        <v>57</v>
      </c>
      <c r="C5" s="619" t="s">
        <v>58</v>
      </c>
      <c r="D5" s="619" t="s">
        <v>54</v>
      </c>
      <c r="E5" s="619" t="s">
        <v>59</v>
      </c>
      <c r="F5" s="619" t="s">
        <v>60</v>
      </c>
      <c r="G5" s="619" t="s">
        <v>61</v>
      </c>
      <c r="H5" s="619" t="s">
        <v>62</v>
      </c>
      <c r="I5" s="620" t="s">
        <v>63</v>
      </c>
    </row>
    <row r="6" spans="1:14" x14ac:dyDescent="0.2">
      <c r="F6" s="630"/>
    </row>
    <row r="7" spans="1:14" ht="22" customHeight="1" x14ac:dyDescent="0.2">
      <c r="A7" s="848" t="s">
        <v>64</v>
      </c>
      <c r="B7" s="848"/>
      <c r="C7" s="848"/>
      <c r="D7" s="848"/>
      <c r="E7" s="848"/>
      <c r="F7" s="848"/>
      <c r="G7" s="848"/>
      <c r="H7" s="848"/>
      <c r="I7" s="848"/>
    </row>
    <row r="8" spans="1:14" x14ac:dyDescent="0.2">
      <c r="A8" s="262" t="s">
        <v>65</v>
      </c>
      <c r="B8" s="473" t="s">
        <v>66</v>
      </c>
      <c r="C8" s="655">
        <v>1.5</v>
      </c>
      <c r="D8" s="655">
        <v>1.3</v>
      </c>
      <c r="E8" s="655">
        <v>1.1000000000000001</v>
      </c>
      <c r="F8" s="631">
        <f t="shared" ref="F8:F28" si="0">IF($B$3="Bear",C8,IF($B$3="Bull",E8,D8))</f>
        <v>1.3</v>
      </c>
      <c r="G8" s="656" t="s">
        <v>67</v>
      </c>
      <c r="H8" s="656" t="s">
        <v>68</v>
      </c>
      <c r="I8" s="657" t="s">
        <v>69</v>
      </c>
    </row>
    <row r="9" spans="1:14" x14ac:dyDescent="0.2">
      <c r="A9" s="3" t="s">
        <v>70</v>
      </c>
      <c r="B9" s="18" t="s">
        <v>71</v>
      </c>
      <c r="C9" s="15">
        <v>2.2999999999999998</v>
      </c>
      <c r="D9" s="15">
        <v>2.5</v>
      </c>
      <c r="E9" s="15">
        <v>2.7</v>
      </c>
      <c r="F9" s="631">
        <f t="shared" si="0"/>
        <v>2.5</v>
      </c>
      <c r="G9" s="621" t="s">
        <v>72</v>
      </c>
      <c r="H9" s="621" t="s">
        <v>73</v>
      </c>
      <c r="I9" s="453" t="s">
        <v>74</v>
      </c>
    </row>
    <row r="10" spans="1:14" x14ac:dyDescent="0.2">
      <c r="A10" s="262" t="s">
        <v>75</v>
      </c>
      <c r="B10" s="473" t="s">
        <v>76</v>
      </c>
      <c r="C10" s="655">
        <f>(C8+C9)/2</f>
        <v>1.9</v>
      </c>
      <c r="D10" s="655">
        <f>(D8+D9)/2</f>
        <v>1.9</v>
      </c>
      <c r="E10" s="655">
        <f>(E8+E9)/2</f>
        <v>1.9000000000000001</v>
      </c>
      <c r="F10" s="631">
        <f t="shared" si="0"/>
        <v>1.9</v>
      </c>
      <c r="G10" s="656" t="s">
        <v>77</v>
      </c>
      <c r="H10" s="656" t="s">
        <v>73</v>
      </c>
      <c r="I10" s="657" t="s">
        <v>78</v>
      </c>
    </row>
    <row r="11" spans="1:14" ht="26" x14ac:dyDescent="0.2">
      <c r="A11" s="3" t="s">
        <v>79</v>
      </c>
      <c r="B11" s="18" t="s">
        <v>80</v>
      </c>
      <c r="C11" s="58">
        <v>270</v>
      </c>
      <c r="D11" s="58">
        <v>305</v>
      </c>
      <c r="E11" s="58">
        <v>340</v>
      </c>
      <c r="F11" s="632">
        <f t="shared" si="0"/>
        <v>305</v>
      </c>
      <c r="G11" s="621" t="s">
        <v>67</v>
      </c>
      <c r="H11" s="621" t="s">
        <v>73</v>
      </c>
      <c r="I11" s="453" t="s">
        <v>81</v>
      </c>
    </row>
    <row r="12" spans="1:14" ht="26" x14ac:dyDescent="0.2">
      <c r="A12" s="262" t="s">
        <v>82</v>
      </c>
      <c r="B12" s="473" t="s">
        <v>83</v>
      </c>
      <c r="C12" s="658">
        <f>C10*C11</f>
        <v>513</v>
      </c>
      <c r="D12" s="658">
        <f>D10*D11</f>
        <v>579.5</v>
      </c>
      <c r="E12" s="658">
        <f>E10*E11</f>
        <v>646</v>
      </c>
      <c r="F12" s="632">
        <f t="shared" si="0"/>
        <v>579.5</v>
      </c>
      <c r="G12" s="656" t="s">
        <v>77</v>
      </c>
      <c r="H12" s="656" t="s">
        <v>73</v>
      </c>
      <c r="I12" s="657" t="s">
        <v>84</v>
      </c>
    </row>
    <row r="13" spans="1:14" x14ac:dyDescent="0.2">
      <c r="A13" s="3" t="s">
        <v>85</v>
      </c>
      <c r="B13" s="18" t="s">
        <v>86</v>
      </c>
      <c r="C13" s="58">
        <v>1100</v>
      </c>
      <c r="D13" s="58">
        <v>1100</v>
      </c>
      <c r="E13" s="58">
        <v>1100</v>
      </c>
      <c r="F13" s="632">
        <f t="shared" si="0"/>
        <v>1100</v>
      </c>
      <c r="G13" s="621" t="s">
        <v>72</v>
      </c>
      <c r="H13" s="621" t="s">
        <v>87</v>
      </c>
      <c r="I13" s="453" t="s">
        <v>88</v>
      </c>
    </row>
    <row r="14" spans="1:14" x14ac:dyDescent="0.2">
      <c r="A14" s="262" t="s">
        <v>89</v>
      </c>
      <c r="B14" s="473" t="s">
        <v>90</v>
      </c>
      <c r="C14" s="659">
        <v>0.8</v>
      </c>
      <c r="D14" s="659">
        <v>0.85</v>
      </c>
      <c r="E14" s="659">
        <v>0.88</v>
      </c>
      <c r="F14" s="633">
        <f t="shared" si="0"/>
        <v>0.85</v>
      </c>
      <c r="G14" s="656" t="s">
        <v>91</v>
      </c>
      <c r="H14" s="656" t="s">
        <v>68</v>
      </c>
      <c r="I14" s="657" t="s">
        <v>92</v>
      </c>
    </row>
    <row r="15" spans="1:14" x14ac:dyDescent="0.2">
      <c r="A15" s="3" t="s">
        <v>93</v>
      </c>
      <c r="B15" s="18" t="s">
        <v>94</v>
      </c>
      <c r="C15" s="16">
        <v>1.03</v>
      </c>
      <c r="D15" s="16">
        <v>1.03</v>
      </c>
      <c r="E15" s="16">
        <v>1.03</v>
      </c>
      <c r="F15" s="633">
        <f t="shared" si="0"/>
        <v>1.03</v>
      </c>
      <c r="G15" s="621" t="s">
        <v>72</v>
      </c>
      <c r="H15" s="621" t="s">
        <v>87</v>
      </c>
      <c r="I15" s="453" t="s">
        <v>95</v>
      </c>
    </row>
    <row r="16" spans="1:14" x14ac:dyDescent="0.2">
      <c r="A16" s="262" t="s">
        <v>96</v>
      </c>
      <c r="B16" s="473" t="s">
        <v>97</v>
      </c>
      <c r="C16" s="659">
        <v>0.5</v>
      </c>
      <c r="D16" s="659">
        <v>0.7</v>
      </c>
      <c r="E16" s="659">
        <v>0.9</v>
      </c>
      <c r="F16" s="633">
        <f t="shared" si="0"/>
        <v>0.7</v>
      </c>
      <c r="G16" s="656" t="s">
        <v>67</v>
      </c>
      <c r="H16" s="656" t="s">
        <v>73</v>
      </c>
      <c r="I16" s="657" t="s">
        <v>98</v>
      </c>
    </row>
    <row r="17" spans="1:9" x14ac:dyDescent="0.2">
      <c r="A17" s="3" t="s">
        <v>99</v>
      </c>
      <c r="B17" s="18" t="s">
        <v>100</v>
      </c>
      <c r="C17" s="16">
        <v>0.15</v>
      </c>
      <c r="D17" s="16">
        <v>0.25</v>
      </c>
      <c r="E17" s="16">
        <v>0.4</v>
      </c>
      <c r="F17" s="633">
        <f t="shared" si="0"/>
        <v>0.25</v>
      </c>
      <c r="G17" s="621" t="s">
        <v>67</v>
      </c>
      <c r="H17" s="621" t="s">
        <v>73</v>
      </c>
      <c r="I17" s="453" t="s">
        <v>101</v>
      </c>
    </row>
    <row r="18" spans="1:9" x14ac:dyDescent="0.2">
      <c r="A18" s="262" t="s">
        <v>102</v>
      </c>
      <c r="B18" s="473" t="s">
        <v>103</v>
      </c>
      <c r="C18" s="659">
        <v>0.05</v>
      </c>
      <c r="D18" s="659">
        <v>0.12</v>
      </c>
      <c r="E18" s="659">
        <v>0.2</v>
      </c>
      <c r="F18" s="633">
        <f t="shared" si="0"/>
        <v>0.12</v>
      </c>
      <c r="G18" s="656" t="s">
        <v>67</v>
      </c>
      <c r="H18" s="656" t="s">
        <v>68</v>
      </c>
      <c r="I18" s="657" t="s">
        <v>104</v>
      </c>
    </row>
    <row r="19" spans="1:9" x14ac:dyDescent="0.2">
      <c r="A19" s="60" t="s">
        <v>105</v>
      </c>
      <c r="B19" s="61" t="s">
        <v>106</v>
      </c>
      <c r="C19" s="20">
        <v>0.3</v>
      </c>
      <c r="D19" s="20">
        <v>0.22</v>
      </c>
      <c r="E19" s="20">
        <v>0.15</v>
      </c>
      <c r="F19" s="633">
        <f t="shared" si="0"/>
        <v>0.22</v>
      </c>
      <c r="G19" s="622" t="s">
        <v>67</v>
      </c>
      <c r="H19" s="62" t="s">
        <v>73</v>
      </c>
      <c r="I19" s="649" t="s">
        <v>107</v>
      </c>
    </row>
    <row r="20" spans="1:9" x14ac:dyDescent="0.2">
      <c r="A20" s="262" t="s">
        <v>108</v>
      </c>
      <c r="B20" s="473" t="s">
        <v>109</v>
      </c>
      <c r="C20" s="659">
        <v>0.18</v>
      </c>
      <c r="D20" s="659">
        <v>0.14000000000000001</v>
      </c>
      <c r="E20" s="659">
        <v>0.1</v>
      </c>
      <c r="F20" s="633">
        <f t="shared" si="0"/>
        <v>0.14000000000000001</v>
      </c>
      <c r="G20" s="656" t="s">
        <v>67</v>
      </c>
      <c r="H20" s="660" t="s">
        <v>73</v>
      </c>
      <c r="I20" s="657" t="s">
        <v>110</v>
      </c>
    </row>
    <row r="21" spans="1:9" x14ac:dyDescent="0.2">
      <c r="A21" s="60" t="s">
        <v>111</v>
      </c>
      <c r="B21" s="61" t="s">
        <v>112</v>
      </c>
      <c r="C21" s="20">
        <v>0.12</v>
      </c>
      <c r="D21" s="20">
        <v>0.08</v>
      </c>
      <c r="E21" s="20">
        <v>0.05</v>
      </c>
      <c r="F21" s="633">
        <f t="shared" si="0"/>
        <v>0.08</v>
      </c>
      <c r="G21" s="622" t="s">
        <v>67</v>
      </c>
      <c r="H21" s="62" t="s">
        <v>73</v>
      </c>
      <c r="I21" s="649" t="s">
        <v>113</v>
      </c>
    </row>
    <row r="22" spans="1:9" ht="22" customHeight="1" x14ac:dyDescent="0.2">
      <c r="A22" s="928" t="s">
        <v>114</v>
      </c>
      <c r="B22" s="3"/>
      <c r="C22" s="3"/>
      <c r="D22" s="3"/>
      <c r="E22" s="3"/>
      <c r="F22" s="3"/>
      <c r="G22" s="3"/>
      <c r="H22" s="3"/>
      <c r="I22" s="742"/>
    </row>
    <row r="23" spans="1:9" x14ac:dyDescent="0.2">
      <c r="A23" s="3" t="s">
        <v>115</v>
      </c>
      <c r="B23" s="18" t="s">
        <v>116</v>
      </c>
      <c r="C23" s="16">
        <v>0.12</v>
      </c>
      <c r="D23" s="16">
        <v>0.18</v>
      </c>
      <c r="E23" s="16">
        <v>0.25</v>
      </c>
      <c r="F23" s="633">
        <f t="shared" si="0"/>
        <v>0.18</v>
      </c>
      <c r="G23" s="621" t="s">
        <v>91</v>
      </c>
      <c r="H23" s="621" t="s">
        <v>117</v>
      </c>
      <c r="I23" s="453" t="s">
        <v>118</v>
      </c>
    </row>
    <row r="24" spans="1:9" ht="26" x14ac:dyDescent="0.2">
      <c r="A24" s="60" t="s">
        <v>119</v>
      </c>
      <c r="B24" s="61" t="s">
        <v>120</v>
      </c>
      <c r="C24" s="20">
        <v>0.03</v>
      </c>
      <c r="D24" s="20">
        <v>0.1</v>
      </c>
      <c r="E24" s="20">
        <v>0.25</v>
      </c>
      <c r="F24" s="633">
        <f t="shared" si="0"/>
        <v>0.1</v>
      </c>
      <c r="G24" s="622" t="s">
        <v>67</v>
      </c>
      <c r="H24" s="62" t="s">
        <v>73</v>
      </c>
      <c r="I24" s="649" t="s">
        <v>121</v>
      </c>
    </row>
    <row r="25" spans="1:9" x14ac:dyDescent="0.2">
      <c r="A25" s="60" t="s">
        <v>122</v>
      </c>
      <c r="B25" s="61" t="s">
        <v>123</v>
      </c>
      <c r="C25" s="63">
        <v>250</v>
      </c>
      <c r="D25" s="63">
        <v>300</v>
      </c>
      <c r="E25" s="63">
        <v>350</v>
      </c>
      <c r="F25" s="632">
        <f t="shared" si="0"/>
        <v>300</v>
      </c>
      <c r="G25" s="622" t="s">
        <v>67</v>
      </c>
      <c r="H25" s="62" t="s">
        <v>68</v>
      </c>
      <c r="I25" s="649" t="s">
        <v>124</v>
      </c>
    </row>
    <row r="26" spans="1:9" x14ac:dyDescent="0.2">
      <c r="A26" s="3" t="s">
        <v>125</v>
      </c>
      <c r="B26" s="18" t="s">
        <v>126</v>
      </c>
      <c r="C26" s="16">
        <v>0.02</v>
      </c>
      <c r="D26" s="16">
        <v>0.03</v>
      </c>
      <c r="E26" s="16">
        <v>0.04</v>
      </c>
      <c r="F26" s="633">
        <f t="shared" si="0"/>
        <v>0.03</v>
      </c>
      <c r="G26" s="621" t="s">
        <v>67</v>
      </c>
      <c r="H26" s="621" t="s">
        <v>117</v>
      </c>
      <c r="I26" s="453" t="s">
        <v>127</v>
      </c>
    </row>
    <row r="27" spans="1:9" ht="26" x14ac:dyDescent="0.2">
      <c r="A27" s="60" t="s">
        <v>128</v>
      </c>
      <c r="B27" s="61" t="s">
        <v>129</v>
      </c>
      <c r="C27" s="21">
        <v>1.5</v>
      </c>
      <c r="D27" s="21">
        <v>1.9</v>
      </c>
      <c r="E27" s="21">
        <v>2.2999999999999998</v>
      </c>
      <c r="F27" s="631">
        <f t="shared" si="0"/>
        <v>1.9</v>
      </c>
      <c r="G27" s="622" t="s">
        <v>67</v>
      </c>
      <c r="H27" s="62" t="s">
        <v>73</v>
      </c>
      <c r="I27" s="649" t="s">
        <v>130</v>
      </c>
    </row>
    <row r="28" spans="1:9" x14ac:dyDescent="0.2">
      <c r="A28" s="3" t="s">
        <v>131</v>
      </c>
      <c r="B28" s="18" t="s">
        <v>132</v>
      </c>
      <c r="C28" s="16">
        <v>-0.1</v>
      </c>
      <c r="D28" s="16">
        <v>-0.08</v>
      </c>
      <c r="E28" s="16">
        <v>-0.05</v>
      </c>
      <c r="F28" s="633">
        <f t="shared" si="0"/>
        <v>-0.08</v>
      </c>
      <c r="G28" s="621" t="s">
        <v>67</v>
      </c>
      <c r="H28" s="621" t="s">
        <v>117</v>
      </c>
      <c r="I28" s="453" t="s">
        <v>133</v>
      </c>
    </row>
    <row r="29" spans="1:9" x14ac:dyDescent="0.2">
      <c r="A29" s="28"/>
      <c r="B29" s="28"/>
      <c r="C29" s="652"/>
      <c r="D29" s="652"/>
      <c r="E29" s="652"/>
      <c r="F29" s="634"/>
      <c r="G29" s="28"/>
      <c r="H29" s="28"/>
      <c r="I29" s="415"/>
    </row>
    <row r="30" spans="1:9" ht="22" customHeight="1" x14ac:dyDescent="0.2">
      <c r="A30" s="848" t="s">
        <v>134</v>
      </c>
      <c r="B30" s="859"/>
      <c r="C30" s="859"/>
      <c r="D30" s="859"/>
      <c r="E30" s="859"/>
      <c r="F30" s="859"/>
      <c r="G30" s="859"/>
      <c r="H30" s="859"/>
      <c r="I30" s="859"/>
    </row>
    <row r="31" spans="1:9" x14ac:dyDescent="0.2">
      <c r="A31" s="60" t="s">
        <v>135</v>
      </c>
      <c r="B31" s="61" t="s">
        <v>136</v>
      </c>
      <c r="C31" s="63">
        <v>100</v>
      </c>
      <c r="D31" s="63">
        <v>80</v>
      </c>
      <c r="E31" s="63">
        <v>60</v>
      </c>
      <c r="F31" s="632">
        <f t="shared" ref="F31:F52" si="1">IF($B$3="Bear",C31,IF($B$3="Bull",E31,D31))</f>
        <v>80</v>
      </c>
      <c r="G31" s="622" t="s">
        <v>67</v>
      </c>
      <c r="H31" s="62" t="s">
        <v>73</v>
      </c>
      <c r="I31" s="649" t="s">
        <v>137</v>
      </c>
    </row>
    <row r="32" spans="1:9" x14ac:dyDescent="0.2">
      <c r="A32" s="60" t="s">
        <v>138</v>
      </c>
      <c r="B32" s="61" t="s">
        <v>139</v>
      </c>
      <c r="C32" s="63">
        <v>150</v>
      </c>
      <c r="D32" s="63">
        <v>120</v>
      </c>
      <c r="E32" s="63">
        <v>90</v>
      </c>
      <c r="F32" s="632">
        <f t="shared" si="1"/>
        <v>120</v>
      </c>
      <c r="G32" s="622" t="s">
        <v>67</v>
      </c>
      <c r="H32" s="62" t="s">
        <v>73</v>
      </c>
      <c r="I32" s="649" t="s">
        <v>140</v>
      </c>
    </row>
    <row r="33" spans="1:9" x14ac:dyDescent="0.2">
      <c r="A33" s="3" t="s">
        <v>141</v>
      </c>
      <c r="B33" s="18" t="s">
        <v>142</v>
      </c>
      <c r="C33" s="16">
        <v>0.15</v>
      </c>
      <c r="D33" s="16">
        <v>0.1</v>
      </c>
      <c r="E33" s="16">
        <v>0.08</v>
      </c>
      <c r="F33" s="633">
        <f t="shared" si="1"/>
        <v>0.1</v>
      </c>
      <c r="G33" s="621" t="s">
        <v>67</v>
      </c>
      <c r="H33" s="621" t="s">
        <v>68</v>
      </c>
      <c r="I33" s="453" t="s">
        <v>143</v>
      </c>
    </row>
    <row r="34" spans="1:9" x14ac:dyDescent="0.2">
      <c r="A34" s="3" t="s">
        <v>144</v>
      </c>
      <c r="B34" s="18" t="s">
        <v>145</v>
      </c>
      <c r="C34" s="16">
        <v>0.72</v>
      </c>
      <c r="D34" s="16">
        <v>0.78</v>
      </c>
      <c r="E34" s="16">
        <v>0.83</v>
      </c>
      <c r="F34" s="633">
        <f t="shared" si="1"/>
        <v>0.78</v>
      </c>
      <c r="G34" s="621" t="s">
        <v>67</v>
      </c>
      <c r="H34" s="621" t="s">
        <v>73</v>
      </c>
      <c r="I34" s="453" t="s">
        <v>146</v>
      </c>
    </row>
    <row r="35" spans="1:9" x14ac:dyDescent="0.2">
      <c r="A35" s="3" t="s">
        <v>147</v>
      </c>
      <c r="B35" s="18" t="s">
        <v>148</v>
      </c>
      <c r="C35" s="16">
        <v>-0.1</v>
      </c>
      <c r="D35" s="16">
        <v>-0.02</v>
      </c>
      <c r="E35" s="16">
        <v>0.05</v>
      </c>
      <c r="F35" s="633">
        <f t="shared" si="1"/>
        <v>-0.02</v>
      </c>
      <c r="G35" s="621" t="s">
        <v>67</v>
      </c>
      <c r="H35" s="621" t="s">
        <v>73</v>
      </c>
      <c r="I35" s="453" t="s">
        <v>149</v>
      </c>
    </row>
    <row r="36" spans="1:9" ht="22" customHeight="1" x14ac:dyDescent="0.2">
      <c r="A36" s="3" t="s">
        <v>150</v>
      </c>
      <c r="B36" s="3" t="s">
        <v>151</v>
      </c>
      <c r="C36" s="666">
        <v>0.56000000000000005</v>
      </c>
      <c r="D36" s="666">
        <v>0.6</v>
      </c>
      <c r="E36" s="666">
        <v>0.64</v>
      </c>
      <c r="F36" s="744">
        <f>IF($B$3="Bear",C36,IF($B$3="Bull",E36,D36))</f>
        <v>0.6</v>
      </c>
      <c r="G36" s="3" t="s">
        <v>67</v>
      </c>
      <c r="H36" s="3" t="s">
        <v>68</v>
      </c>
      <c r="I36" s="421" t="s">
        <v>152</v>
      </c>
    </row>
    <row r="37" spans="1:9" x14ac:dyDescent="0.2">
      <c r="A37" s="3" t="s">
        <v>153</v>
      </c>
      <c r="B37" s="18" t="s">
        <v>154</v>
      </c>
      <c r="C37" s="16">
        <v>0.63</v>
      </c>
      <c r="D37" s="16" t="s">
        <v>1586</v>
      </c>
      <c r="E37" s="16">
        <v>0.72</v>
      </c>
      <c r="F37" s="633" t="str">
        <f t="shared" si="1"/>
        <v>a</v>
      </c>
      <c r="G37" s="621" t="s">
        <v>67</v>
      </c>
      <c r="H37" s="621" t="s">
        <v>68</v>
      </c>
      <c r="I37" s="453" t="s">
        <v>155</v>
      </c>
    </row>
    <row r="38" spans="1:9" x14ac:dyDescent="0.2">
      <c r="A38" s="3" t="s">
        <v>156</v>
      </c>
      <c r="B38" s="18" t="s">
        <v>157</v>
      </c>
      <c r="C38" s="16">
        <v>0.72</v>
      </c>
      <c r="D38" s="16">
        <v>0.76</v>
      </c>
      <c r="E38" s="16">
        <v>0.8</v>
      </c>
      <c r="F38" s="633">
        <f t="shared" si="1"/>
        <v>0.76</v>
      </c>
      <c r="G38" s="621" t="s">
        <v>67</v>
      </c>
      <c r="H38" s="621" t="s">
        <v>68</v>
      </c>
      <c r="I38" s="453" t="s">
        <v>158</v>
      </c>
    </row>
    <row r="39" spans="1:9" x14ac:dyDescent="0.2">
      <c r="A39" s="3" t="s">
        <v>159</v>
      </c>
      <c r="B39" s="18" t="s">
        <v>160</v>
      </c>
      <c r="C39" s="16">
        <v>0.25</v>
      </c>
      <c r="D39" s="16">
        <v>0.22</v>
      </c>
      <c r="E39" s="16">
        <v>0.2</v>
      </c>
      <c r="F39" s="633">
        <f t="shared" si="1"/>
        <v>0.22</v>
      </c>
      <c r="G39" s="621" t="s">
        <v>67</v>
      </c>
      <c r="H39" s="621" t="s">
        <v>68</v>
      </c>
      <c r="I39" s="453" t="s">
        <v>161</v>
      </c>
    </row>
    <row r="40" spans="1:9" x14ac:dyDescent="0.2">
      <c r="A40" s="3" t="s">
        <v>162</v>
      </c>
      <c r="B40" s="18" t="s">
        <v>163</v>
      </c>
      <c r="C40" s="16">
        <v>0.12</v>
      </c>
      <c r="D40" s="16">
        <v>0.15</v>
      </c>
      <c r="E40" s="16">
        <v>0.18</v>
      </c>
      <c r="F40" s="633">
        <f t="shared" si="1"/>
        <v>0.15</v>
      </c>
      <c r="G40" s="621" t="s">
        <v>67</v>
      </c>
      <c r="H40" s="621" t="s">
        <v>117</v>
      </c>
      <c r="I40" s="453" t="s">
        <v>164</v>
      </c>
    </row>
    <row r="41" spans="1:9" x14ac:dyDescent="0.2">
      <c r="A41" s="3" t="s">
        <v>165</v>
      </c>
      <c r="B41" s="18" t="s">
        <v>166</v>
      </c>
      <c r="C41" s="16">
        <v>0.35</v>
      </c>
      <c r="D41" s="16">
        <v>0.3</v>
      </c>
      <c r="E41" s="16">
        <v>0.25</v>
      </c>
      <c r="F41" s="633">
        <f t="shared" si="1"/>
        <v>0.3</v>
      </c>
      <c r="G41" s="621" t="s">
        <v>67</v>
      </c>
      <c r="H41" s="621" t="s">
        <v>73</v>
      </c>
      <c r="I41" s="453" t="s">
        <v>167</v>
      </c>
    </row>
    <row r="42" spans="1:9" x14ac:dyDescent="0.2">
      <c r="A42" s="60" t="s">
        <v>168</v>
      </c>
      <c r="B42" s="61" t="s">
        <v>169</v>
      </c>
      <c r="C42" s="63">
        <v>220</v>
      </c>
      <c r="D42" s="63">
        <v>175</v>
      </c>
      <c r="E42" s="63">
        <v>130</v>
      </c>
      <c r="F42" s="632">
        <f t="shared" si="1"/>
        <v>175</v>
      </c>
      <c r="G42" s="622" t="s">
        <v>67</v>
      </c>
      <c r="H42" s="62" t="s">
        <v>73</v>
      </c>
      <c r="I42" s="649" t="s">
        <v>170</v>
      </c>
    </row>
    <row r="43" spans="1:9" x14ac:dyDescent="0.2">
      <c r="A43" s="60" t="s">
        <v>171</v>
      </c>
      <c r="B43" s="61" t="s">
        <v>172</v>
      </c>
      <c r="C43" s="63">
        <v>100</v>
      </c>
      <c r="D43" s="63">
        <v>60</v>
      </c>
      <c r="E43" s="63">
        <v>30</v>
      </c>
      <c r="F43" s="632">
        <f t="shared" si="1"/>
        <v>60</v>
      </c>
      <c r="G43" s="622" t="s">
        <v>67</v>
      </c>
      <c r="H43" s="62" t="s">
        <v>68</v>
      </c>
      <c r="I43" s="649" t="s">
        <v>173</v>
      </c>
    </row>
    <row r="44" spans="1:9" x14ac:dyDescent="0.2">
      <c r="A44" s="3" t="s">
        <v>174</v>
      </c>
      <c r="B44" s="18" t="s">
        <v>175</v>
      </c>
      <c r="C44" s="16">
        <v>0.2</v>
      </c>
      <c r="D44" s="16">
        <v>0.17</v>
      </c>
      <c r="E44" s="16">
        <v>0.15</v>
      </c>
      <c r="F44" s="633">
        <f t="shared" si="1"/>
        <v>0.17</v>
      </c>
      <c r="G44" s="621" t="s">
        <v>67</v>
      </c>
      <c r="H44" s="621" t="s">
        <v>68</v>
      </c>
      <c r="I44" s="453" t="s">
        <v>176</v>
      </c>
    </row>
    <row r="45" spans="1:9" x14ac:dyDescent="0.2">
      <c r="A45" s="3" t="s">
        <v>177</v>
      </c>
      <c r="B45" s="18" t="s">
        <v>178</v>
      </c>
      <c r="C45" s="16">
        <v>0.18</v>
      </c>
      <c r="D45" s="16">
        <v>0.15</v>
      </c>
      <c r="E45" s="16">
        <v>0.12</v>
      </c>
      <c r="F45" s="633">
        <f t="shared" si="1"/>
        <v>0.15</v>
      </c>
      <c r="G45" s="621" t="s">
        <v>67</v>
      </c>
      <c r="H45" s="621" t="s">
        <v>117</v>
      </c>
      <c r="I45" s="453" t="s">
        <v>179</v>
      </c>
    </row>
    <row r="46" spans="1:9" x14ac:dyDescent="0.2">
      <c r="A46" s="3" t="s">
        <v>180</v>
      </c>
      <c r="B46" s="18" t="s">
        <v>181</v>
      </c>
      <c r="C46" s="16">
        <v>0.13</v>
      </c>
      <c r="D46" s="16">
        <v>0.11</v>
      </c>
      <c r="E46" s="16">
        <v>0.09</v>
      </c>
      <c r="F46" s="633">
        <f t="shared" si="1"/>
        <v>0.11</v>
      </c>
      <c r="G46" s="621" t="s">
        <v>67</v>
      </c>
      <c r="H46" s="621" t="s">
        <v>117</v>
      </c>
      <c r="I46" s="453" t="s">
        <v>164</v>
      </c>
    </row>
    <row r="47" spans="1:9" x14ac:dyDescent="0.2">
      <c r="A47" s="3" t="s">
        <v>182</v>
      </c>
      <c r="B47" s="18" t="s">
        <v>183</v>
      </c>
      <c r="C47" s="16">
        <v>0.16</v>
      </c>
      <c r="D47" s="16">
        <v>0.14000000000000001</v>
      </c>
      <c r="E47" s="16">
        <v>0.12</v>
      </c>
      <c r="F47" s="633">
        <f t="shared" si="1"/>
        <v>0.14000000000000001</v>
      </c>
      <c r="G47" s="621" t="s">
        <v>67</v>
      </c>
      <c r="H47" s="621" t="s">
        <v>68</v>
      </c>
      <c r="I47" s="453" t="s">
        <v>184</v>
      </c>
    </row>
    <row r="48" spans="1:9" ht="26" x14ac:dyDescent="0.2">
      <c r="A48" s="3" t="s">
        <v>185</v>
      </c>
      <c r="B48" s="18" t="s">
        <v>186</v>
      </c>
      <c r="C48" s="16">
        <v>0.1</v>
      </c>
      <c r="D48" s="16">
        <v>0.08</v>
      </c>
      <c r="E48" s="16">
        <v>0.06</v>
      </c>
      <c r="F48" s="633">
        <f>IF($B$3="Bear",C48,IF($B$3="Bull",E48,D48))</f>
        <v>0.08</v>
      </c>
      <c r="G48" s="621" t="s">
        <v>67</v>
      </c>
      <c r="H48" s="621" t="s">
        <v>68</v>
      </c>
      <c r="I48" s="453" t="s">
        <v>187</v>
      </c>
    </row>
    <row r="49" spans="1:9" x14ac:dyDescent="0.2">
      <c r="A49" s="3" t="s">
        <v>188</v>
      </c>
      <c r="B49" s="18" t="s">
        <v>189</v>
      </c>
      <c r="C49" s="16">
        <v>0.05</v>
      </c>
      <c r="D49" s="16">
        <v>0.04</v>
      </c>
      <c r="E49" s="16">
        <v>0.03</v>
      </c>
      <c r="F49" s="633">
        <f t="shared" si="1"/>
        <v>0.04</v>
      </c>
      <c r="G49" s="621" t="s">
        <v>67</v>
      </c>
      <c r="H49" s="621" t="s">
        <v>117</v>
      </c>
      <c r="I49" s="453" t="s">
        <v>190</v>
      </c>
    </row>
    <row r="50" spans="1:9" x14ac:dyDescent="0.2">
      <c r="A50" s="3" t="s">
        <v>191</v>
      </c>
      <c r="B50" s="18" t="s">
        <v>192</v>
      </c>
      <c r="C50" s="16">
        <v>-0.05</v>
      </c>
      <c r="D50" s="16">
        <v>-0.08</v>
      </c>
      <c r="E50" s="16">
        <v>-0.1</v>
      </c>
      <c r="F50" s="633">
        <f t="shared" si="1"/>
        <v>-0.08</v>
      </c>
      <c r="G50" s="621" t="s">
        <v>67</v>
      </c>
      <c r="H50" s="621" t="s">
        <v>68</v>
      </c>
      <c r="I50" s="453" t="s">
        <v>193</v>
      </c>
    </row>
    <row r="51" spans="1:9" x14ac:dyDescent="0.2">
      <c r="A51" s="3" t="s">
        <v>194</v>
      </c>
      <c r="B51" s="18" t="s">
        <v>195</v>
      </c>
      <c r="C51" s="16">
        <v>0.7</v>
      </c>
      <c r="D51" s="16">
        <v>0.65</v>
      </c>
      <c r="E51" s="16">
        <v>0.6</v>
      </c>
      <c r="F51" s="633">
        <f t="shared" si="1"/>
        <v>0.65</v>
      </c>
      <c r="G51" s="621" t="s">
        <v>67</v>
      </c>
      <c r="H51" s="621" t="s">
        <v>68</v>
      </c>
      <c r="I51" s="453" t="s">
        <v>196</v>
      </c>
    </row>
    <row r="52" spans="1:9" x14ac:dyDescent="0.2">
      <c r="A52" s="3" t="s">
        <v>197</v>
      </c>
      <c r="B52" s="18" t="s">
        <v>198</v>
      </c>
      <c r="C52" s="16">
        <v>0.25</v>
      </c>
      <c r="D52" s="16">
        <v>0.23</v>
      </c>
      <c r="E52" s="16">
        <v>0.21</v>
      </c>
      <c r="F52" s="633">
        <f t="shared" si="1"/>
        <v>0.23</v>
      </c>
      <c r="G52" s="621" t="s">
        <v>91</v>
      </c>
      <c r="H52" s="621" t="s">
        <v>117</v>
      </c>
      <c r="I52" s="453" t="s">
        <v>199</v>
      </c>
    </row>
    <row r="53" spans="1:9" ht="22" customHeight="1" x14ac:dyDescent="0.2">
      <c r="A53" s="741" t="s">
        <v>200</v>
      </c>
      <c r="B53" s="28" t="s">
        <v>201</v>
      </c>
      <c r="C53" s="625">
        <v>4.4999999999999998E-2</v>
      </c>
      <c r="D53" s="625">
        <v>3.5000000000000003E-2</v>
      </c>
      <c r="E53" s="625">
        <v>2.5000000000000001E-2</v>
      </c>
      <c r="F53" s="629">
        <f>IF($B$3="Bear",C53,IF($B$3="Bull",E53,D53))</f>
        <v>3.5000000000000003E-2</v>
      </c>
      <c r="G53" s="28" t="s">
        <v>91</v>
      </c>
      <c r="H53" s="28" t="s">
        <v>117</v>
      </c>
      <c r="I53" s="415" t="s">
        <v>202</v>
      </c>
    </row>
    <row r="54" spans="1:9" ht="22" customHeight="1" x14ac:dyDescent="0.2">
      <c r="A54" s="848" t="s">
        <v>203</v>
      </c>
      <c r="B54" s="859"/>
      <c r="C54" s="859"/>
      <c r="D54" s="859"/>
      <c r="E54" s="859"/>
      <c r="F54" s="859"/>
      <c r="G54" s="859"/>
      <c r="H54" s="859"/>
      <c r="I54" s="859"/>
    </row>
    <row r="55" spans="1:9" x14ac:dyDescent="0.2">
      <c r="A55" s="60" t="s">
        <v>204</v>
      </c>
      <c r="B55" s="61" t="s">
        <v>205</v>
      </c>
      <c r="C55" s="22">
        <v>420</v>
      </c>
      <c r="D55" s="22">
        <v>410</v>
      </c>
      <c r="E55" s="22">
        <v>400</v>
      </c>
      <c r="F55" s="635">
        <f t="shared" ref="F55:F65" si="2">IF($B$3="Bear",C55,IF($B$3="Bull",E55,D55))</f>
        <v>410</v>
      </c>
      <c r="G55" s="622" t="s">
        <v>67</v>
      </c>
      <c r="H55" s="62" t="s">
        <v>73</v>
      </c>
      <c r="I55" s="649" t="s">
        <v>206</v>
      </c>
    </row>
    <row r="56" spans="1:9" x14ac:dyDescent="0.2">
      <c r="A56" s="60" t="s">
        <v>207</v>
      </c>
      <c r="B56" s="61" t="s">
        <v>208</v>
      </c>
      <c r="C56" s="23">
        <v>28</v>
      </c>
      <c r="D56" s="23">
        <v>28</v>
      </c>
      <c r="E56" s="23">
        <v>28</v>
      </c>
      <c r="F56" s="636">
        <f t="shared" si="2"/>
        <v>28</v>
      </c>
      <c r="G56" s="622" t="s">
        <v>91</v>
      </c>
      <c r="H56" s="62" t="s">
        <v>68</v>
      </c>
      <c r="I56" s="649" t="s">
        <v>209</v>
      </c>
    </row>
    <row r="57" spans="1:9" x14ac:dyDescent="0.2">
      <c r="A57" s="3" t="s">
        <v>210</v>
      </c>
      <c r="B57" s="18" t="s">
        <v>211</v>
      </c>
      <c r="C57" s="64" t="s">
        <v>212</v>
      </c>
      <c r="D57" s="64" t="s">
        <v>213</v>
      </c>
      <c r="E57" s="64" t="s">
        <v>213</v>
      </c>
      <c r="F57" s="637" t="str">
        <f t="shared" si="2"/>
        <v>1x non-participating</v>
      </c>
      <c r="G57" s="621" t="s">
        <v>91</v>
      </c>
      <c r="H57" s="621" t="s">
        <v>87</v>
      </c>
      <c r="I57" s="453" t="s">
        <v>214</v>
      </c>
    </row>
    <row r="58" spans="1:9" x14ac:dyDescent="0.2">
      <c r="A58" s="3" t="s">
        <v>215</v>
      </c>
      <c r="B58" s="18" t="s">
        <v>216</v>
      </c>
      <c r="C58" s="58">
        <v>1400</v>
      </c>
      <c r="D58" s="58">
        <v>1400</v>
      </c>
      <c r="E58" s="58">
        <v>1400</v>
      </c>
      <c r="F58" s="632">
        <f t="shared" si="2"/>
        <v>1400</v>
      </c>
      <c r="G58" s="621" t="s">
        <v>91</v>
      </c>
      <c r="H58" s="621" t="s">
        <v>68</v>
      </c>
      <c r="I58" s="453" t="s">
        <v>217</v>
      </c>
    </row>
    <row r="59" spans="1:9" x14ac:dyDescent="0.2">
      <c r="A59" s="60" t="s">
        <v>218</v>
      </c>
      <c r="B59" s="61" t="s">
        <v>219</v>
      </c>
      <c r="C59" s="20">
        <v>0.15</v>
      </c>
      <c r="D59" s="20">
        <v>0.12</v>
      </c>
      <c r="E59" s="20">
        <v>0.1</v>
      </c>
      <c r="F59" s="633">
        <f t="shared" si="2"/>
        <v>0.12</v>
      </c>
      <c r="G59" s="622" t="s">
        <v>67</v>
      </c>
      <c r="H59" s="62" t="s">
        <v>68</v>
      </c>
      <c r="I59" s="649" t="s">
        <v>220</v>
      </c>
    </row>
    <row r="60" spans="1:9" ht="22" customHeight="1" x14ac:dyDescent="0.2">
      <c r="A60" s="3" t="s">
        <v>221</v>
      </c>
      <c r="B60" s="3" t="s">
        <v>222</v>
      </c>
      <c r="C60" s="666">
        <v>0.1</v>
      </c>
      <c r="D60" s="666">
        <v>0.14000000000000001</v>
      </c>
      <c r="E60" s="666">
        <v>0.18</v>
      </c>
      <c r="F60" s="744">
        <f>IF($B$3="Bear",C60,IF($B$3="Bull",E60,D60))</f>
        <v>0.14000000000000001</v>
      </c>
      <c r="G60" s="3" t="s">
        <v>67</v>
      </c>
      <c r="H60" s="3" t="s">
        <v>117</v>
      </c>
      <c r="I60" s="421" t="s">
        <v>223</v>
      </c>
    </row>
    <row r="61" spans="1:9" x14ac:dyDescent="0.2">
      <c r="A61" s="3" t="s">
        <v>224</v>
      </c>
      <c r="B61" s="18" t="s">
        <v>225</v>
      </c>
      <c r="C61" s="16">
        <v>0.3</v>
      </c>
      <c r="D61" s="16">
        <v>0.22</v>
      </c>
      <c r="E61" s="16">
        <v>0.15</v>
      </c>
      <c r="F61" s="633">
        <f t="shared" si="2"/>
        <v>0.22</v>
      </c>
      <c r="G61" s="621" t="s">
        <v>91</v>
      </c>
      <c r="H61" s="621" t="s">
        <v>68</v>
      </c>
      <c r="I61" s="453" t="s">
        <v>226</v>
      </c>
    </row>
    <row r="62" spans="1:9" x14ac:dyDescent="0.2">
      <c r="A62" s="3" t="s">
        <v>227</v>
      </c>
      <c r="B62" s="18" t="s">
        <v>228</v>
      </c>
      <c r="C62" s="58">
        <v>50</v>
      </c>
      <c r="D62" s="58">
        <v>10</v>
      </c>
      <c r="E62" s="58">
        <v>0</v>
      </c>
      <c r="F62" s="632">
        <f t="shared" si="2"/>
        <v>10</v>
      </c>
      <c r="G62" s="621" t="s">
        <v>91</v>
      </c>
      <c r="H62" s="621" t="s">
        <v>229</v>
      </c>
      <c r="I62" s="453" t="s">
        <v>230</v>
      </c>
    </row>
    <row r="63" spans="1:9" x14ac:dyDescent="0.2">
      <c r="A63" s="60" t="s">
        <v>231</v>
      </c>
      <c r="B63" s="61" t="s">
        <v>232</v>
      </c>
      <c r="C63" s="63">
        <v>500</v>
      </c>
      <c r="D63" s="63">
        <v>700</v>
      </c>
      <c r="E63" s="63">
        <v>850</v>
      </c>
      <c r="F63" s="632">
        <f t="shared" si="2"/>
        <v>700</v>
      </c>
      <c r="G63" s="622" t="s">
        <v>67</v>
      </c>
      <c r="H63" s="62" t="s">
        <v>117</v>
      </c>
      <c r="I63" s="649" t="s">
        <v>233</v>
      </c>
    </row>
    <row r="64" spans="1:9" x14ac:dyDescent="0.2">
      <c r="A64" s="3" t="s">
        <v>234</v>
      </c>
      <c r="B64" s="18" t="s">
        <v>235</v>
      </c>
      <c r="C64" s="651">
        <f>C63-C62</f>
        <v>450</v>
      </c>
      <c r="D64" s="651">
        <f>D63-D62</f>
        <v>690</v>
      </c>
      <c r="E64" s="651">
        <f>E63-E62</f>
        <v>850</v>
      </c>
      <c r="F64" s="632">
        <f t="shared" si="2"/>
        <v>690</v>
      </c>
      <c r="G64" s="621" t="s">
        <v>77</v>
      </c>
      <c r="H64" s="621" t="s">
        <v>68</v>
      </c>
      <c r="I64" s="453" t="s">
        <v>236</v>
      </c>
    </row>
    <row r="65" spans="1:9" x14ac:dyDescent="0.2">
      <c r="A65" s="60" t="s">
        <v>237</v>
      </c>
      <c r="B65" s="61" t="s">
        <v>238</v>
      </c>
      <c r="C65" s="66" t="s">
        <v>239</v>
      </c>
      <c r="D65" s="66" t="s">
        <v>240</v>
      </c>
      <c r="E65" s="66" t="s">
        <v>241</v>
      </c>
      <c r="F65" s="637" t="str">
        <f t="shared" si="2"/>
        <v>Likely extinguished</v>
      </c>
      <c r="G65" s="622" t="s">
        <v>67</v>
      </c>
      <c r="H65" s="62" t="s">
        <v>68</v>
      </c>
      <c r="I65" s="649" t="s">
        <v>242</v>
      </c>
    </row>
    <row r="66" spans="1:9" ht="22" customHeight="1" x14ac:dyDescent="0.2">
      <c r="A66" s="3" t="s">
        <v>243</v>
      </c>
      <c r="B66" s="3"/>
      <c r="C66" s="3"/>
      <c r="D66" s="3"/>
      <c r="E66" s="3"/>
      <c r="F66" s="3"/>
      <c r="G66" s="3"/>
      <c r="H66" s="3"/>
      <c r="I66" s="742"/>
    </row>
    <row r="67" spans="1:9" x14ac:dyDescent="0.2">
      <c r="A67" s="28" t="s">
        <v>244</v>
      </c>
      <c r="B67" s="28" t="s">
        <v>245</v>
      </c>
      <c r="C67" s="29">
        <v>2.5000000000000001E-2</v>
      </c>
      <c r="D67" s="29">
        <v>3.5000000000000003E-2</v>
      </c>
      <c r="E67" s="29">
        <v>4.4999999999999998E-2</v>
      </c>
      <c r="F67" s="638">
        <f>IF($B$3="Bear",C67,IF($B$3="Bull",E67,D67))</f>
        <v>3.5000000000000003E-2</v>
      </c>
      <c r="G67" s="28" t="s">
        <v>91</v>
      </c>
      <c r="H67" s="28" t="s">
        <v>117</v>
      </c>
      <c r="I67" s="415" t="s">
        <v>246</v>
      </c>
    </row>
    <row r="68" spans="1:9" ht="22" customHeight="1" x14ac:dyDescent="0.2">
      <c r="A68" s="848" t="s">
        <v>247</v>
      </c>
      <c r="B68" s="859"/>
      <c r="C68" s="859"/>
      <c r="D68" s="859"/>
      <c r="E68" s="859"/>
      <c r="F68" s="859"/>
      <c r="G68" s="859"/>
      <c r="H68" s="859"/>
      <c r="I68" s="859"/>
    </row>
    <row r="69" spans="1:9" x14ac:dyDescent="0.2">
      <c r="A69" s="3" t="s">
        <v>248</v>
      </c>
      <c r="B69" s="18" t="s">
        <v>249</v>
      </c>
      <c r="C69" s="24">
        <v>4.2999999999999997E-2</v>
      </c>
      <c r="D69" s="24">
        <v>4.2999999999999997E-2</v>
      </c>
      <c r="E69" s="24">
        <v>4.2999999999999997E-2</v>
      </c>
      <c r="F69" s="639">
        <f t="shared" ref="F69:F74" si="3">IF($B$3="Bear",C69,IF($B$3="Bull",E69,D69))</f>
        <v>4.2999999999999997E-2</v>
      </c>
      <c r="G69" s="621" t="s">
        <v>72</v>
      </c>
      <c r="H69" s="621" t="s">
        <v>87</v>
      </c>
      <c r="I69" s="453" t="s">
        <v>250</v>
      </c>
    </row>
    <row r="70" spans="1:9" x14ac:dyDescent="0.2">
      <c r="A70" s="3" t="s">
        <v>251</v>
      </c>
      <c r="B70" s="18" t="s">
        <v>252</v>
      </c>
      <c r="C70" s="24">
        <v>4.4999999999999998E-2</v>
      </c>
      <c r="D70" s="24">
        <v>4.4999999999999998E-2</v>
      </c>
      <c r="E70" s="24">
        <v>4.4999999999999998E-2</v>
      </c>
      <c r="F70" s="639">
        <f t="shared" si="3"/>
        <v>4.4999999999999998E-2</v>
      </c>
      <c r="G70" s="621" t="s">
        <v>72</v>
      </c>
      <c r="H70" s="621" t="s">
        <v>253</v>
      </c>
      <c r="I70" s="453" t="s">
        <v>254</v>
      </c>
    </row>
    <row r="71" spans="1:9" x14ac:dyDescent="0.2">
      <c r="A71" s="3" t="s">
        <v>255</v>
      </c>
      <c r="B71" s="18" t="s">
        <v>256</v>
      </c>
      <c r="C71" s="15">
        <v>0.85</v>
      </c>
      <c r="D71" s="15">
        <v>0.83</v>
      </c>
      <c r="E71" s="15">
        <v>0.81</v>
      </c>
      <c r="F71" s="631">
        <f t="shared" si="3"/>
        <v>0.83</v>
      </c>
      <c r="G71" s="621" t="s">
        <v>72</v>
      </c>
      <c r="H71" s="621" t="s">
        <v>257</v>
      </c>
      <c r="I71" s="453" t="s">
        <v>258</v>
      </c>
    </row>
    <row r="72" spans="1:9" x14ac:dyDescent="0.2">
      <c r="A72" s="3" t="s">
        <v>259</v>
      </c>
      <c r="B72" s="18" t="s">
        <v>260</v>
      </c>
      <c r="C72" s="24">
        <v>8.0999999999999996E-3</v>
      </c>
      <c r="D72" s="24">
        <v>8.0999999999999996E-3</v>
      </c>
      <c r="E72" s="24">
        <v>8.0999999999999996E-3</v>
      </c>
      <c r="F72" s="639">
        <f t="shared" si="3"/>
        <v>8.0999999999999996E-3</v>
      </c>
      <c r="G72" s="621" t="s">
        <v>91</v>
      </c>
      <c r="H72" s="621" t="s">
        <v>253</v>
      </c>
      <c r="I72" s="453" t="s">
        <v>261</v>
      </c>
    </row>
    <row r="73" spans="1:9" x14ac:dyDescent="0.2">
      <c r="A73" s="3" t="s">
        <v>262</v>
      </c>
      <c r="B73" s="18" t="s">
        <v>263</v>
      </c>
      <c r="C73" s="24">
        <v>0.03</v>
      </c>
      <c r="D73" s="24">
        <v>0.02</v>
      </c>
      <c r="E73" s="24">
        <v>0.01</v>
      </c>
      <c r="F73" s="639">
        <f t="shared" si="3"/>
        <v>0.02</v>
      </c>
      <c r="G73" s="621" t="s">
        <v>67</v>
      </c>
      <c r="H73" s="621" t="s">
        <v>257</v>
      </c>
      <c r="I73" s="453" t="s">
        <v>264</v>
      </c>
    </row>
    <row r="74" spans="1:9" x14ac:dyDescent="0.2">
      <c r="A74" s="3" t="s">
        <v>265</v>
      </c>
      <c r="B74" s="18" t="s">
        <v>266</v>
      </c>
      <c r="C74" s="653">
        <f>C69+C70*C71+C72+C73</f>
        <v>0.11934999999999998</v>
      </c>
      <c r="D74" s="653">
        <f>D69+D70*D71+D72+D73</f>
        <v>0.10844999999999999</v>
      </c>
      <c r="E74" s="653">
        <f>E69+E70*E71+E72+E73</f>
        <v>9.7549999999999984E-2</v>
      </c>
      <c r="F74" s="639">
        <f t="shared" si="3"/>
        <v>0.10844999999999999</v>
      </c>
      <c r="G74" s="621" t="s">
        <v>77</v>
      </c>
      <c r="H74" s="621" t="s">
        <v>73</v>
      </c>
      <c r="I74" s="453"/>
    </row>
    <row r="75" spans="1:9" x14ac:dyDescent="0.2">
      <c r="A75" s="28"/>
      <c r="B75" s="28"/>
      <c r="C75" s="652"/>
      <c r="D75" s="652"/>
      <c r="E75" s="652"/>
      <c r="F75" s="634"/>
      <c r="G75" s="28"/>
      <c r="H75" s="28"/>
      <c r="I75" s="415"/>
    </row>
    <row r="76" spans="1:9" ht="22" customHeight="1" x14ac:dyDescent="0.2">
      <c r="A76" s="848" t="s">
        <v>267</v>
      </c>
      <c r="B76" s="849"/>
      <c r="C76" s="849"/>
      <c r="D76" s="849"/>
      <c r="E76" s="849"/>
      <c r="F76" s="849"/>
      <c r="G76" s="849"/>
      <c r="H76" s="849"/>
      <c r="I76" s="849"/>
    </row>
    <row r="77" spans="1:9" x14ac:dyDescent="0.2">
      <c r="A77" s="3" t="s">
        <v>268</v>
      </c>
      <c r="B77" s="18" t="s">
        <v>269</v>
      </c>
      <c r="C77" s="64" t="s">
        <v>270</v>
      </c>
      <c r="D77" s="64" t="s">
        <v>270</v>
      </c>
      <c r="E77" s="64" t="s">
        <v>270</v>
      </c>
      <c r="F77" s="637" t="str">
        <f>IF($B$3="Bear",C77,IF($B$3="Bull",E77,D77))</f>
        <v>Exit Multiple</v>
      </c>
      <c r="G77" s="621" t="s">
        <v>271</v>
      </c>
      <c r="H77" s="621" t="s">
        <v>87</v>
      </c>
      <c r="I77" s="453" t="s">
        <v>272</v>
      </c>
    </row>
    <row r="78" spans="1:9" x14ac:dyDescent="0.2">
      <c r="A78" s="3" t="s">
        <v>273</v>
      </c>
      <c r="B78" s="18" t="s">
        <v>274</v>
      </c>
      <c r="C78" s="25">
        <v>3</v>
      </c>
      <c r="D78" s="25">
        <v>3.5</v>
      </c>
      <c r="E78" s="25">
        <v>4.5</v>
      </c>
      <c r="F78" s="640">
        <f>IF($B$3="Bear",D78,IF($B$3="Bull",E78,D78))</f>
        <v>3.5</v>
      </c>
      <c r="G78" s="621" t="s">
        <v>67</v>
      </c>
      <c r="H78" s="621" t="s">
        <v>73</v>
      </c>
      <c r="I78" s="453" t="s">
        <v>275</v>
      </c>
    </row>
    <row r="79" spans="1:9" x14ac:dyDescent="0.2">
      <c r="A79" s="3" t="s">
        <v>276</v>
      </c>
      <c r="B79" s="18" t="s">
        <v>277</v>
      </c>
      <c r="C79" s="25">
        <v>12</v>
      </c>
      <c r="D79" s="25">
        <v>15</v>
      </c>
      <c r="E79" s="25">
        <v>18</v>
      </c>
      <c r="F79" s="640">
        <f>IF($B$3="Bear",C79,IF($B$3="Bull",E79,D79))</f>
        <v>15</v>
      </c>
      <c r="G79" s="621" t="s">
        <v>67</v>
      </c>
      <c r="H79" s="621" t="s">
        <v>68</v>
      </c>
      <c r="I79" s="453" t="s">
        <v>278</v>
      </c>
    </row>
    <row r="80" spans="1:9" x14ac:dyDescent="0.2">
      <c r="A80" s="3" t="s">
        <v>279</v>
      </c>
      <c r="B80" s="18" t="s">
        <v>280</v>
      </c>
      <c r="C80" s="16">
        <v>2.5000000000000001E-2</v>
      </c>
      <c r="D80" s="16">
        <v>0.03</v>
      </c>
      <c r="E80" s="16">
        <v>3.5000000000000003E-2</v>
      </c>
      <c r="F80" s="633">
        <f>IF($B$3="Bear",C80,IF($B$3="Bull",E80,D80))</f>
        <v>0.03</v>
      </c>
      <c r="G80" s="621" t="s">
        <v>91</v>
      </c>
      <c r="H80" s="621" t="s">
        <v>73</v>
      </c>
      <c r="I80" s="453" t="s">
        <v>281</v>
      </c>
    </row>
    <row r="81" spans="1:9" x14ac:dyDescent="0.2">
      <c r="A81" s="3" t="s">
        <v>282</v>
      </c>
      <c r="B81" s="18" t="s">
        <v>283</v>
      </c>
      <c r="C81" s="16">
        <v>0.4</v>
      </c>
      <c r="D81" s="16">
        <v>0.5</v>
      </c>
      <c r="E81" s="16">
        <v>0.6</v>
      </c>
      <c r="F81" s="633">
        <f>IF($B$3="Bear",C81,IF($B$3="Bull",E81,D81))</f>
        <v>0.5</v>
      </c>
      <c r="G81" s="621" t="s">
        <v>67</v>
      </c>
      <c r="H81" s="621" t="s">
        <v>68</v>
      </c>
      <c r="I81" s="453" t="s">
        <v>284</v>
      </c>
    </row>
    <row r="82" spans="1:9" ht="22" customHeight="1" x14ac:dyDescent="0.2">
      <c r="A82" s="586"/>
      <c r="B82" s="586"/>
      <c r="C82" s="586"/>
      <c r="D82" s="586"/>
      <c r="E82" s="586"/>
      <c r="F82" s="586"/>
      <c r="G82" s="586"/>
      <c r="H82" s="586"/>
      <c r="I82" s="743"/>
    </row>
    <row r="83" spans="1:9" ht="22" customHeight="1" x14ac:dyDescent="0.2">
      <c r="A83" s="848" t="s">
        <v>285</v>
      </c>
      <c r="B83" s="859"/>
      <c r="C83" s="859"/>
      <c r="D83" s="859"/>
      <c r="E83" s="859"/>
      <c r="F83" s="859"/>
      <c r="G83" s="859"/>
      <c r="H83" s="859"/>
      <c r="I83" s="859"/>
    </row>
    <row r="84" spans="1:9" x14ac:dyDescent="0.2">
      <c r="A84" s="3" t="s">
        <v>286</v>
      </c>
      <c r="B84" s="18" t="s">
        <v>287</v>
      </c>
      <c r="C84" s="16">
        <v>0.4</v>
      </c>
      <c r="D84" s="16">
        <v>0.2</v>
      </c>
      <c r="E84" s="16">
        <v>0.1</v>
      </c>
      <c r="F84" s="633">
        <f>IF($B$3="Bear",C84,IF($B$3="Bull",E84,D84))</f>
        <v>0.2</v>
      </c>
      <c r="G84" s="621" t="s">
        <v>271</v>
      </c>
      <c r="H84" s="621" t="s">
        <v>73</v>
      </c>
      <c r="I84" s="453" t="s">
        <v>288</v>
      </c>
    </row>
    <row r="85" spans="1:9" x14ac:dyDescent="0.2">
      <c r="A85" s="3" t="s">
        <v>289</v>
      </c>
      <c r="B85" s="18" t="s">
        <v>290</v>
      </c>
      <c r="C85" s="16">
        <v>0.4</v>
      </c>
      <c r="D85" s="16">
        <v>0.4</v>
      </c>
      <c r="E85" s="16">
        <v>0.3</v>
      </c>
      <c r="F85" s="633">
        <f>IF($B$3="Bear",C85,IF($B$3="Bull",E85,D85))</f>
        <v>0.4</v>
      </c>
      <c r="G85" s="621" t="s">
        <v>271</v>
      </c>
      <c r="H85" s="621" t="s">
        <v>73</v>
      </c>
      <c r="I85" s="453" t="s">
        <v>291</v>
      </c>
    </row>
    <row r="86" spans="1:9" x14ac:dyDescent="0.2">
      <c r="A86" s="3" t="s">
        <v>292</v>
      </c>
      <c r="B86" s="18" t="s">
        <v>293</v>
      </c>
      <c r="C86" s="16">
        <v>0.2</v>
      </c>
      <c r="D86" s="16">
        <v>0.4</v>
      </c>
      <c r="E86" s="16">
        <v>0.6</v>
      </c>
      <c r="F86" s="633">
        <f>IF($B$3="Bear",C86,IF($B$3="Bull",E86,D86))</f>
        <v>0.4</v>
      </c>
      <c r="G86" s="621" t="s">
        <v>271</v>
      </c>
      <c r="H86" s="621" t="s">
        <v>73</v>
      </c>
      <c r="I86" s="453" t="s">
        <v>294</v>
      </c>
    </row>
    <row r="87" spans="1:9" x14ac:dyDescent="0.2">
      <c r="A87" s="3" t="s">
        <v>295</v>
      </c>
      <c r="B87" s="18" t="s">
        <v>296</v>
      </c>
      <c r="C87" s="654">
        <f>C84+C85+C86</f>
        <v>1</v>
      </c>
      <c r="D87" s="654">
        <f>D84+D85+D86</f>
        <v>1</v>
      </c>
      <c r="E87" s="654">
        <f>E84+E85+E86</f>
        <v>1</v>
      </c>
      <c r="F87" s="633">
        <f>IF($B$3="Bear",C87,IF($B$3="Bull",E87,D87))</f>
        <v>1</v>
      </c>
      <c r="G87" s="621" t="s">
        <v>77</v>
      </c>
      <c r="H87" s="621" t="s">
        <v>297</v>
      </c>
      <c r="I87" s="453" t="s">
        <v>298</v>
      </c>
    </row>
    <row r="88" spans="1:9" x14ac:dyDescent="0.2">
      <c r="A88" s="28"/>
      <c r="B88" s="28"/>
      <c r="C88" s="652"/>
      <c r="D88" s="652"/>
      <c r="E88" s="652"/>
      <c r="F88" s="634"/>
      <c r="G88" s="28"/>
      <c r="H88" s="28"/>
      <c r="I88" s="415"/>
    </row>
    <row r="89" spans="1:9" ht="22" customHeight="1" x14ac:dyDescent="0.2">
      <c r="A89" s="848" t="s">
        <v>299</v>
      </c>
      <c r="B89" s="859"/>
      <c r="C89" s="859"/>
      <c r="D89" s="859"/>
      <c r="E89" s="859"/>
      <c r="F89" s="859"/>
      <c r="G89" s="859"/>
      <c r="H89" s="859"/>
      <c r="I89" s="859"/>
    </row>
    <row r="90" spans="1:9" x14ac:dyDescent="0.2">
      <c r="A90" s="3" t="s">
        <v>300</v>
      </c>
      <c r="B90" s="18" t="s">
        <v>301</v>
      </c>
      <c r="C90" s="17">
        <v>18</v>
      </c>
      <c r="D90" s="17">
        <v>15</v>
      </c>
      <c r="E90" s="17">
        <v>12</v>
      </c>
      <c r="F90" s="641">
        <f>IF($B$3="Bear",C90,IF($B$3="Bull",E90,D90))</f>
        <v>15</v>
      </c>
      <c r="G90" s="621" t="s">
        <v>91</v>
      </c>
      <c r="H90" s="621" t="s">
        <v>68</v>
      </c>
      <c r="I90" s="453" t="s">
        <v>302</v>
      </c>
    </row>
    <row r="91" spans="1:9" x14ac:dyDescent="0.2">
      <c r="A91" s="3" t="s">
        <v>303</v>
      </c>
      <c r="B91" s="18" t="s">
        <v>304</v>
      </c>
      <c r="C91" s="16">
        <v>0.25</v>
      </c>
      <c r="D91" s="16">
        <v>0.2</v>
      </c>
      <c r="E91" s="16">
        <v>0.15</v>
      </c>
      <c r="F91" s="633">
        <f>IF($B$3="Bear",C91,IF($B$3="Bull",E91,D91))</f>
        <v>0.2</v>
      </c>
      <c r="G91" s="621" t="s">
        <v>91</v>
      </c>
      <c r="H91" s="621" t="s">
        <v>73</v>
      </c>
      <c r="I91" s="453" t="s">
        <v>305</v>
      </c>
    </row>
    <row r="92" spans="1:9" ht="22" customHeight="1" x14ac:dyDescent="0.2">
      <c r="A92" s="3" t="s">
        <v>306</v>
      </c>
      <c r="B92" s="3"/>
      <c r="C92" s="3"/>
      <c r="D92" s="3"/>
      <c r="E92" s="3"/>
      <c r="F92" s="3"/>
      <c r="G92" s="3"/>
      <c r="H92" s="3"/>
      <c r="I92" s="742"/>
    </row>
    <row r="93" spans="1:9" x14ac:dyDescent="0.2">
      <c r="A93" s="3" t="s">
        <v>307</v>
      </c>
      <c r="B93" s="18" t="s">
        <v>308</v>
      </c>
      <c r="C93" s="16">
        <v>0.3</v>
      </c>
      <c r="D93" s="16">
        <v>0.25</v>
      </c>
      <c r="E93" s="16">
        <v>0.2</v>
      </c>
      <c r="F93" s="633">
        <f>IF($B$3="Bear",C93,IF($B$3="Bull",E93,D93))</f>
        <v>0.25</v>
      </c>
      <c r="G93" s="621" t="s">
        <v>67</v>
      </c>
      <c r="H93" s="621" t="s">
        <v>117</v>
      </c>
      <c r="I93" s="453" t="s">
        <v>309</v>
      </c>
    </row>
    <row r="94" spans="1:9" x14ac:dyDescent="0.2">
      <c r="A94" s="3" t="s">
        <v>310</v>
      </c>
      <c r="B94" s="18" t="s">
        <v>311</v>
      </c>
      <c r="C94" s="651">
        <f>10100/(1-C92)/(1-C91)</f>
        <v>13466.666666666666</v>
      </c>
      <c r="D94" s="651">
        <f>10100/(1-D92)/(1-D91)</f>
        <v>12625</v>
      </c>
      <c r="E94" s="651">
        <f>10100/(1-E92)/(1-E91)</f>
        <v>11882.35294117647</v>
      </c>
      <c r="F94" s="632">
        <f>IF($B$3="Bear",C94,IF($B$3="Bull",E94,D94))</f>
        <v>12625</v>
      </c>
      <c r="G94" s="621" t="s">
        <v>77</v>
      </c>
      <c r="H94" s="621" t="s">
        <v>73</v>
      </c>
      <c r="I94" s="453" t="s">
        <v>312</v>
      </c>
    </row>
    <row r="95" spans="1:9" x14ac:dyDescent="0.2">
      <c r="A95" s="28"/>
      <c r="B95" s="28"/>
      <c r="C95" s="652"/>
      <c r="D95" s="652"/>
      <c r="E95" s="652"/>
      <c r="F95" s="634"/>
      <c r="G95" s="28"/>
      <c r="H95" s="28"/>
      <c r="I95" s="415"/>
    </row>
    <row r="96" spans="1:9" ht="22" customHeight="1" x14ac:dyDescent="0.2">
      <c r="A96" s="848" t="s">
        <v>313</v>
      </c>
      <c r="B96" s="859"/>
      <c r="C96" s="859"/>
      <c r="D96" s="859"/>
      <c r="E96" s="859"/>
      <c r="F96" s="859"/>
      <c r="G96" s="859"/>
      <c r="H96" s="859"/>
      <c r="I96" s="859"/>
    </row>
    <row r="97" spans="1:9" x14ac:dyDescent="0.2">
      <c r="A97" s="3" t="s">
        <v>314</v>
      </c>
      <c r="B97" s="18" t="s">
        <v>315</v>
      </c>
      <c r="C97" s="64" t="s">
        <v>316</v>
      </c>
      <c r="D97" s="64" t="s">
        <v>316</v>
      </c>
      <c r="E97" s="64" t="s">
        <v>316</v>
      </c>
      <c r="F97" s="637" t="str">
        <f t="shared" ref="F97:F102" si="4">IF($B$3="Bear",C97,IF($B$3="Bull",E97,D97))</f>
        <v>Last 5 years</v>
      </c>
      <c r="G97" s="621" t="s">
        <v>271</v>
      </c>
      <c r="H97" s="621" t="s">
        <v>87</v>
      </c>
      <c r="I97" s="453" t="s">
        <v>317</v>
      </c>
    </row>
    <row r="98" spans="1:9" x14ac:dyDescent="0.2">
      <c r="A98" s="3" t="s">
        <v>318</v>
      </c>
      <c r="B98" s="18" t="s">
        <v>319</v>
      </c>
      <c r="C98" s="58">
        <v>500</v>
      </c>
      <c r="D98" s="58">
        <v>500</v>
      </c>
      <c r="E98" s="58">
        <v>500</v>
      </c>
      <c r="F98" s="632">
        <f t="shared" si="4"/>
        <v>500</v>
      </c>
      <c r="G98" s="621" t="s">
        <v>271</v>
      </c>
      <c r="H98" s="621" t="s">
        <v>87</v>
      </c>
      <c r="I98" s="453" t="s">
        <v>320</v>
      </c>
    </row>
    <row r="99" spans="1:9" x14ac:dyDescent="0.2">
      <c r="A99" s="3" t="s">
        <v>321</v>
      </c>
      <c r="B99" s="18" t="s">
        <v>322</v>
      </c>
      <c r="C99" s="64" t="s">
        <v>323</v>
      </c>
      <c r="D99" s="64" t="s">
        <v>323</v>
      </c>
      <c r="E99" s="64" t="s">
        <v>323</v>
      </c>
      <c r="F99" s="637" t="str">
        <f t="shared" si="4"/>
        <v>EV/LTM Rev</v>
      </c>
      <c r="G99" s="621" t="s">
        <v>271</v>
      </c>
      <c r="H99" s="621" t="s">
        <v>87</v>
      </c>
      <c r="I99" s="453" t="s">
        <v>324</v>
      </c>
    </row>
    <row r="100" spans="1:9" x14ac:dyDescent="0.2">
      <c r="A100" s="3" t="s">
        <v>325</v>
      </c>
      <c r="B100" s="18" t="s">
        <v>326</v>
      </c>
      <c r="C100" s="25">
        <v>1</v>
      </c>
      <c r="D100" s="25">
        <v>1.5</v>
      </c>
      <c r="E100" s="25">
        <v>2.5</v>
      </c>
      <c r="F100" s="640">
        <f t="shared" si="4"/>
        <v>1.5</v>
      </c>
      <c r="G100" s="621" t="s">
        <v>91</v>
      </c>
      <c r="H100" s="621" t="s">
        <v>68</v>
      </c>
      <c r="I100" s="453" t="s">
        <v>327</v>
      </c>
    </row>
    <row r="101" spans="1:9" x14ac:dyDescent="0.2">
      <c r="A101" s="3" t="s">
        <v>328</v>
      </c>
      <c r="B101" s="18" t="s">
        <v>329</v>
      </c>
      <c r="C101" s="25">
        <v>0.8</v>
      </c>
      <c r="D101" s="25">
        <v>1.5</v>
      </c>
      <c r="E101" s="25">
        <v>3</v>
      </c>
      <c r="F101" s="640">
        <f t="shared" si="4"/>
        <v>1.5</v>
      </c>
      <c r="G101" s="621" t="s">
        <v>91</v>
      </c>
      <c r="H101" s="621" t="s">
        <v>68</v>
      </c>
      <c r="I101" s="453" t="s">
        <v>330</v>
      </c>
    </row>
    <row r="102" spans="1:9" x14ac:dyDescent="0.2">
      <c r="A102" s="3" t="s">
        <v>331</v>
      </c>
      <c r="B102" s="18" t="s">
        <v>332</v>
      </c>
      <c r="C102" s="25">
        <v>6</v>
      </c>
      <c r="D102" s="25">
        <v>8</v>
      </c>
      <c r="E102" s="25">
        <v>10</v>
      </c>
      <c r="F102" s="640">
        <f t="shared" si="4"/>
        <v>8</v>
      </c>
      <c r="G102" s="621" t="s">
        <v>91</v>
      </c>
      <c r="H102" s="621" t="s">
        <v>68</v>
      </c>
      <c r="I102" s="453" t="s">
        <v>333</v>
      </c>
    </row>
    <row r="103" spans="1:9" x14ac:dyDescent="0.2">
      <c r="A103" s="28"/>
      <c r="B103" s="28"/>
      <c r="C103" s="652"/>
      <c r="D103" s="652"/>
      <c r="E103" s="652"/>
      <c r="F103" s="634"/>
      <c r="G103" s="28"/>
      <c r="H103" s="28"/>
      <c r="I103" s="415"/>
    </row>
    <row r="104" spans="1:9" ht="22" customHeight="1" x14ac:dyDescent="0.2">
      <c r="A104" s="848" t="s">
        <v>334</v>
      </c>
      <c r="B104" s="849"/>
      <c r="C104" s="849"/>
      <c r="D104" s="849"/>
      <c r="E104" s="849"/>
      <c r="F104" s="849"/>
      <c r="G104" s="849"/>
      <c r="H104" s="849"/>
      <c r="I104" s="849"/>
    </row>
    <row r="105" spans="1:9" x14ac:dyDescent="0.2">
      <c r="A105" s="852" t="s">
        <v>335</v>
      </c>
      <c r="B105" s="855"/>
      <c r="C105" s="853"/>
      <c r="D105" s="853"/>
      <c r="E105" s="853"/>
      <c r="F105" s="854"/>
      <c r="G105" s="855"/>
      <c r="H105" s="855"/>
      <c r="I105" s="856"/>
    </row>
    <row r="106" spans="1:9" x14ac:dyDescent="0.2">
      <c r="A106" s="28"/>
      <c r="B106" s="28"/>
      <c r="C106" s="652"/>
      <c r="D106" s="652"/>
      <c r="E106" s="652"/>
      <c r="F106" s="634"/>
      <c r="G106" s="28"/>
      <c r="H106" s="28"/>
      <c r="I106" s="415"/>
    </row>
    <row r="107" spans="1:9" ht="22" customHeight="1" x14ac:dyDescent="0.2">
      <c r="A107" s="860" t="s">
        <v>336</v>
      </c>
      <c r="B107" s="861"/>
      <c r="C107" s="862"/>
      <c r="D107" s="862"/>
      <c r="E107" s="862"/>
      <c r="F107" s="863"/>
      <c r="G107" s="861"/>
      <c r="H107" s="861"/>
      <c r="I107" s="864"/>
    </row>
    <row r="108" spans="1:9" x14ac:dyDescent="0.2">
      <c r="A108" s="64" t="s">
        <v>337</v>
      </c>
      <c r="B108" s="852" t="s">
        <v>24</v>
      </c>
      <c r="C108" s="853"/>
      <c r="D108" s="853"/>
      <c r="E108" s="853"/>
      <c r="F108" s="854"/>
      <c r="G108" s="855"/>
      <c r="H108" s="855"/>
      <c r="I108" s="856"/>
    </row>
    <row r="109" spans="1:9" x14ac:dyDescent="0.2">
      <c r="A109" s="68" t="s">
        <v>338</v>
      </c>
      <c r="B109" s="852" t="s">
        <v>339</v>
      </c>
      <c r="C109" s="853"/>
      <c r="D109" s="853"/>
      <c r="E109" s="853"/>
      <c r="F109" s="854"/>
      <c r="G109" s="855"/>
      <c r="H109" s="855"/>
      <c r="I109" s="856"/>
    </row>
    <row r="110" spans="1:9" x14ac:dyDescent="0.2">
      <c r="A110" s="69" t="s">
        <v>340</v>
      </c>
      <c r="B110" s="852" t="s">
        <v>341</v>
      </c>
      <c r="C110" s="853"/>
      <c r="D110" s="853"/>
      <c r="E110" s="853"/>
      <c r="F110" s="854"/>
      <c r="G110" s="855"/>
      <c r="H110" s="855"/>
      <c r="I110" s="856"/>
    </row>
    <row r="111" spans="1:9" x14ac:dyDescent="0.2">
      <c r="A111" s="67" t="s">
        <v>342</v>
      </c>
      <c r="B111" s="852" t="s">
        <v>343</v>
      </c>
      <c r="C111" s="853"/>
      <c r="D111" s="853"/>
      <c r="E111" s="853"/>
      <c r="F111" s="854"/>
      <c r="G111" s="855"/>
      <c r="H111" s="855"/>
      <c r="I111" s="856"/>
    </row>
    <row r="112" spans="1:9" x14ac:dyDescent="0.2">
      <c r="A112" s="65" t="s">
        <v>344</v>
      </c>
      <c r="B112" s="852" t="s">
        <v>345</v>
      </c>
      <c r="C112" s="853"/>
      <c r="D112" s="853"/>
      <c r="E112" s="853"/>
      <c r="F112" s="854"/>
      <c r="G112" s="855"/>
      <c r="H112" s="855"/>
      <c r="I112" s="856"/>
    </row>
    <row r="113" spans="1:9" x14ac:dyDescent="0.2">
      <c r="A113" s="28"/>
      <c r="B113" s="28"/>
      <c r="C113" s="652"/>
      <c r="D113" s="652"/>
      <c r="E113" s="652"/>
      <c r="F113" s="634"/>
      <c r="G113" s="28"/>
      <c r="H113" s="28"/>
      <c r="I113" s="415"/>
    </row>
    <row r="114" spans="1:9" ht="22" customHeight="1" x14ac:dyDescent="0.2">
      <c r="A114" s="850" t="s">
        <v>346</v>
      </c>
      <c r="B114" s="851"/>
      <c r="C114" s="851"/>
      <c r="D114" s="851"/>
      <c r="E114" s="851"/>
      <c r="F114" s="851"/>
      <c r="G114" s="851"/>
      <c r="H114" s="851"/>
      <c r="I114" s="851"/>
    </row>
    <row r="115" spans="1:9" x14ac:dyDescent="0.2">
      <c r="A115" s="31" t="s">
        <v>347</v>
      </c>
      <c r="B115" s="28"/>
      <c r="C115" s="652"/>
      <c r="D115" s="652"/>
      <c r="E115" s="652"/>
      <c r="F115" s="634"/>
      <c r="G115" s="28"/>
      <c r="H115" s="28"/>
      <c r="I115" s="415"/>
    </row>
    <row r="116" spans="1:9" x14ac:dyDescent="0.2">
      <c r="A116" s="28"/>
      <c r="B116" s="28"/>
      <c r="C116" s="652"/>
      <c r="D116" s="652"/>
      <c r="E116" s="652"/>
      <c r="F116" s="634"/>
      <c r="G116" s="28"/>
      <c r="H116" s="28"/>
      <c r="I116" s="415"/>
    </row>
    <row r="117" spans="1:9" x14ac:dyDescent="0.2">
      <c r="A117" s="28" t="s">
        <v>348</v>
      </c>
      <c r="B117" s="28" t="s">
        <v>349</v>
      </c>
      <c r="C117" s="29">
        <v>0.28000000000000003</v>
      </c>
      <c r="D117" s="29">
        <v>0.3</v>
      </c>
      <c r="E117" s="29">
        <v>0.32</v>
      </c>
      <c r="F117" s="638">
        <f>IF($B$3="Bear",C117,IF($B$3="Bull",E117,D117))</f>
        <v>0.3</v>
      </c>
      <c r="G117" s="623" t="s">
        <v>91</v>
      </c>
      <c r="H117" s="70" t="s">
        <v>73</v>
      </c>
      <c r="I117" s="415" t="s">
        <v>350</v>
      </c>
    </row>
    <row r="118" spans="1:9" x14ac:dyDescent="0.2">
      <c r="A118" s="28" t="s">
        <v>351</v>
      </c>
      <c r="B118" s="28" t="s">
        <v>352</v>
      </c>
      <c r="C118" s="29">
        <v>0.18</v>
      </c>
      <c r="D118" s="29">
        <v>0.19</v>
      </c>
      <c r="E118" s="29">
        <v>0.2</v>
      </c>
      <c r="F118" s="638">
        <f>IF($B$3="Bear",C118,IF($B$3="Bull",E118,D118))</f>
        <v>0.19</v>
      </c>
      <c r="G118" s="623" t="s">
        <v>91</v>
      </c>
      <c r="H118" s="28" t="s">
        <v>68</v>
      </c>
      <c r="I118" s="415" t="s">
        <v>353</v>
      </c>
    </row>
    <row r="119" spans="1:9" x14ac:dyDescent="0.2">
      <c r="A119" s="86" t="s">
        <v>354</v>
      </c>
      <c r="B119" s="86" t="s">
        <v>355</v>
      </c>
      <c r="C119" s="29"/>
      <c r="D119" s="29"/>
      <c r="E119" s="29"/>
      <c r="F119" s="642"/>
      <c r="G119" s="85"/>
      <c r="H119" s="85"/>
      <c r="I119" s="415" t="s">
        <v>356</v>
      </c>
    </row>
    <row r="120" spans="1:9" x14ac:dyDescent="0.2">
      <c r="A120" s="28"/>
      <c r="B120" s="28"/>
      <c r="C120" s="652"/>
      <c r="D120" s="652"/>
      <c r="E120" s="652"/>
      <c r="F120" s="634"/>
      <c r="G120" s="28"/>
      <c r="H120" s="28"/>
      <c r="I120" s="415"/>
    </row>
    <row r="121" spans="1:9" x14ac:dyDescent="0.2">
      <c r="A121" s="71" t="s">
        <v>357</v>
      </c>
      <c r="B121" s="71" t="s">
        <v>358</v>
      </c>
      <c r="C121" s="72">
        <v>250</v>
      </c>
      <c r="D121" s="72">
        <v>200</v>
      </c>
      <c r="E121" s="72">
        <v>150</v>
      </c>
      <c r="F121" s="643">
        <f>IF($B$3="Bear",C121,IF($B$3="Bull",E121,D121))</f>
        <v>200</v>
      </c>
      <c r="G121" s="624" t="s">
        <v>67</v>
      </c>
      <c r="H121" s="73" t="s">
        <v>73</v>
      </c>
      <c r="I121" s="650" t="s">
        <v>359</v>
      </c>
    </row>
    <row r="122" spans="1:9" x14ac:dyDescent="0.2">
      <c r="A122" s="71" t="s">
        <v>360</v>
      </c>
      <c r="B122" s="71" t="s">
        <v>361</v>
      </c>
      <c r="C122" s="30">
        <v>552</v>
      </c>
      <c r="D122" s="30">
        <v>343</v>
      </c>
      <c r="E122" s="30">
        <v>211</v>
      </c>
      <c r="F122" s="628">
        <f>IF($B$3="Bear",C122,IF($B$3="Bull",E122,D122))</f>
        <v>343</v>
      </c>
      <c r="G122" s="624" t="s">
        <v>67</v>
      </c>
      <c r="H122" s="73" t="s">
        <v>73</v>
      </c>
      <c r="I122" s="650" t="s">
        <v>362</v>
      </c>
    </row>
    <row r="123" spans="1:9" x14ac:dyDescent="0.2">
      <c r="A123" s="71" t="s">
        <v>363</v>
      </c>
      <c r="B123" s="71" t="s">
        <v>364</v>
      </c>
      <c r="C123" s="34">
        <v>12</v>
      </c>
      <c r="D123" s="34">
        <v>25</v>
      </c>
      <c r="E123" s="34">
        <v>45</v>
      </c>
      <c r="F123" s="644">
        <f>IF($B$3="Bear",C123,IF($B$3="Bull",E123,D123))</f>
        <v>25</v>
      </c>
      <c r="G123" s="624" t="s">
        <v>72</v>
      </c>
      <c r="H123" s="73" t="s">
        <v>73</v>
      </c>
      <c r="I123" s="650" t="s">
        <v>365</v>
      </c>
    </row>
    <row r="124" spans="1:9" x14ac:dyDescent="0.2">
      <c r="A124" s="28"/>
      <c r="B124" s="28"/>
      <c r="C124" s="35"/>
      <c r="D124" s="35"/>
      <c r="E124" s="35"/>
      <c r="F124" s="645"/>
      <c r="G124" s="623"/>
      <c r="H124" s="28"/>
      <c r="I124" s="415"/>
    </row>
    <row r="125" spans="1:9" x14ac:dyDescent="0.2">
      <c r="A125" s="28"/>
      <c r="B125" s="28"/>
      <c r="C125" s="652"/>
      <c r="D125" s="652"/>
      <c r="E125" s="652"/>
      <c r="F125" s="634"/>
      <c r="G125" s="28"/>
      <c r="H125" s="28"/>
      <c r="I125" s="415"/>
    </row>
    <row r="126" spans="1:9" ht="22" customHeight="1" x14ac:dyDescent="0.2">
      <c r="A126" s="842" t="s">
        <v>366</v>
      </c>
      <c r="B126" s="845"/>
      <c r="C126" s="845"/>
      <c r="D126" s="845"/>
      <c r="E126" s="845"/>
      <c r="F126" s="845"/>
      <c r="G126" s="845"/>
      <c r="H126" s="845"/>
      <c r="I126" s="845"/>
    </row>
    <row r="127" spans="1:9" x14ac:dyDescent="0.2">
      <c r="A127" s="31" t="s">
        <v>367</v>
      </c>
      <c r="B127" s="28"/>
      <c r="C127" s="652"/>
      <c r="D127" s="652"/>
      <c r="E127" s="652"/>
      <c r="F127" s="634"/>
      <c r="G127" s="28"/>
      <c r="H127" s="28"/>
      <c r="I127" s="415"/>
    </row>
    <row r="128" spans="1:9" x14ac:dyDescent="0.2">
      <c r="A128" s="28"/>
      <c r="B128" s="28"/>
      <c r="C128" s="652"/>
      <c r="D128" s="652"/>
      <c r="E128" s="652"/>
      <c r="F128" s="634"/>
      <c r="G128" s="28"/>
      <c r="H128" s="28"/>
      <c r="I128" s="415"/>
    </row>
    <row r="129" spans="1:9" x14ac:dyDescent="0.2">
      <c r="A129" s="31" t="s">
        <v>368</v>
      </c>
      <c r="B129" s="28"/>
      <c r="C129" s="652"/>
      <c r="D129" s="652"/>
      <c r="E129" s="652"/>
      <c r="F129" s="634"/>
      <c r="G129" s="28"/>
      <c r="H129" s="28"/>
      <c r="I129" s="415"/>
    </row>
    <row r="130" spans="1:9" x14ac:dyDescent="0.2">
      <c r="A130" s="28" t="s">
        <v>369</v>
      </c>
      <c r="B130" s="28" t="s">
        <v>370</v>
      </c>
      <c r="C130" s="528">
        <v>0.5</v>
      </c>
      <c r="D130" s="528">
        <v>0.3</v>
      </c>
      <c r="E130" s="528">
        <v>0.2</v>
      </c>
      <c r="F130" s="646">
        <f>IF($B$3="Bear",C130,IF($B$3="Bull",E130,D130))</f>
        <v>0.3</v>
      </c>
      <c r="G130" s="28" t="s">
        <v>91</v>
      </c>
      <c r="H130" s="28" t="s">
        <v>68</v>
      </c>
      <c r="I130" s="415" t="s">
        <v>371</v>
      </c>
    </row>
    <row r="131" spans="1:9" x14ac:dyDescent="0.2">
      <c r="A131" s="28" t="s">
        <v>372</v>
      </c>
      <c r="B131" s="28" t="s">
        <v>373</v>
      </c>
      <c r="C131" s="528">
        <v>0.35</v>
      </c>
      <c r="D131" s="528">
        <v>0.45</v>
      </c>
      <c r="E131" s="528">
        <v>0.4</v>
      </c>
      <c r="F131" s="646">
        <f>IF($B$3="Bear",C131,IF($B$3="Bull",E131,D131))</f>
        <v>0.45</v>
      </c>
      <c r="G131" s="28" t="s">
        <v>91</v>
      </c>
      <c r="H131" s="28" t="s">
        <v>68</v>
      </c>
      <c r="I131" s="415" t="s">
        <v>374</v>
      </c>
    </row>
    <row r="132" spans="1:9" x14ac:dyDescent="0.2">
      <c r="A132" s="28" t="s">
        <v>375</v>
      </c>
      <c r="B132" s="28" t="s">
        <v>376</v>
      </c>
      <c r="C132" s="528">
        <v>0.15</v>
      </c>
      <c r="D132" s="528">
        <v>0.25</v>
      </c>
      <c r="E132" s="528">
        <v>0.4</v>
      </c>
      <c r="F132" s="646">
        <f>IF($B$3="Bear",C132,IF($B$3="Bull",E132,D132))</f>
        <v>0.25</v>
      </c>
      <c r="G132" s="28" t="s">
        <v>91</v>
      </c>
      <c r="H132" s="28" t="s">
        <v>68</v>
      </c>
      <c r="I132" s="415" t="s">
        <v>377</v>
      </c>
    </row>
    <row r="133" spans="1:9" x14ac:dyDescent="0.2">
      <c r="A133" s="28" t="s">
        <v>378</v>
      </c>
      <c r="B133" s="28" t="s">
        <v>379</v>
      </c>
      <c r="C133" s="528">
        <v>0.15</v>
      </c>
      <c r="D133" s="528">
        <v>0.12</v>
      </c>
      <c r="E133" s="528">
        <v>0.1</v>
      </c>
      <c r="F133" s="646">
        <f>IF($B$3="Bear",C133,IF($B$3="Bull",E133,D133))</f>
        <v>0.12</v>
      </c>
      <c r="G133" s="28" t="s">
        <v>67</v>
      </c>
      <c r="H133" s="28" t="s">
        <v>117</v>
      </c>
      <c r="I133" s="415" t="s">
        <v>380</v>
      </c>
    </row>
    <row r="134" spans="1:9" x14ac:dyDescent="0.2">
      <c r="A134" s="28" t="s">
        <v>381</v>
      </c>
      <c r="B134" s="28" t="s">
        <v>382</v>
      </c>
      <c r="C134" s="625">
        <v>0</v>
      </c>
      <c r="D134" s="625">
        <v>1.4999999999999999E-2</v>
      </c>
      <c r="E134" s="625">
        <v>2.5000000000000001E-2</v>
      </c>
      <c r="F134" s="629">
        <f>IF($B$3="Bear",C134,IF($B$3="Bull",E134,D134))</f>
        <v>1.4999999999999999E-2</v>
      </c>
      <c r="G134" s="28" t="s">
        <v>91</v>
      </c>
      <c r="H134" s="28" t="s">
        <v>68</v>
      </c>
      <c r="I134" s="415" t="s">
        <v>383</v>
      </c>
    </row>
    <row r="135" spans="1:9" x14ac:dyDescent="0.2">
      <c r="A135" s="28"/>
      <c r="B135" s="28"/>
      <c r="C135" s="652"/>
      <c r="D135" s="652"/>
      <c r="E135" s="652"/>
      <c r="F135" s="634"/>
      <c r="G135" s="28"/>
      <c r="H135" s="28"/>
      <c r="I135" s="415"/>
    </row>
    <row r="136" spans="1:9" ht="22" customHeight="1" x14ac:dyDescent="0.2">
      <c r="A136" s="930" t="s">
        <v>384</v>
      </c>
      <c r="B136" s="930"/>
      <c r="C136" s="931"/>
      <c r="D136" s="931"/>
      <c r="E136" s="931"/>
      <c r="F136" s="932"/>
      <c r="G136" s="933"/>
      <c r="H136" s="933"/>
      <c r="I136" s="934"/>
    </row>
    <row r="137" spans="1:9" x14ac:dyDescent="0.2">
      <c r="A137" s="28" t="s">
        <v>385</v>
      </c>
      <c r="B137" s="28" t="s">
        <v>386</v>
      </c>
      <c r="C137" s="625">
        <v>0.05</v>
      </c>
      <c r="D137" s="625">
        <v>0.1</v>
      </c>
      <c r="E137" s="626">
        <v>0.25</v>
      </c>
      <c r="F137" s="629">
        <f>IF($B$3="Bear",C137,IF($B$3="Bull",E137,D137))</f>
        <v>0.1</v>
      </c>
      <c r="G137" s="28" t="s">
        <v>72</v>
      </c>
      <c r="H137" s="28" t="s">
        <v>73</v>
      </c>
      <c r="I137" s="415" t="s">
        <v>387</v>
      </c>
    </row>
    <row r="138" spans="1:9" x14ac:dyDescent="0.2">
      <c r="A138" s="28" t="s">
        <v>388</v>
      </c>
      <c r="B138" s="28" t="s">
        <v>389</v>
      </c>
      <c r="C138" s="515">
        <v>200</v>
      </c>
      <c r="D138" s="515">
        <v>250</v>
      </c>
      <c r="E138" s="515">
        <v>300</v>
      </c>
      <c r="F138" s="647">
        <f>IF($B$3="Bear",C138,IF($B$3="Bull",E138,D138))</f>
        <v>250</v>
      </c>
      <c r="G138" s="28" t="s">
        <v>72</v>
      </c>
      <c r="H138" s="28" t="s">
        <v>73</v>
      </c>
      <c r="I138" s="415" t="s">
        <v>390</v>
      </c>
    </row>
    <row r="139" spans="1:9" x14ac:dyDescent="0.2">
      <c r="A139" s="28" t="s">
        <v>391</v>
      </c>
      <c r="B139" s="28" t="s">
        <v>392</v>
      </c>
      <c r="C139" s="627">
        <v>1</v>
      </c>
      <c r="D139" s="627">
        <v>1.5</v>
      </c>
      <c r="E139" s="627">
        <v>2</v>
      </c>
      <c r="F139" s="648">
        <f>IF($B$3="Bear",C139,IF($B$3="Bull",E139,D139))</f>
        <v>1.5</v>
      </c>
      <c r="G139" s="28" t="s">
        <v>91</v>
      </c>
      <c r="H139" s="28" t="s">
        <v>68</v>
      </c>
      <c r="I139" s="415" t="s">
        <v>393</v>
      </c>
    </row>
    <row r="140" spans="1:9" x14ac:dyDescent="0.2">
      <c r="A140" s="28" t="s">
        <v>394</v>
      </c>
      <c r="B140" s="28" t="s">
        <v>395</v>
      </c>
      <c r="C140" s="625">
        <v>0</v>
      </c>
      <c r="D140" s="625">
        <v>0.09</v>
      </c>
      <c r="E140" s="625">
        <v>0.18</v>
      </c>
      <c r="F140" s="629">
        <f>IF($B$3="Bear",C140,IF($B$3="Bull",E140,D140))</f>
        <v>0.09</v>
      </c>
      <c r="G140" s="28" t="s">
        <v>72</v>
      </c>
      <c r="H140" s="28" t="s">
        <v>73</v>
      </c>
      <c r="I140" s="415" t="s">
        <v>396</v>
      </c>
    </row>
    <row r="141" spans="1:9" x14ac:dyDescent="0.2">
      <c r="A141" s="28"/>
      <c r="B141" s="28"/>
      <c r="C141" s="652"/>
      <c r="D141" s="652"/>
      <c r="E141" s="652"/>
      <c r="F141" s="634"/>
      <c r="G141" s="28"/>
      <c r="H141" s="28"/>
      <c r="I141" s="415"/>
    </row>
    <row r="142" spans="1:9" x14ac:dyDescent="0.2">
      <c r="A142" s="31" t="s">
        <v>397</v>
      </c>
      <c r="B142" s="28"/>
      <c r="C142" s="652"/>
      <c r="D142" s="652"/>
      <c r="E142" s="652"/>
      <c r="F142" s="634"/>
      <c r="G142" s="28"/>
      <c r="H142" s="28"/>
      <c r="I142" s="415"/>
    </row>
    <row r="143" spans="1:9" x14ac:dyDescent="0.2">
      <c r="A143" s="28" t="s">
        <v>398</v>
      </c>
      <c r="B143" s="28" t="s">
        <v>399</v>
      </c>
      <c r="C143" s="515">
        <v>15</v>
      </c>
      <c r="D143" s="515">
        <v>18</v>
      </c>
      <c r="E143" s="515">
        <v>22</v>
      </c>
      <c r="F143" s="647">
        <f>IF($B$3="Bear",C143,IF($B$3="Bull",E143,D143))</f>
        <v>18</v>
      </c>
      <c r="G143" s="28" t="s">
        <v>67</v>
      </c>
      <c r="H143" s="28" t="s">
        <v>229</v>
      </c>
      <c r="I143" s="415" t="s">
        <v>400</v>
      </c>
    </row>
    <row r="144" spans="1:9" x14ac:dyDescent="0.2">
      <c r="A144" s="28" t="s">
        <v>401</v>
      </c>
      <c r="B144" s="28" t="s">
        <v>402</v>
      </c>
      <c r="C144" s="625">
        <v>0.02</v>
      </c>
      <c r="D144" s="625">
        <v>0.03</v>
      </c>
      <c r="E144" s="625">
        <v>0.03</v>
      </c>
      <c r="F144" s="629">
        <f>IF($B$3="Bear",C144,IF($B$3="Bull",E144,D144))</f>
        <v>0.03</v>
      </c>
      <c r="G144" s="28" t="s">
        <v>67</v>
      </c>
      <c r="H144" s="28" t="s">
        <v>229</v>
      </c>
      <c r="I144" s="415" t="s">
        <v>403</v>
      </c>
    </row>
    <row r="145" spans="1:9" x14ac:dyDescent="0.2">
      <c r="A145" s="28"/>
      <c r="B145" s="28"/>
      <c r="C145" s="652"/>
      <c r="D145" s="652"/>
      <c r="E145" s="652"/>
      <c r="F145" s="634"/>
      <c r="G145" s="28"/>
      <c r="H145" s="28"/>
      <c r="I145" s="415"/>
    </row>
    <row r="146" spans="1:9" ht="22" customHeight="1" x14ac:dyDescent="0.2">
      <c r="A146" s="935" t="s">
        <v>404</v>
      </c>
      <c r="B146" s="933"/>
      <c r="C146" s="931"/>
      <c r="D146" s="931"/>
      <c r="E146" s="931"/>
      <c r="F146" s="932"/>
      <c r="G146" s="933"/>
      <c r="H146" s="933"/>
      <c r="I146" s="934"/>
    </row>
    <row r="147" spans="1:9" x14ac:dyDescent="0.2">
      <c r="A147" s="28" t="s">
        <v>405</v>
      </c>
      <c r="B147" s="28" t="s">
        <v>406</v>
      </c>
      <c r="C147" s="625">
        <v>0</v>
      </c>
      <c r="D147" s="625">
        <v>0.05</v>
      </c>
      <c r="E147" s="625">
        <v>0.15</v>
      </c>
      <c r="F147" s="629">
        <f t="shared" ref="F147:F152" si="5">IF($B$3="Bear",C147,IF($B$3="Bull",E147,D147))</f>
        <v>0.05</v>
      </c>
      <c r="G147" s="28" t="s">
        <v>91</v>
      </c>
      <c r="H147" s="28" t="s">
        <v>68</v>
      </c>
      <c r="I147" s="415" t="s">
        <v>407</v>
      </c>
    </row>
    <row r="148" spans="1:9" x14ac:dyDescent="0.2">
      <c r="A148" s="28" t="s">
        <v>408</v>
      </c>
      <c r="B148" s="28" t="s">
        <v>409</v>
      </c>
      <c r="C148" s="515">
        <v>0</v>
      </c>
      <c r="D148" s="515">
        <v>100</v>
      </c>
      <c r="E148" s="515">
        <v>200</v>
      </c>
      <c r="F148" s="647">
        <f t="shared" si="5"/>
        <v>100</v>
      </c>
      <c r="G148" s="28" t="s">
        <v>91</v>
      </c>
      <c r="H148" s="28" t="s">
        <v>68</v>
      </c>
      <c r="I148" s="415" t="s">
        <v>410</v>
      </c>
    </row>
    <row r="149" spans="1:9" x14ac:dyDescent="0.2">
      <c r="A149" s="28" t="s">
        <v>411</v>
      </c>
      <c r="B149" s="28" t="s">
        <v>412</v>
      </c>
      <c r="C149" s="625">
        <v>0</v>
      </c>
      <c r="D149" s="625">
        <v>0.15</v>
      </c>
      <c r="E149" s="625">
        <v>0.25</v>
      </c>
      <c r="F149" s="629">
        <f t="shared" si="5"/>
        <v>0.15</v>
      </c>
      <c r="G149" s="28" t="s">
        <v>91</v>
      </c>
      <c r="H149" s="28" t="s">
        <v>117</v>
      </c>
      <c r="I149" s="415" t="s">
        <v>413</v>
      </c>
    </row>
    <row r="150" spans="1:9" x14ac:dyDescent="0.2">
      <c r="A150" s="32" t="s">
        <v>414</v>
      </c>
      <c r="B150" s="28" t="s">
        <v>415</v>
      </c>
      <c r="C150" s="625">
        <v>0.03</v>
      </c>
      <c r="D150" s="625">
        <v>0.04</v>
      </c>
      <c r="E150" s="625">
        <v>0.05</v>
      </c>
      <c r="F150" s="629">
        <f t="shared" si="5"/>
        <v>0.04</v>
      </c>
      <c r="G150" s="28" t="s">
        <v>67</v>
      </c>
      <c r="H150" s="28" t="s">
        <v>73</v>
      </c>
      <c r="I150" s="415" t="s">
        <v>416</v>
      </c>
    </row>
    <row r="151" spans="1:9" x14ac:dyDescent="0.2">
      <c r="A151" s="32" t="s">
        <v>417</v>
      </c>
      <c r="B151" s="28" t="s">
        <v>418</v>
      </c>
      <c r="C151" s="625">
        <v>0.28000000000000003</v>
      </c>
      <c r="D151" s="625">
        <v>0.25</v>
      </c>
      <c r="E151" s="625">
        <v>0.22</v>
      </c>
      <c r="F151" s="629">
        <f t="shared" si="5"/>
        <v>0.25</v>
      </c>
      <c r="G151" s="28" t="s">
        <v>67</v>
      </c>
      <c r="H151" s="28" t="s">
        <v>73</v>
      </c>
      <c r="I151" s="415" t="s">
        <v>419</v>
      </c>
    </row>
    <row r="152" spans="1:9" x14ac:dyDescent="0.2">
      <c r="A152" s="32" t="s">
        <v>420</v>
      </c>
      <c r="B152" s="28" t="s">
        <v>421</v>
      </c>
      <c r="C152" s="625">
        <v>0.22</v>
      </c>
      <c r="D152" s="625">
        <v>0.2</v>
      </c>
      <c r="E152" s="625">
        <v>0.18</v>
      </c>
      <c r="F152" s="629">
        <f t="shared" si="5"/>
        <v>0.2</v>
      </c>
      <c r="G152" s="28" t="s">
        <v>67</v>
      </c>
      <c r="H152" s="28" t="s">
        <v>68</v>
      </c>
      <c r="I152" s="415" t="s">
        <v>422</v>
      </c>
    </row>
    <row r="153" spans="1:9" x14ac:dyDescent="0.2">
      <c r="A153" s="28"/>
      <c r="B153" s="28"/>
      <c r="C153" s="652"/>
      <c r="D153" s="652"/>
      <c r="E153" s="652"/>
      <c r="F153" s="634"/>
      <c r="G153" s="28"/>
      <c r="H153" s="28"/>
      <c r="I153" s="415"/>
    </row>
    <row r="154" spans="1:9" ht="22" customHeight="1" x14ac:dyDescent="0.2">
      <c r="A154" s="842" t="s">
        <v>423</v>
      </c>
      <c r="B154" s="845"/>
      <c r="C154" s="845"/>
      <c r="D154" s="845"/>
      <c r="E154" s="845"/>
      <c r="F154" s="845"/>
      <c r="G154" s="845"/>
      <c r="H154" s="845"/>
      <c r="I154" s="845"/>
    </row>
    <row r="155" spans="1:9" x14ac:dyDescent="0.2">
      <c r="A155" s="28" t="s">
        <v>424</v>
      </c>
      <c r="B155" s="28"/>
      <c r="C155" s="652"/>
      <c r="D155" s="652"/>
      <c r="E155" s="652"/>
      <c r="F155" s="634"/>
      <c r="G155" s="28"/>
      <c r="H155" s="28"/>
      <c r="I155" s="415"/>
    </row>
    <row r="156" spans="1:9" x14ac:dyDescent="0.2">
      <c r="A156" s="28" t="s">
        <v>425</v>
      </c>
      <c r="B156" s="28" t="s">
        <v>426</v>
      </c>
      <c r="C156" s="652">
        <v>0.15</v>
      </c>
      <c r="D156" s="652">
        <v>0.2</v>
      </c>
      <c r="E156" s="652">
        <v>0.25</v>
      </c>
      <c r="F156" s="634">
        <f t="shared" ref="F156:F161" si="6">IF($B$3="Bear",C156,IF($B$3="Bull",E156,D156))</f>
        <v>0.2</v>
      </c>
      <c r="G156" s="28" t="s">
        <v>67</v>
      </c>
      <c r="H156" s="28" t="s">
        <v>73</v>
      </c>
      <c r="I156" s="415" t="s">
        <v>427</v>
      </c>
    </row>
    <row r="157" spans="1:9" x14ac:dyDescent="0.2">
      <c r="A157" s="28" t="s">
        <v>428</v>
      </c>
      <c r="B157" s="28" t="s">
        <v>429</v>
      </c>
      <c r="C157" s="652">
        <v>0.3</v>
      </c>
      <c r="D157" s="652">
        <v>0.4</v>
      </c>
      <c r="E157" s="652">
        <v>0.45</v>
      </c>
      <c r="F157" s="634">
        <f t="shared" si="6"/>
        <v>0.4</v>
      </c>
      <c r="G157" s="28" t="s">
        <v>67</v>
      </c>
      <c r="H157" s="28" t="s">
        <v>68</v>
      </c>
      <c r="I157" s="415" t="s">
        <v>430</v>
      </c>
    </row>
    <row r="158" spans="1:9" x14ac:dyDescent="0.2">
      <c r="A158" s="28" t="s">
        <v>431</v>
      </c>
      <c r="B158" s="28" t="s">
        <v>432</v>
      </c>
      <c r="C158" s="652">
        <v>200</v>
      </c>
      <c r="D158" s="652">
        <v>300</v>
      </c>
      <c r="E158" s="652">
        <v>350</v>
      </c>
      <c r="F158" s="634">
        <f t="shared" si="6"/>
        <v>300</v>
      </c>
      <c r="G158" s="28" t="s">
        <v>67</v>
      </c>
      <c r="H158" s="28" t="s">
        <v>73</v>
      </c>
      <c r="I158" s="415" t="s">
        <v>433</v>
      </c>
    </row>
    <row r="159" spans="1:9" x14ac:dyDescent="0.2">
      <c r="A159" s="28" t="s">
        <v>434</v>
      </c>
      <c r="B159" s="28" t="s">
        <v>435</v>
      </c>
      <c r="C159" s="652">
        <v>5</v>
      </c>
      <c r="D159" s="652">
        <v>6</v>
      </c>
      <c r="E159" s="652">
        <v>6</v>
      </c>
      <c r="F159" s="634">
        <f t="shared" si="6"/>
        <v>6</v>
      </c>
      <c r="G159" s="28" t="s">
        <v>67</v>
      </c>
      <c r="H159" s="28" t="s">
        <v>73</v>
      </c>
      <c r="I159" s="415" t="s">
        <v>436</v>
      </c>
    </row>
    <row r="160" spans="1:9" x14ac:dyDescent="0.2">
      <c r="A160" s="28" t="s">
        <v>437</v>
      </c>
      <c r="B160" s="28" t="s">
        <v>438</v>
      </c>
      <c r="C160" s="652">
        <v>7</v>
      </c>
      <c r="D160" s="652">
        <v>5</v>
      </c>
      <c r="E160" s="652">
        <v>4</v>
      </c>
      <c r="F160" s="634">
        <f t="shared" si="6"/>
        <v>5</v>
      </c>
      <c r="G160" s="28" t="s">
        <v>67</v>
      </c>
      <c r="H160" s="28" t="s">
        <v>68</v>
      </c>
      <c r="I160" s="415" t="s">
        <v>439</v>
      </c>
    </row>
    <row r="161" spans="1:9" x14ac:dyDescent="0.2">
      <c r="A161" s="28" t="s">
        <v>440</v>
      </c>
      <c r="B161" s="28" t="s">
        <v>441</v>
      </c>
      <c r="C161" s="652">
        <f>C156+(1-C156)</f>
        <v>1</v>
      </c>
      <c r="D161" s="652">
        <f>D156+(1-D156)</f>
        <v>1</v>
      </c>
      <c r="E161" s="652">
        <f>E156+(1-E156)</f>
        <v>1</v>
      </c>
      <c r="F161" s="634">
        <f t="shared" si="6"/>
        <v>1</v>
      </c>
      <c r="G161" s="28" t="s">
        <v>297</v>
      </c>
      <c r="H161" s="28" t="s">
        <v>87</v>
      </c>
      <c r="I161" s="415" t="s">
        <v>442</v>
      </c>
    </row>
  </sheetData>
  <mergeCells count="23">
    <mergeCell ref="A1:N1"/>
    <mergeCell ref="A2:N2"/>
    <mergeCell ref="A89:I89"/>
    <mergeCell ref="B108:I108"/>
    <mergeCell ref="A68:I68"/>
    <mergeCell ref="A107:I107"/>
    <mergeCell ref="A54:I54"/>
    <mergeCell ref="A30:I30"/>
    <mergeCell ref="A105:I105"/>
    <mergeCell ref="A7:I7"/>
    <mergeCell ref="A83:I83"/>
    <mergeCell ref="A96:I96"/>
    <mergeCell ref="A154:I154"/>
    <mergeCell ref="C3:I3"/>
    <mergeCell ref="A76:I76"/>
    <mergeCell ref="A104:I104"/>
    <mergeCell ref="A114:I114"/>
    <mergeCell ref="A126:I126"/>
    <mergeCell ref="B110:I110"/>
    <mergeCell ref="B112:I112"/>
    <mergeCell ref="B109:I109"/>
    <mergeCell ref="B111:I111"/>
    <mergeCell ref="A136:B136"/>
  </mergeCells>
  <dataValidations count="1">
    <dataValidation type="list" sqref="B3" xr:uid="{00000000-0002-0000-0100-000000000000}">
      <formula1>"Bear,Base,Bull"</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CBB8-AD50-F94D-BC16-5F1B28C2145B}">
  <dimension ref="A1:F86"/>
  <sheetViews>
    <sheetView workbookViewId="0"/>
  </sheetViews>
  <sheetFormatPr baseColWidth="10" defaultRowHeight="15" x14ac:dyDescent="0.2"/>
  <cols>
    <col min="1" max="1" width="16.6640625" customWidth="1"/>
    <col min="2" max="2" width="13.33203125" customWidth="1"/>
    <col min="3" max="3" width="33.33203125" customWidth="1"/>
    <col min="4" max="4" width="18.33203125" customWidth="1"/>
    <col min="5" max="5" width="63.33203125" style="290" customWidth="1"/>
    <col min="6" max="6" width="36.6640625" style="290" customWidth="1"/>
  </cols>
  <sheetData>
    <row r="1" spans="1:6" ht="19" x14ac:dyDescent="0.25">
      <c r="A1" s="100" t="s">
        <v>1453</v>
      </c>
    </row>
    <row r="2" spans="1:6" ht="288" x14ac:dyDescent="0.2">
      <c r="A2" s="290" t="s">
        <v>1454</v>
      </c>
    </row>
    <row r="4" spans="1:6" ht="16" x14ac:dyDescent="0.2">
      <c r="A4" s="936" t="s">
        <v>1455</v>
      </c>
    </row>
    <row r="5" spans="1:6" ht="16" x14ac:dyDescent="0.2">
      <c r="A5" s="556" t="s">
        <v>1456</v>
      </c>
      <c r="B5" s="556" t="s">
        <v>1457</v>
      </c>
      <c r="C5" s="556" t="s">
        <v>1458</v>
      </c>
      <c r="D5" s="556" t="s">
        <v>1459</v>
      </c>
      <c r="E5" s="941" t="s">
        <v>1460</v>
      </c>
      <c r="F5" s="941" t="s">
        <v>63</v>
      </c>
    </row>
    <row r="6" spans="1:6" ht="48" x14ac:dyDescent="0.2">
      <c r="A6" t="s">
        <v>1461</v>
      </c>
      <c r="B6">
        <v>19</v>
      </c>
      <c r="C6">
        <v>6</v>
      </c>
      <c r="D6">
        <v>3</v>
      </c>
      <c r="E6" s="290">
        <v>10</v>
      </c>
      <c r="F6" s="290" t="s">
        <v>1462</v>
      </c>
    </row>
    <row r="7" spans="1:6" ht="48" x14ac:dyDescent="0.2">
      <c r="A7" t="s">
        <v>1463</v>
      </c>
      <c r="B7">
        <v>21</v>
      </c>
      <c r="C7">
        <v>8</v>
      </c>
      <c r="D7">
        <v>0</v>
      </c>
      <c r="E7" s="290">
        <v>13</v>
      </c>
      <c r="F7" s="290" t="s">
        <v>1464</v>
      </c>
    </row>
    <row r="8" spans="1:6" ht="48" x14ac:dyDescent="0.2">
      <c r="A8" t="s">
        <v>1465</v>
      </c>
      <c r="B8">
        <v>12</v>
      </c>
      <c r="C8">
        <v>4</v>
      </c>
      <c r="D8">
        <v>0</v>
      </c>
      <c r="E8" s="290">
        <v>8</v>
      </c>
      <c r="F8" s="290" t="s">
        <v>1466</v>
      </c>
    </row>
    <row r="9" spans="1:6" ht="32" x14ac:dyDescent="0.2">
      <c r="A9" t="s">
        <v>1467</v>
      </c>
      <c r="B9">
        <v>6</v>
      </c>
      <c r="C9">
        <v>6</v>
      </c>
      <c r="D9">
        <v>0</v>
      </c>
      <c r="E9" s="290">
        <v>0</v>
      </c>
      <c r="F9" s="290" t="s">
        <v>1468</v>
      </c>
    </row>
    <row r="10" spans="1:6" ht="48" x14ac:dyDescent="0.2">
      <c r="A10" t="s">
        <v>1469</v>
      </c>
      <c r="B10">
        <v>5</v>
      </c>
      <c r="C10">
        <v>2</v>
      </c>
      <c r="D10">
        <v>0</v>
      </c>
      <c r="E10" s="290">
        <v>3</v>
      </c>
      <c r="F10" s="290" t="s">
        <v>1470</v>
      </c>
    </row>
    <row r="11" spans="1:6" ht="32" x14ac:dyDescent="0.2">
      <c r="A11" t="s">
        <v>1471</v>
      </c>
      <c r="B11">
        <v>4</v>
      </c>
      <c r="C11">
        <v>4</v>
      </c>
      <c r="D11">
        <v>0</v>
      </c>
      <c r="E11" s="290">
        <v>0</v>
      </c>
      <c r="F11" s="290" t="s">
        <v>1472</v>
      </c>
    </row>
    <row r="12" spans="1:6" ht="48" x14ac:dyDescent="0.2">
      <c r="A12" t="s">
        <v>1473</v>
      </c>
      <c r="B12">
        <v>5</v>
      </c>
      <c r="C12">
        <v>1</v>
      </c>
      <c r="D12">
        <v>0</v>
      </c>
      <c r="E12" s="290">
        <v>4</v>
      </c>
      <c r="F12" s="290" t="s">
        <v>1474</v>
      </c>
    </row>
    <row r="13" spans="1:6" ht="32" x14ac:dyDescent="0.2">
      <c r="A13" t="s">
        <v>1475</v>
      </c>
      <c r="B13">
        <v>6</v>
      </c>
      <c r="C13">
        <v>0</v>
      </c>
      <c r="D13">
        <v>0</v>
      </c>
      <c r="E13" s="290">
        <v>6</v>
      </c>
      <c r="F13" s="290" t="s">
        <v>1476</v>
      </c>
    </row>
    <row r="14" spans="1:6" ht="32" x14ac:dyDescent="0.2">
      <c r="A14" t="s">
        <v>1477</v>
      </c>
      <c r="B14">
        <v>6</v>
      </c>
      <c r="C14">
        <v>5</v>
      </c>
      <c r="D14">
        <v>1</v>
      </c>
      <c r="E14" s="290">
        <v>0</v>
      </c>
      <c r="F14" s="290" t="s">
        <v>1478</v>
      </c>
    </row>
    <row r="15" spans="1:6" ht="32" x14ac:dyDescent="0.2">
      <c r="A15" t="s">
        <v>1479</v>
      </c>
      <c r="B15">
        <v>5</v>
      </c>
      <c r="C15">
        <v>5</v>
      </c>
      <c r="D15">
        <v>0</v>
      </c>
      <c r="E15" s="290">
        <v>0</v>
      </c>
      <c r="F15" s="290" t="s">
        <v>1480</v>
      </c>
    </row>
    <row r="16" spans="1:6" ht="48" x14ac:dyDescent="0.2">
      <c r="A16" s="937" t="s">
        <v>1481</v>
      </c>
      <c r="B16" s="937">
        <v>18</v>
      </c>
      <c r="C16" s="937">
        <v>0</v>
      </c>
      <c r="D16" s="937">
        <v>0</v>
      </c>
      <c r="E16" s="942">
        <v>18</v>
      </c>
      <c r="F16" s="942" t="s">
        <v>1482</v>
      </c>
    </row>
    <row r="17" spans="1:6" ht="32" x14ac:dyDescent="0.2">
      <c r="A17" t="s">
        <v>1483</v>
      </c>
      <c r="B17">
        <v>3</v>
      </c>
      <c r="C17">
        <v>3</v>
      </c>
      <c r="D17">
        <v>0</v>
      </c>
      <c r="E17" s="290">
        <v>0</v>
      </c>
      <c r="F17" s="290" t="s">
        <v>1484</v>
      </c>
    </row>
    <row r="18" spans="1:6" ht="32" x14ac:dyDescent="0.2">
      <c r="A18" s="938" t="s">
        <v>1485</v>
      </c>
      <c r="B18" s="938">
        <f>SUM(B6:B17)</f>
        <v>110</v>
      </c>
      <c r="C18" s="938">
        <f>SUM(C6:C17)</f>
        <v>44</v>
      </c>
      <c r="D18" s="938">
        <f>SUM(D6:D17)</f>
        <v>4</v>
      </c>
      <c r="E18" s="943">
        <f>SUM(E6:E17)</f>
        <v>62</v>
      </c>
      <c r="F18" s="943" t="s">
        <v>1486</v>
      </c>
    </row>
    <row r="20" spans="1:6" ht="16" x14ac:dyDescent="0.2">
      <c r="A20" s="936" t="s">
        <v>1487</v>
      </c>
    </row>
    <row r="21" spans="1:6" ht="16" x14ac:dyDescent="0.2">
      <c r="A21" s="556" t="s">
        <v>1488</v>
      </c>
      <c r="B21" s="556" t="s">
        <v>56</v>
      </c>
      <c r="C21" s="556" t="s">
        <v>1489</v>
      </c>
      <c r="D21" s="556" t="s">
        <v>62</v>
      </c>
      <c r="E21" s="941" t="s">
        <v>1490</v>
      </c>
      <c r="F21" s="941" t="s">
        <v>1491</v>
      </c>
    </row>
    <row r="22" spans="1:6" ht="32" x14ac:dyDescent="0.2">
      <c r="A22">
        <v>14</v>
      </c>
      <c r="B22" t="s">
        <v>89</v>
      </c>
      <c r="C22" t="s">
        <v>90</v>
      </c>
      <c r="D22" t="s">
        <v>1492</v>
      </c>
      <c r="E22" s="290" t="s">
        <v>1493</v>
      </c>
      <c r="F22" s="290" t="s">
        <v>1494</v>
      </c>
    </row>
    <row r="23" spans="1:6" ht="16" x14ac:dyDescent="0.2">
      <c r="A23">
        <v>15</v>
      </c>
      <c r="B23" t="s">
        <v>93</v>
      </c>
      <c r="C23" t="s">
        <v>94</v>
      </c>
      <c r="D23" t="s">
        <v>1492</v>
      </c>
      <c r="E23" s="290" t="s">
        <v>1495</v>
      </c>
      <c r="F23" s="290" t="s">
        <v>1494</v>
      </c>
    </row>
    <row r="24" spans="1:6" ht="32" x14ac:dyDescent="0.2">
      <c r="A24">
        <v>16</v>
      </c>
      <c r="B24" t="s">
        <v>96</v>
      </c>
      <c r="C24" t="s">
        <v>97</v>
      </c>
      <c r="D24" t="s">
        <v>1492</v>
      </c>
      <c r="E24" s="290" t="s">
        <v>1496</v>
      </c>
      <c r="F24" s="290" t="s">
        <v>1494</v>
      </c>
    </row>
    <row r="25" spans="1:6" ht="16" x14ac:dyDescent="0.2">
      <c r="A25">
        <v>17</v>
      </c>
      <c r="B25" t="s">
        <v>99</v>
      </c>
      <c r="C25" t="s">
        <v>100</v>
      </c>
      <c r="D25" t="s">
        <v>1492</v>
      </c>
      <c r="E25" s="290" t="s">
        <v>1497</v>
      </c>
      <c r="F25" s="290" t="s">
        <v>1494</v>
      </c>
    </row>
    <row r="26" spans="1:6" ht="16" x14ac:dyDescent="0.2">
      <c r="A26">
        <v>18</v>
      </c>
      <c r="B26" t="s">
        <v>102</v>
      </c>
      <c r="C26" t="s">
        <v>103</v>
      </c>
      <c r="D26" t="s">
        <v>1492</v>
      </c>
      <c r="E26" s="290" t="s">
        <v>1497</v>
      </c>
      <c r="F26" s="290" t="s">
        <v>1494</v>
      </c>
    </row>
    <row r="27" spans="1:6" ht="16" x14ac:dyDescent="0.2">
      <c r="A27">
        <v>23</v>
      </c>
      <c r="B27" t="s">
        <v>114</v>
      </c>
      <c r="C27" t="s">
        <v>116</v>
      </c>
      <c r="D27" t="s">
        <v>1492</v>
      </c>
      <c r="E27" s="290" t="s">
        <v>1498</v>
      </c>
      <c r="F27" s="290" t="s">
        <v>1494</v>
      </c>
    </row>
    <row r="28" spans="1:6" ht="16" x14ac:dyDescent="0.2">
      <c r="A28">
        <v>24</v>
      </c>
      <c r="B28" t="s">
        <v>115</v>
      </c>
      <c r="C28" t="s">
        <v>120</v>
      </c>
      <c r="D28" t="s">
        <v>1492</v>
      </c>
      <c r="E28" s="290" t="s">
        <v>1499</v>
      </c>
      <c r="F28" s="290" t="s">
        <v>1494</v>
      </c>
    </row>
    <row r="29" spans="1:6" ht="16" x14ac:dyDescent="0.2">
      <c r="A29">
        <v>25</v>
      </c>
      <c r="B29" t="s">
        <v>119</v>
      </c>
      <c r="C29" t="s">
        <v>1500</v>
      </c>
      <c r="D29" t="s">
        <v>1492</v>
      </c>
      <c r="E29" s="290" t="s">
        <v>1501</v>
      </c>
      <c r="F29" s="290" t="s">
        <v>1494</v>
      </c>
    </row>
    <row r="30" spans="1:6" ht="16" x14ac:dyDescent="0.2">
      <c r="A30">
        <v>26</v>
      </c>
      <c r="B30" t="s">
        <v>122</v>
      </c>
      <c r="C30" t="s">
        <v>126</v>
      </c>
      <c r="D30" t="s">
        <v>1492</v>
      </c>
      <c r="E30" s="290" t="s">
        <v>1502</v>
      </c>
      <c r="F30" s="290" t="s">
        <v>1494</v>
      </c>
    </row>
    <row r="31" spans="1:6" ht="16" x14ac:dyDescent="0.2">
      <c r="A31">
        <v>27</v>
      </c>
      <c r="B31" t="s">
        <v>125</v>
      </c>
      <c r="C31" t="s">
        <v>129</v>
      </c>
      <c r="D31" t="s">
        <v>1492</v>
      </c>
      <c r="E31" s="290" t="s">
        <v>1503</v>
      </c>
      <c r="F31" s="290" t="s">
        <v>1494</v>
      </c>
    </row>
    <row r="33" spans="1:6" ht="16" x14ac:dyDescent="0.2">
      <c r="A33">
        <v>31</v>
      </c>
      <c r="B33" t="s">
        <v>135</v>
      </c>
      <c r="C33" t="s">
        <v>1504</v>
      </c>
      <c r="D33" t="s">
        <v>1492</v>
      </c>
      <c r="E33" s="290" t="s">
        <v>1505</v>
      </c>
      <c r="F33" s="290" t="s">
        <v>1494</v>
      </c>
    </row>
    <row r="34" spans="1:6" ht="16" x14ac:dyDescent="0.2">
      <c r="A34">
        <v>33</v>
      </c>
      <c r="B34" t="s">
        <v>141</v>
      </c>
      <c r="C34" t="s">
        <v>1506</v>
      </c>
      <c r="D34" t="s">
        <v>1492</v>
      </c>
      <c r="E34" s="290" t="s">
        <v>1507</v>
      </c>
      <c r="F34" s="290" t="s">
        <v>1494</v>
      </c>
    </row>
    <row r="35" spans="1:6" ht="16" x14ac:dyDescent="0.2">
      <c r="A35">
        <v>34</v>
      </c>
      <c r="B35" t="s">
        <v>144</v>
      </c>
      <c r="C35" t="s">
        <v>1508</v>
      </c>
      <c r="D35" t="s">
        <v>1492</v>
      </c>
      <c r="E35" s="290" t="s">
        <v>1509</v>
      </c>
      <c r="F35" s="290" t="s">
        <v>1494</v>
      </c>
    </row>
    <row r="36" spans="1:6" ht="16" x14ac:dyDescent="0.2">
      <c r="A36">
        <v>35</v>
      </c>
      <c r="B36" t="s">
        <v>147</v>
      </c>
      <c r="C36" t="s">
        <v>1510</v>
      </c>
      <c r="D36" t="s">
        <v>1492</v>
      </c>
      <c r="E36" s="290" t="s">
        <v>1511</v>
      </c>
      <c r="F36" s="290" t="s">
        <v>1494</v>
      </c>
    </row>
    <row r="37" spans="1:6" ht="32" x14ac:dyDescent="0.2">
      <c r="A37">
        <v>36</v>
      </c>
      <c r="B37" t="s">
        <v>150</v>
      </c>
      <c r="C37" t="s">
        <v>1512</v>
      </c>
      <c r="D37" t="s">
        <v>1492</v>
      </c>
      <c r="E37" s="290" t="s">
        <v>1513</v>
      </c>
      <c r="F37" s="290" t="s">
        <v>1494</v>
      </c>
    </row>
    <row r="38" spans="1:6" ht="16" x14ac:dyDescent="0.2">
      <c r="A38">
        <v>37</v>
      </c>
      <c r="B38" t="s">
        <v>153</v>
      </c>
      <c r="C38" t="s">
        <v>1514</v>
      </c>
      <c r="D38" t="s">
        <v>1492</v>
      </c>
      <c r="E38" s="290" t="s">
        <v>1515</v>
      </c>
      <c r="F38" s="290" t="s">
        <v>1494</v>
      </c>
    </row>
    <row r="39" spans="1:6" ht="16" x14ac:dyDescent="0.2">
      <c r="A39">
        <v>38</v>
      </c>
      <c r="B39" t="s">
        <v>156</v>
      </c>
      <c r="C39" t="s">
        <v>157</v>
      </c>
      <c r="D39" t="s">
        <v>1492</v>
      </c>
      <c r="E39" s="290" t="s">
        <v>1516</v>
      </c>
      <c r="F39" s="290" t="s">
        <v>1494</v>
      </c>
    </row>
    <row r="40" spans="1:6" ht="16" x14ac:dyDescent="0.2">
      <c r="A40">
        <v>42</v>
      </c>
      <c r="B40" t="s">
        <v>168</v>
      </c>
      <c r="C40" t="s">
        <v>1517</v>
      </c>
      <c r="D40" t="s">
        <v>1492</v>
      </c>
      <c r="E40" s="290" t="s">
        <v>1518</v>
      </c>
      <c r="F40" s="290" t="s">
        <v>1494</v>
      </c>
    </row>
    <row r="41" spans="1:6" ht="16" x14ac:dyDescent="0.2">
      <c r="A41">
        <v>43</v>
      </c>
      <c r="B41" t="s">
        <v>171</v>
      </c>
      <c r="C41" t="s">
        <v>1519</v>
      </c>
      <c r="D41" t="s">
        <v>1492</v>
      </c>
      <c r="E41" s="290" t="s">
        <v>1520</v>
      </c>
      <c r="F41" s="290" t="s">
        <v>1494</v>
      </c>
    </row>
    <row r="42" spans="1:6" ht="16" x14ac:dyDescent="0.2">
      <c r="A42">
        <v>44</v>
      </c>
      <c r="B42" t="s">
        <v>174</v>
      </c>
      <c r="C42" t="s">
        <v>1521</v>
      </c>
      <c r="D42" t="s">
        <v>1492</v>
      </c>
      <c r="E42" s="290" t="s">
        <v>1522</v>
      </c>
      <c r="F42" s="290" t="s">
        <v>1494</v>
      </c>
    </row>
    <row r="43" spans="1:6" ht="16" x14ac:dyDescent="0.2">
      <c r="A43">
        <v>50</v>
      </c>
      <c r="B43" t="s">
        <v>191</v>
      </c>
      <c r="C43" t="s">
        <v>192</v>
      </c>
      <c r="D43" t="s">
        <v>1492</v>
      </c>
      <c r="E43" s="290" t="s">
        <v>1523</v>
      </c>
      <c r="F43" s="290" t="s">
        <v>1494</v>
      </c>
    </row>
    <row r="44" spans="1:6" ht="16" x14ac:dyDescent="0.2">
      <c r="A44">
        <v>51</v>
      </c>
      <c r="B44" t="s">
        <v>194</v>
      </c>
      <c r="C44" t="s">
        <v>195</v>
      </c>
      <c r="D44" t="s">
        <v>1492</v>
      </c>
      <c r="E44" s="290" t="s">
        <v>1524</v>
      </c>
      <c r="F44" s="290" t="s">
        <v>1494</v>
      </c>
    </row>
    <row r="46" spans="1:6" ht="16" x14ac:dyDescent="0.2">
      <c r="A46">
        <v>56</v>
      </c>
      <c r="B46" t="s">
        <v>207</v>
      </c>
      <c r="C46" t="s">
        <v>1525</v>
      </c>
      <c r="D46" t="s">
        <v>1492</v>
      </c>
      <c r="E46" s="290" t="s">
        <v>1526</v>
      </c>
      <c r="F46" s="290" t="s">
        <v>1494</v>
      </c>
    </row>
    <row r="47" spans="1:6" ht="16" x14ac:dyDescent="0.2">
      <c r="A47">
        <v>57</v>
      </c>
      <c r="B47" t="s">
        <v>210</v>
      </c>
      <c r="C47" t="s">
        <v>211</v>
      </c>
      <c r="D47" t="s">
        <v>1492</v>
      </c>
      <c r="E47" s="290" t="s">
        <v>1527</v>
      </c>
      <c r="F47" s="290" t="s">
        <v>1528</v>
      </c>
    </row>
    <row r="48" spans="1:6" ht="16" x14ac:dyDescent="0.2">
      <c r="A48">
        <v>58</v>
      </c>
      <c r="B48" t="s">
        <v>215</v>
      </c>
      <c r="C48" t="s">
        <v>1170</v>
      </c>
      <c r="D48" t="s">
        <v>1492</v>
      </c>
      <c r="E48" s="290" t="s">
        <v>1529</v>
      </c>
      <c r="F48" s="290" t="s">
        <v>1528</v>
      </c>
    </row>
    <row r="49" spans="1:6" ht="16" x14ac:dyDescent="0.2">
      <c r="A49">
        <v>59</v>
      </c>
      <c r="B49" t="s">
        <v>218</v>
      </c>
      <c r="C49" t="s">
        <v>1530</v>
      </c>
      <c r="D49" t="s">
        <v>1492</v>
      </c>
      <c r="E49" s="290" t="s">
        <v>1531</v>
      </c>
      <c r="F49" s="290" t="s">
        <v>1494</v>
      </c>
    </row>
    <row r="50" spans="1:6" ht="16" x14ac:dyDescent="0.2">
      <c r="A50">
        <v>60</v>
      </c>
      <c r="B50" t="s">
        <v>221</v>
      </c>
      <c r="C50" t="s">
        <v>1532</v>
      </c>
      <c r="D50" t="s">
        <v>1492</v>
      </c>
      <c r="E50" s="290" t="s">
        <v>1533</v>
      </c>
      <c r="F50" s="290" t="s">
        <v>1494</v>
      </c>
    </row>
    <row r="51" spans="1:6" ht="16" x14ac:dyDescent="0.2">
      <c r="A51">
        <v>61</v>
      </c>
      <c r="B51" t="s">
        <v>224</v>
      </c>
      <c r="C51" t="s">
        <v>1534</v>
      </c>
      <c r="D51" t="s">
        <v>1492</v>
      </c>
      <c r="E51" s="290" t="s">
        <v>1535</v>
      </c>
      <c r="F51" s="290" t="s">
        <v>1494</v>
      </c>
    </row>
    <row r="52" spans="1:6" ht="16" x14ac:dyDescent="0.2">
      <c r="A52">
        <v>64</v>
      </c>
      <c r="B52" t="s">
        <v>237</v>
      </c>
      <c r="C52" t="s">
        <v>1536</v>
      </c>
      <c r="D52" t="s">
        <v>1492</v>
      </c>
      <c r="E52" s="290" t="s">
        <v>1537</v>
      </c>
      <c r="F52" s="290" t="s">
        <v>1494</v>
      </c>
    </row>
    <row r="53" spans="1:6" ht="16" x14ac:dyDescent="0.2">
      <c r="A53">
        <v>65</v>
      </c>
      <c r="B53" t="s">
        <v>243</v>
      </c>
      <c r="C53" t="s">
        <v>238</v>
      </c>
      <c r="D53" t="s">
        <v>1492</v>
      </c>
      <c r="E53" s="290" t="s">
        <v>1538</v>
      </c>
      <c r="F53" s="290" t="s">
        <v>1539</v>
      </c>
    </row>
    <row r="55" spans="1:6" ht="16" x14ac:dyDescent="0.2">
      <c r="A55">
        <v>77</v>
      </c>
      <c r="B55" t="s">
        <v>268</v>
      </c>
      <c r="C55" t="s">
        <v>269</v>
      </c>
      <c r="D55" t="s">
        <v>1492</v>
      </c>
      <c r="E55" s="290" t="s">
        <v>1540</v>
      </c>
      <c r="F55" s="290" t="s">
        <v>1541</v>
      </c>
    </row>
    <row r="56" spans="1:6" ht="16" x14ac:dyDescent="0.2">
      <c r="A56">
        <v>79</v>
      </c>
      <c r="B56" t="s">
        <v>273</v>
      </c>
      <c r="C56" t="s">
        <v>277</v>
      </c>
      <c r="D56" t="s">
        <v>1492</v>
      </c>
      <c r="E56" s="290" t="s">
        <v>1542</v>
      </c>
      <c r="F56" s="290" t="s">
        <v>1494</v>
      </c>
    </row>
    <row r="57" spans="1:6" ht="16" x14ac:dyDescent="0.2">
      <c r="A57">
        <v>81</v>
      </c>
      <c r="B57" t="s">
        <v>282</v>
      </c>
      <c r="C57" t="s">
        <v>283</v>
      </c>
      <c r="D57" t="s">
        <v>1492</v>
      </c>
      <c r="E57" s="290" t="s">
        <v>1543</v>
      </c>
      <c r="F57" s="290" t="s">
        <v>1494</v>
      </c>
    </row>
    <row r="59" spans="1:6" ht="32" x14ac:dyDescent="0.2">
      <c r="A59">
        <v>90</v>
      </c>
      <c r="B59" t="s">
        <v>300</v>
      </c>
      <c r="C59" t="s">
        <v>1544</v>
      </c>
      <c r="D59" t="s">
        <v>1492</v>
      </c>
      <c r="E59" s="290" t="s">
        <v>1545</v>
      </c>
      <c r="F59" s="290" t="s">
        <v>1546</v>
      </c>
    </row>
    <row r="60" spans="1:6" ht="16" x14ac:dyDescent="0.2">
      <c r="A60">
        <v>91</v>
      </c>
      <c r="B60" t="s">
        <v>303</v>
      </c>
      <c r="C60" t="s">
        <v>1547</v>
      </c>
      <c r="D60" t="s">
        <v>1548</v>
      </c>
      <c r="E60" s="290" t="s">
        <v>1549</v>
      </c>
      <c r="F60" s="290" t="s">
        <v>1550</v>
      </c>
    </row>
    <row r="61" spans="1:6" ht="32" x14ac:dyDescent="0.2">
      <c r="A61">
        <v>93</v>
      </c>
      <c r="B61" t="s">
        <v>307</v>
      </c>
      <c r="C61" t="s">
        <v>1551</v>
      </c>
      <c r="D61" t="s">
        <v>1492</v>
      </c>
      <c r="E61" s="290" t="s">
        <v>1552</v>
      </c>
      <c r="F61" s="290" t="s">
        <v>1553</v>
      </c>
    </row>
    <row r="63" spans="1:6" ht="16" x14ac:dyDescent="0.2">
      <c r="A63" t="s">
        <v>1554</v>
      </c>
      <c r="B63" t="s">
        <v>1555</v>
      </c>
      <c r="C63" t="s">
        <v>1556</v>
      </c>
      <c r="D63" t="s">
        <v>1492</v>
      </c>
      <c r="E63" s="290" t="s">
        <v>1557</v>
      </c>
      <c r="F63" s="290" t="s">
        <v>1558</v>
      </c>
    </row>
    <row r="65" spans="1:6" ht="32" x14ac:dyDescent="0.2">
      <c r="A65" t="s">
        <v>1559</v>
      </c>
      <c r="B65" t="s">
        <v>1560</v>
      </c>
      <c r="C65" t="s">
        <v>1561</v>
      </c>
      <c r="D65" t="s">
        <v>1562</v>
      </c>
      <c r="E65" s="290" t="s">
        <v>1563</v>
      </c>
      <c r="F65" s="290" t="s">
        <v>1558</v>
      </c>
    </row>
    <row r="67" spans="1:6" ht="16" x14ac:dyDescent="0.2">
      <c r="A67" s="936" t="s">
        <v>1564</v>
      </c>
    </row>
    <row r="68" spans="1:6" x14ac:dyDescent="0.2">
      <c r="A68" s="37" t="s">
        <v>1565</v>
      </c>
    </row>
    <row r="69" spans="1:6" ht="224" x14ac:dyDescent="0.2">
      <c r="A69" s="290" t="s">
        <v>1566</v>
      </c>
    </row>
    <row r="70" spans="1:6" x14ac:dyDescent="0.2">
      <c r="A70" s="37" t="s">
        <v>1567</v>
      </c>
    </row>
    <row r="71" spans="1:6" ht="176" x14ac:dyDescent="0.2">
      <c r="A71" s="290" t="s">
        <v>1568</v>
      </c>
    </row>
    <row r="72" spans="1:6" x14ac:dyDescent="0.2">
      <c r="A72" s="37" t="s">
        <v>1569</v>
      </c>
    </row>
    <row r="73" spans="1:6" ht="288" x14ac:dyDescent="0.2">
      <c r="A73" s="290" t="s">
        <v>1570</v>
      </c>
    </row>
    <row r="74" spans="1:6" x14ac:dyDescent="0.2">
      <c r="A74" s="37" t="s">
        <v>1571</v>
      </c>
    </row>
    <row r="75" spans="1:6" ht="144" x14ac:dyDescent="0.2">
      <c r="A75" s="290" t="s">
        <v>1572</v>
      </c>
    </row>
    <row r="76" spans="1:6" x14ac:dyDescent="0.2">
      <c r="A76" s="37" t="s">
        <v>1573</v>
      </c>
    </row>
    <row r="77" spans="1:6" ht="224" x14ac:dyDescent="0.2">
      <c r="A77" s="290" t="s">
        <v>1574</v>
      </c>
    </row>
    <row r="79" spans="1:6" ht="16" x14ac:dyDescent="0.2">
      <c r="A79" s="939" t="s">
        <v>1575</v>
      </c>
    </row>
    <row r="80" spans="1:6" x14ac:dyDescent="0.2">
      <c r="A80" t="s">
        <v>1576</v>
      </c>
      <c r="B80" t="s">
        <v>1577</v>
      </c>
    </row>
    <row r="81" spans="1:2" x14ac:dyDescent="0.2">
      <c r="A81" t="s">
        <v>1578</v>
      </c>
      <c r="B81" t="s">
        <v>1579</v>
      </c>
    </row>
    <row r="82" spans="1:2" x14ac:dyDescent="0.2">
      <c r="A82" t="s">
        <v>1580</v>
      </c>
      <c r="B82" t="s">
        <v>1581</v>
      </c>
    </row>
    <row r="83" spans="1:2" x14ac:dyDescent="0.2">
      <c r="A83" t="s">
        <v>1582</v>
      </c>
      <c r="B83" t="s">
        <v>1583</v>
      </c>
    </row>
    <row r="85" spans="1:2" x14ac:dyDescent="0.2">
      <c r="A85" s="940" t="s">
        <v>1584</v>
      </c>
    </row>
    <row r="86" spans="1:2" ht="335" x14ac:dyDescent="0.2">
      <c r="A86" s="290" t="s">
        <v>1585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N51"/>
  <sheetViews>
    <sheetView showGridLines="0" workbookViewId="0">
      <selection activeCell="D11" sqref="D11"/>
    </sheetView>
  </sheetViews>
  <sheetFormatPr baseColWidth="10" defaultColWidth="8.83203125" defaultRowHeight="15" x14ac:dyDescent="0.2"/>
  <cols>
    <col min="1" max="1" width="53.33203125" customWidth="1"/>
    <col min="2" max="2" width="8.33203125" customWidth="1"/>
    <col min="3" max="12" width="12.5" customWidth="1"/>
    <col min="13" max="14" width="33.33203125" customWidth="1"/>
  </cols>
  <sheetData>
    <row r="1" spans="1:14" ht="28" customHeight="1" x14ac:dyDescent="0.2">
      <c r="A1" s="867" t="s">
        <v>443</v>
      </c>
      <c r="B1" s="867"/>
      <c r="C1" s="867"/>
      <c r="D1" s="867"/>
      <c r="E1" s="867"/>
      <c r="F1" s="867"/>
      <c r="G1" s="867"/>
      <c r="H1" s="867"/>
      <c r="I1" s="867"/>
      <c r="J1" s="867"/>
      <c r="K1" s="867"/>
      <c r="L1" s="867"/>
      <c r="M1" s="452"/>
      <c r="N1" s="452"/>
    </row>
    <row r="2" spans="1:14" ht="15.75" customHeight="1" x14ac:dyDescent="0.2">
      <c r="A2" s="869" t="s">
        <v>444</v>
      </c>
      <c r="B2" s="870"/>
      <c r="C2" s="870"/>
      <c r="D2" s="870"/>
      <c r="E2" s="870"/>
      <c r="F2" s="870"/>
      <c r="G2" s="870"/>
      <c r="H2" s="870"/>
      <c r="I2" s="870"/>
      <c r="J2" s="870"/>
      <c r="K2" s="870"/>
      <c r="L2" s="870"/>
      <c r="M2" s="55"/>
      <c r="N2" s="55"/>
    </row>
    <row r="3" spans="1:14" ht="15.75" customHeight="1" x14ac:dyDescent="0.2"/>
    <row r="4" spans="1:14" ht="15.75" customHeight="1" x14ac:dyDescent="0.2"/>
    <row r="5" spans="1:14" ht="22" customHeight="1" x14ac:dyDescent="0.2">
      <c r="A5" s="456"/>
      <c r="B5" s="457" t="s">
        <v>445</v>
      </c>
      <c r="C5" s="455">
        <v>2024</v>
      </c>
      <c r="D5" s="455">
        <v>2025</v>
      </c>
      <c r="E5" s="455">
        <v>2026</v>
      </c>
      <c r="F5" s="455">
        <v>2027</v>
      </c>
      <c r="G5" s="455">
        <v>2028</v>
      </c>
      <c r="H5" s="455">
        <v>2029</v>
      </c>
      <c r="I5" s="455">
        <v>2030</v>
      </c>
      <c r="J5" s="455">
        <v>2031</v>
      </c>
      <c r="K5" s="455">
        <v>2032</v>
      </c>
      <c r="L5" s="455">
        <v>2033</v>
      </c>
    </row>
    <row r="6" spans="1:14" ht="15.75" customHeight="1" x14ac:dyDescent="0.2">
      <c r="C6" s="458" t="s">
        <v>446</v>
      </c>
      <c r="D6" s="458" t="s">
        <v>446</v>
      </c>
      <c r="E6" s="458" t="s">
        <v>447</v>
      </c>
      <c r="F6" s="458" t="s">
        <v>447</v>
      </c>
      <c r="G6" s="458" t="s">
        <v>448</v>
      </c>
      <c r="H6" s="458" t="s">
        <v>448</v>
      </c>
      <c r="I6" s="458" t="s">
        <v>448</v>
      </c>
      <c r="J6" s="458" t="s">
        <v>449</v>
      </c>
      <c r="K6" s="458" t="s">
        <v>449</v>
      </c>
      <c r="L6" s="458" t="s">
        <v>449</v>
      </c>
    </row>
    <row r="7" spans="1:14" ht="15.75" customHeight="1" x14ac:dyDescent="0.2"/>
    <row r="8" spans="1:14" ht="22" customHeight="1" x14ac:dyDescent="0.2">
      <c r="A8" s="868" t="s">
        <v>450</v>
      </c>
      <c r="B8" s="860"/>
      <c r="C8" s="860"/>
      <c r="D8" s="860"/>
      <c r="E8" s="860"/>
      <c r="F8" s="860"/>
      <c r="G8" s="860"/>
      <c r="H8" s="860"/>
      <c r="I8" s="860"/>
      <c r="J8" s="860"/>
      <c r="K8" s="860"/>
      <c r="L8" s="860"/>
    </row>
    <row r="9" spans="1:14" ht="15.75" customHeight="1" x14ac:dyDescent="0.2">
      <c r="A9" s="18" t="s">
        <v>451</v>
      </c>
      <c r="B9" s="482" t="s">
        <v>452</v>
      </c>
      <c r="C9" s="459">
        <v>0.7</v>
      </c>
      <c r="D9" s="460">
        <f>Assumptions!$F$8</f>
        <v>1.3</v>
      </c>
      <c r="E9" s="461">
        <f t="shared" ref="E9:L9" si="0">D34</f>
        <v>2.5</v>
      </c>
      <c r="F9" s="461">
        <f t="shared" si="0"/>
        <v>2.9866900000000003</v>
      </c>
      <c r="G9" s="461">
        <f t="shared" si="0"/>
        <v>3.6873113930395336</v>
      </c>
      <c r="H9" s="461">
        <f t="shared" si="0"/>
        <v>4.4220310542803283</v>
      </c>
      <c r="I9" s="461">
        <f t="shared" si="0"/>
        <v>5.190112268539119</v>
      </c>
      <c r="J9" s="461">
        <f t="shared" si="0"/>
        <v>5.9725117179090708</v>
      </c>
      <c r="K9" s="461">
        <f t="shared" si="0"/>
        <v>6.7474477830471784</v>
      </c>
      <c r="L9" s="461">
        <f t="shared" si="0"/>
        <v>7.4928859026398786</v>
      </c>
    </row>
    <row r="10" spans="1:14" ht="15.75" customHeight="1" x14ac:dyDescent="0.2">
      <c r="A10" s="479" t="s">
        <v>453</v>
      </c>
      <c r="B10" s="483" t="s">
        <v>452</v>
      </c>
      <c r="C10" s="474">
        <v>0.5</v>
      </c>
      <c r="D10" s="474">
        <v>0</v>
      </c>
      <c r="E10" s="475">
        <f t="shared" ref="E10:L10" si="1">D31</f>
        <v>1.304</v>
      </c>
      <c r="F10" s="475">
        <f t="shared" si="1"/>
        <v>0.86924999999999997</v>
      </c>
      <c r="G10" s="475">
        <f t="shared" si="1"/>
        <v>1.1222787930395333</v>
      </c>
      <c r="H10" s="475">
        <f t="shared" si="1"/>
        <v>1.2275045037094923</v>
      </c>
      <c r="I10" s="475">
        <f t="shared" si="1"/>
        <v>1.3462169766347962</v>
      </c>
      <c r="J10" s="475">
        <f t="shared" si="1"/>
        <v>1.4435260183555563</v>
      </c>
      <c r="K10" s="475">
        <f t="shared" si="1"/>
        <v>1.5178335996471206</v>
      </c>
      <c r="L10" s="475">
        <f t="shared" si="1"/>
        <v>1.5652876638461115</v>
      </c>
    </row>
    <row r="11" spans="1:14" ht="15.75" customHeight="1" x14ac:dyDescent="0.2">
      <c r="A11" s="480" t="s">
        <v>454</v>
      </c>
      <c r="B11" s="482" t="s">
        <v>452</v>
      </c>
      <c r="C11" s="459">
        <v>0.15</v>
      </c>
      <c r="D11" s="462">
        <v>0</v>
      </c>
      <c r="E11" s="461">
        <f t="shared" ref="E11:L11" si="2">D26</f>
        <v>0</v>
      </c>
      <c r="F11" s="461">
        <f t="shared" si="2"/>
        <v>1.01712</v>
      </c>
      <c r="G11" s="461">
        <f t="shared" si="2"/>
        <v>0.67801500000000003</v>
      </c>
      <c r="H11" s="461">
        <f t="shared" si="2"/>
        <v>0.87537745857083593</v>
      </c>
      <c r="I11" s="461">
        <f t="shared" si="2"/>
        <v>0.95745351289340397</v>
      </c>
      <c r="J11" s="461">
        <f t="shared" si="2"/>
        <v>1.050049241775141</v>
      </c>
      <c r="K11" s="461">
        <f t="shared" si="2"/>
        <v>1.1259502943173338</v>
      </c>
      <c r="L11" s="461">
        <f t="shared" si="2"/>
        <v>1.1839102077247541</v>
      </c>
    </row>
    <row r="12" spans="1:14" ht="15.75" customHeight="1" x14ac:dyDescent="0.2">
      <c r="A12" s="479" t="s">
        <v>455</v>
      </c>
      <c r="B12" s="483" t="s">
        <v>452</v>
      </c>
      <c r="C12" s="474">
        <v>0.05</v>
      </c>
      <c r="D12" s="476">
        <f>Assumptions!$F$8</f>
        <v>1.3</v>
      </c>
      <c r="E12" s="475">
        <f t="shared" ref="E12:L12" si="3">D28</f>
        <v>1.196</v>
      </c>
      <c r="F12" s="475">
        <f t="shared" si="3"/>
        <v>1.10032</v>
      </c>
      <c r="G12" s="475">
        <f t="shared" si="3"/>
        <v>1.8870176000000001</v>
      </c>
      <c r="H12" s="475">
        <f t="shared" si="3"/>
        <v>2.319149092</v>
      </c>
      <c r="I12" s="475">
        <f t="shared" si="3"/>
        <v>2.8864417790109189</v>
      </c>
      <c r="J12" s="475">
        <f t="shared" si="3"/>
        <v>3.478936457778373</v>
      </c>
      <c r="K12" s="475">
        <f t="shared" si="3"/>
        <v>4.1036638890827239</v>
      </c>
      <c r="L12" s="475">
        <f t="shared" si="3"/>
        <v>4.7436880310690128</v>
      </c>
    </row>
    <row r="13" spans="1:14" ht="15.75" customHeight="1" x14ac:dyDescent="0.2">
      <c r="A13" s="28"/>
      <c r="B13" s="28"/>
      <c r="C13" s="28"/>
      <c r="D13" s="28"/>
      <c r="E13" s="28"/>
      <c r="F13" s="28"/>
      <c r="G13" s="28"/>
      <c r="H13" s="28"/>
      <c r="I13" s="28"/>
      <c r="J13" s="28"/>
      <c r="K13" s="28"/>
      <c r="L13" s="28"/>
    </row>
    <row r="14" spans="1:14" ht="22" customHeight="1" x14ac:dyDescent="0.2">
      <c r="A14" s="868" t="s">
        <v>456</v>
      </c>
      <c r="B14" s="860"/>
      <c r="C14" s="860"/>
      <c r="D14" s="860"/>
      <c r="E14" s="860"/>
      <c r="F14" s="860"/>
      <c r="G14" s="860"/>
      <c r="H14" s="860"/>
      <c r="I14" s="860"/>
      <c r="J14" s="860"/>
      <c r="K14" s="860"/>
      <c r="L14" s="860"/>
    </row>
    <row r="15" spans="1:14" ht="15.75" customHeight="1" x14ac:dyDescent="0.2">
      <c r="A15" s="18" t="s">
        <v>457</v>
      </c>
      <c r="B15" s="482" t="s">
        <v>458</v>
      </c>
      <c r="C15" s="84">
        <f>Assumptions!$F$19</f>
        <v>0.22</v>
      </c>
      <c r="D15" s="84">
        <f>Assumptions!$F$19</f>
        <v>0.22</v>
      </c>
      <c r="E15" s="84">
        <f>Assumptions!$F$19</f>
        <v>0.22</v>
      </c>
      <c r="F15" s="84">
        <f>Assumptions!$F$19</f>
        <v>0.22</v>
      </c>
      <c r="G15" s="84">
        <f>Assumptions!$F$19</f>
        <v>0.22</v>
      </c>
      <c r="H15" s="84">
        <f>Assumptions!$F$19</f>
        <v>0.22</v>
      </c>
      <c r="I15" s="84">
        <f>Assumptions!$F$19</f>
        <v>0.22</v>
      </c>
      <c r="J15" s="84">
        <f>Assumptions!$F$19</f>
        <v>0.22</v>
      </c>
      <c r="K15" s="84">
        <f>Assumptions!$F$19</f>
        <v>0.22</v>
      </c>
      <c r="L15" s="84">
        <f>Assumptions!$F$19</f>
        <v>0.22</v>
      </c>
    </row>
    <row r="16" spans="1:14" ht="15.75" customHeight="1" x14ac:dyDescent="0.2">
      <c r="A16" s="473" t="s">
        <v>459</v>
      </c>
      <c r="B16" s="483" t="s">
        <v>458</v>
      </c>
      <c r="C16" s="477">
        <f>Assumptions!$F$20</f>
        <v>0.14000000000000001</v>
      </c>
      <c r="D16" s="477">
        <f>Assumptions!$F$20</f>
        <v>0.14000000000000001</v>
      </c>
      <c r="E16" s="477">
        <f>Assumptions!$F$20</f>
        <v>0.14000000000000001</v>
      </c>
      <c r="F16" s="477">
        <f>Assumptions!$F$20</f>
        <v>0.14000000000000001</v>
      </c>
      <c r="G16" s="477">
        <f>Assumptions!$F$20</f>
        <v>0.14000000000000001</v>
      </c>
      <c r="H16" s="477">
        <f>Assumptions!$F$20</f>
        <v>0.14000000000000001</v>
      </c>
      <c r="I16" s="477">
        <f>Assumptions!$F$20</f>
        <v>0.14000000000000001</v>
      </c>
      <c r="J16" s="477">
        <f>Assumptions!$F$20</f>
        <v>0.14000000000000001</v>
      </c>
      <c r="K16" s="477">
        <f>Assumptions!$F$20</f>
        <v>0.14000000000000001</v>
      </c>
      <c r="L16" s="477">
        <f>Assumptions!$F$20</f>
        <v>0.14000000000000001</v>
      </c>
    </row>
    <row r="17" spans="1:12" ht="15.75" customHeight="1" x14ac:dyDescent="0.2">
      <c r="A17" s="18" t="s">
        <v>460</v>
      </c>
      <c r="B17" s="482" t="s">
        <v>458</v>
      </c>
      <c r="C17" s="84">
        <f>Assumptions!$F$21</f>
        <v>0.08</v>
      </c>
      <c r="D17" s="84">
        <f>Assumptions!$F$21</f>
        <v>0.08</v>
      </c>
      <c r="E17" s="84">
        <f>Assumptions!$F$21</f>
        <v>0.08</v>
      </c>
      <c r="F17" s="84">
        <f>Assumptions!$F$21</f>
        <v>0.08</v>
      </c>
      <c r="G17" s="84">
        <f>Assumptions!$F$21</f>
        <v>0.08</v>
      </c>
      <c r="H17" s="84">
        <f>Assumptions!$F$21</f>
        <v>0.08</v>
      </c>
      <c r="I17" s="84">
        <f>Assumptions!$F$21</f>
        <v>0.08</v>
      </c>
      <c r="J17" s="84">
        <f>Assumptions!$F$21</f>
        <v>0.08</v>
      </c>
      <c r="K17" s="84">
        <f>Assumptions!$F$21</f>
        <v>0.08</v>
      </c>
      <c r="L17" s="84">
        <f>Assumptions!$F$21</f>
        <v>0.08</v>
      </c>
    </row>
    <row r="18" spans="1:12" ht="15.75" customHeight="1" x14ac:dyDescent="0.2">
      <c r="A18" s="28"/>
      <c r="B18" s="28"/>
      <c r="C18" s="28"/>
      <c r="D18" s="28"/>
      <c r="E18" s="28"/>
      <c r="F18" s="28"/>
      <c r="G18" s="28"/>
      <c r="H18" s="28"/>
      <c r="I18" s="28"/>
      <c r="J18" s="28"/>
      <c r="K18" s="28"/>
      <c r="L18" s="28"/>
    </row>
    <row r="19" spans="1:12" ht="22" customHeight="1" x14ac:dyDescent="0.2">
      <c r="A19" s="868" t="s">
        <v>461</v>
      </c>
      <c r="B19" s="860"/>
      <c r="C19" s="860"/>
      <c r="D19" s="860"/>
      <c r="E19" s="860"/>
      <c r="F19" s="860"/>
      <c r="G19" s="860"/>
      <c r="H19" s="860"/>
      <c r="I19" s="860"/>
      <c r="J19" s="860"/>
      <c r="K19" s="860"/>
      <c r="L19" s="860"/>
    </row>
    <row r="20" spans="1:12" ht="15.75" customHeight="1" x14ac:dyDescent="0.2">
      <c r="A20" s="480" t="s">
        <v>462</v>
      </c>
      <c r="B20" s="482" t="s">
        <v>452</v>
      </c>
      <c r="C20" s="461">
        <f t="shared" ref="C20:L20" si="4">C10*C15</f>
        <v>0.11</v>
      </c>
      <c r="D20" s="461">
        <f t="shared" si="4"/>
        <v>0</v>
      </c>
      <c r="E20" s="461">
        <f t="shared" si="4"/>
        <v>0.28688000000000002</v>
      </c>
      <c r="F20" s="461">
        <f t="shared" si="4"/>
        <v>0.19123499999999999</v>
      </c>
      <c r="G20" s="461">
        <f t="shared" si="4"/>
        <v>0.24690133446869733</v>
      </c>
      <c r="H20" s="461">
        <f t="shared" si="4"/>
        <v>0.2700509908160883</v>
      </c>
      <c r="I20" s="461">
        <f t="shared" si="4"/>
        <v>0.2961677348596552</v>
      </c>
      <c r="J20" s="461">
        <f t="shared" si="4"/>
        <v>0.31757572403822237</v>
      </c>
      <c r="K20" s="461">
        <f t="shared" si="4"/>
        <v>0.33392339192236653</v>
      </c>
      <c r="L20" s="461">
        <f t="shared" si="4"/>
        <v>0.34436328604614452</v>
      </c>
    </row>
    <row r="21" spans="1:12" ht="15.75" customHeight="1" x14ac:dyDescent="0.2">
      <c r="A21" s="479" t="s">
        <v>463</v>
      </c>
      <c r="B21" s="483" t="s">
        <v>452</v>
      </c>
      <c r="C21" s="475">
        <f t="shared" ref="C21:L21" si="5">C11*C16</f>
        <v>2.1000000000000001E-2</v>
      </c>
      <c r="D21" s="475">
        <f t="shared" si="5"/>
        <v>0</v>
      </c>
      <c r="E21" s="475">
        <f t="shared" si="5"/>
        <v>0</v>
      </c>
      <c r="F21" s="475">
        <f t="shared" si="5"/>
        <v>0.14239680000000002</v>
      </c>
      <c r="G21" s="475">
        <f t="shared" si="5"/>
        <v>9.4922100000000009E-2</v>
      </c>
      <c r="H21" s="475">
        <f t="shared" si="5"/>
        <v>0.12255284419991704</v>
      </c>
      <c r="I21" s="475">
        <f t="shared" si="5"/>
        <v>0.13404349180507658</v>
      </c>
      <c r="J21" s="475">
        <f t="shared" si="5"/>
        <v>0.14700689384851975</v>
      </c>
      <c r="K21" s="475">
        <f t="shared" si="5"/>
        <v>0.15763304120442675</v>
      </c>
      <c r="L21" s="475">
        <f t="shared" si="5"/>
        <v>0.16574742908146559</v>
      </c>
    </row>
    <row r="22" spans="1:12" ht="15.75" customHeight="1" x14ac:dyDescent="0.2">
      <c r="A22" s="480" t="s">
        <v>464</v>
      </c>
      <c r="B22" s="482" t="s">
        <v>452</v>
      </c>
      <c r="C22" s="461">
        <f t="shared" ref="C22:L22" si="6">C12*C17</f>
        <v>4.0000000000000001E-3</v>
      </c>
      <c r="D22" s="461">
        <f t="shared" si="6"/>
        <v>0.10400000000000001</v>
      </c>
      <c r="E22" s="461">
        <f t="shared" si="6"/>
        <v>9.5680000000000001E-2</v>
      </c>
      <c r="F22" s="461">
        <f t="shared" si="6"/>
        <v>8.8025599999999996E-2</v>
      </c>
      <c r="G22" s="461">
        <f t="shared" si="6"/>
        <v>0.15096140800000002</v>
      </c>
      <c r="H22" s="461">
        <f t="shared" si="6"/>
        <v>0.18553192735999999</v>
      </c>
      <c r="I22" s="461">
        <f t="shared" si="6"/>
        <v>0.23091534232087352</v>
      </c>
      <c r="J22" s="461">
        <f t="shared" si="6"/>
        <v>0.27831491662226987</v>
      </c>
      <c r="K22" s="461">
        <f t="shared" si="6"/>
        <v>0.32829311112661791</v>
      </c>
      <c r="L22" s="461">
        <f t="shared" si="6"/>
        <v>0.37949504248552102</v>
      </c>
    </row>
    <row r="23" spans="1:12" ht="15.75" customHeight="1" x14ac:dyDescent="0.2">
      <c r="A23" s="466" t="s">
        <v>465</v>
      </c>
      <c r="B23" s="484" t="s">
        <v>452</v>
      </c>
      <c r="C23" s="467">
        <f t="shared" ref="C23:L23" si="7">SUM(C20:C22)</f>
        <v>0.13500000000000001</v>
      </c>
      <c r="D23" s="467">
        <f t="shared" si="7"/>
        <v>0.10400000000000001</v>
      </c>
      <c r="E23" s="467">
        <f t="shared" si="7"/>
        <v>0.38256000000000001</v>
      </c>
      <c r="F23" s="467">
        <f t="shared" si="7"/>
        <v>0.42165740000000002</v>
      </c>
      <c r="G23" s="467">
        <f t="shared" si="7"/>
        <v>0.49278484246869736</v>
      </c>
      <c r="H23" s="467">
        <f t="shared" si="7"/>
        <v>0.57813576237600528</v>
      </c>
      <c r="I23" s="467">
        <f t="shared" si="7"/>
        <v>0.66112656898560529</v>
      </c>
      <c r="J23" s="467">
        <f t="shared" si="7"/>
        <v>0.74289753450901208</v>
      </c>
      <c r="K23" s="467">
        <f t="shared" si="7"/>
        <v>0.81984954425341128</v>
      </c>
      <c r="L23" s="467">
        <f t="shared" si="7"/>
        <v>0.8896057576131311</v>
      </c>
    </row>
    <row r="24" spans="1:12" ht="15.75" customHeight="1" x14ac:dyDescent="0.2">
      <c r="A24" s="28"/>
      <c r="B24" s="28"/>
      <c r="C24" s="28"/>
      <c r="D24" s="28"/>
      <c r="E24" s="28"/>
      <c r="F24" s="28"/>
      <c r="G24" s="28"/>
      <c r="H24" s="28"/>
      <c r="I24" s="28"/>
      <c r="J24" s="28"/>
      <c r="K24" s="28"/>
      <c r="L24" s="28"/>
    </row>
    <row r="25" spans="1:12" ht="22" customHeight="1" x14ac:dyDescent="0.2">
      <c r="A25" s="868" t="s">
        <v>466</v>
      </c>
      <c r="B25" s="860"/>
      <c r="C25" s="860"/>
      <c r="D25" s="860"/>
      <c r="E25" s="860"/>
      <c r="F25" s="860"/>
      <c r="G25" s="860"/>
      <c r="H25" s="860"/>
      <c r="I25" s="860"/>
      <c r="J25" s="860"/>
      <c r="K25" s="860"/>
      <c r="L25" s="860"/>
    </row>
    <row r="26" spans="1:12" ht="15.75" customHeight="1" x14ac:dyDescent="0.2">
      <c r="A26" s="480" t="s">
        <v>467</v>
      </c>
      <c r="B26" s="482" t="s">
        <v>452</v>
      </c>
      <c r="C26" s="461">
        <f t="shared" ref="C26:L26" si="8">C10-C20</f>
        <v>0.39</v>
      </c>
      <c r="D26" s="461">
        <f t="shared" si="8"/>
        <v>0</v>
      </c>
      <c r="E26" s="461">
        <f t="shared" si="8"/>
        <v>1.01712</v>
      </c>
      <c r="F26" s="461">
        <f t="shared" si="8"/>
        <v>0.67801500000000003</v>
      </c>
      <c r="G26" s="461">
        <f t="shared" si="8"/>
        <v>0.87537745857083593</v>
      </c>
      <c r="H26" s="461">
        <f t="shared" si="8"/>
        <v>0.95745351289340397</v>
      </c>
      <c r="I26" s="461">
        <f t="shared" si="8"/>
        <v>1.050049241775141</v>
      </c>
      <c r="J26" s="461">
        <f t="shared" si="8"/>
        <v>1.1259502943173338</v>
      </c>
      <c r="K26" s="461">
        <f t="shared" si="8"/>
        <v>1.1839102077247541</v>
      </c>
      <c r="L26" s="461">
        <f t="shared" si="8"/>
        <v>1.220924377799967</v>
      </c>
    </row>
    <row r="27" spans="1:12" ht="15.75" customHeight="1" x14ac:dyDescent="0.2">
      <c r="A27" s="479" t="s">
        <v>468</v>
      </c>
      <c r="B27" s="483" t="s">
        <v>452</v>
      </c>
      <c r="C27" s="475">
        <f t="shared" ref="C27:L27" si="9">C11-C21</f>
        <v>0.129</v>
      </c>
      <c r="D27" s="475">
        <f t="shared" si="9"/>
        <v>0</v>
      </c>
      <c r="E27" s="475">
        <f t="shared" si="9"/>
        <v>0</v>
      </c>
      <c r="F27" s="475">
        <f t="shared" si="9"/>
        <v>0.87472320000000003</v>
      </c>
      <c r="G27" s="475">
        <f t="shared" si="9"/>
        <v>0.58309290000000003</v>
      </c>
      <c r="H27" s="475">
        <f t="shared" si="9"/>
        <v>0.75282461437091885</v>
      </c>
      <c r="I27" s="475">
        <f t="shared" si="9"/>
        <v>0.82341002108832739</v>
      </c>
      <c r="J27" s="475">
        <f t="shared" si="9"/>
        <v>0.9030423479266213</v>
      </c>
      <c r="K27" s="475">
        <f t="shared" si="9"/>
        <v>0.96831725311290706</v>
      </c>
      <c r="L27" s="475">
        <f t="shared" si="9"/>
        <v>1.0181627786432885</v>
      </c>
    </row>
    <row r="28" spans="1:12" ht="15.75" customHeight="1" x14ac:dyDescent="0.2">
      <c r="A28" s="480" t="s">
        <v>469</v>
      </c>
      <c r="B28" s="482" t="s">
        <v>452</v>
      </c>
      <c r="C28" s="461">
        <f t="shared" ref="C28:L28" si="10">C12-C22+C27</f>
        <v>0.17499999999999999</v>
      </c>
      <c r="D28" s="461">
        <f t="shared" si="10"/>
        <v>1.196</v>
      </c>
      <c r="E28" s="461">
        <f t="shared" si="10"/>
        <v>1.10032</v>
      </c>
      <c r="F28" s="461">
        <f t="shared" si="10"/>
        <v>1.8870176000000001</v>
      </c>
      <c r="G28" s="461">
        <f t="shared" si="10"/>
        <v>2.319149092</v>
      </c>
      <c r="H28" s="461">
        <f t="shared" si="10"/>
        <v>2.8864417790109189</v>
      </c>
      <c r="I28" s="461">
        <f t="shared" si="10"/>
        <v>3.478936457778373</v>
      </c>
      <c r="J28" s="461">
        <f t="shared" si="10"/>
        <v>4.1036638890827239</v>
      </c>
      <c r="K28" s="461">
        <f t="shared" si="10"/>
        <v>4.7436880310690128</v>
      </c>
      <c r="L28" s="461">
        <f t="shared" si="10"/>
        <v>5.3823557672267803</v>
      </c>
    </row>
    <row r="29" spans="1:12" ht="15.75" customHeight="1" x14ac:dyDescent="0.2">
      <c r="A29" s="28"/>
      <c r="B29" s="28"/>
      <c r="C29" s="28"/>
      <c r="D29" s="28"/>
      <c r="E29" s="28"/>
      <c r="F29" s="28"/>
      <c r="G29" s="28"/>
      <c r="H29" s="28"/>
      <c r="I29" s="28"/>
      <c r="J29" s="28"/>
      <c r="K29" s="28"/>
      <c r="L29" s="28"/>
    </row>
    <row r="30" spans="1:12" ht="22" customHeight="1" x14ac:dyDescent="0.2">
      <c r="A30" s="868" t="s">
        <v>470</v>
      </c>
      <c r="B30" s="860"/>
      <c r="C30" s="860"/>
      <c r="D30" s="860"/>
      <c r="E30" s="860"/>
      <c r="F30" s="860"/>
      <c r="G30" s="860"/>
      <c r="H30" s="860"/>
      <c r="I30" s="860"/>
      <c r="J30" s="860"/>
      <c r="K30" s="860"/>
      <c r="L30" s="860"/>
    </row>
    <row r="31" spans="1:12" ht="15.75" customHeight="1" x14ac:dyDescent="0.2">
      <c r="A31" s="18" t="s">
        <v>471</v>
      </c>
      <c r="B31" s="482" t="s">
        <v>452</v>
      </c>
      <c r="C31" s="459">
        <v>0.6</v>
      </c>
      <c r="D31" s="463">
        <f>Assumptions!$F$9-D28</f>
        <v>1.304</v>
      </c>
      <c r="E31" s="461">
        <f t="shared" ref="E31:L31" si="11">E51</f>
        <v>0.86924999999999997</v>
      </c>
      <c r="F31" s="461">
        <f t="shared" si="11"/>
        <v>1.1222787930395333</v>
      </c>
      <c r="G31" s="461">
        <f t="shared" si="11"/>
        <v>1.2275045037094923</v>
      </c>
      <c r="H31" s="461">
        <f t="shared" si="11"/>
        <v>1.3462169766347962</v>
      </c>
      <c r="I31" s="461">
        <f t="shared" si="11"/>
        <v>1.4435260183555563</v>
      </c>
      <c r="J31" s="461">
        <f t="shared" si="11"/>
        <v>1.5178335996471206</v>
      </c>
      <c r="K31" s="461">
        <f t="shared" si="11"/>
        <v>1.5652876638461115</v>
      </c>
      <c r="L31" s="461">
        <f t="shared" si="11"/>
        <v>1.5830071107362418</v>
      </c>
    </row>
    <row r="32" spans="1:12" ht="15.75" customHeight="1" x14ac:dyDescent="0.2">
      <c r="A32" s="28"/>
      <c r="B32" s="28"/>
      <c r="C32" s="28"/>
      <c r="D32" s="28"/>
      <c r="E32" s="28"/>
      <c r="F32" s="28"/>
      <c r="G32" s="28"/>
      <c r="H32" s="28"/>
      <c r="I32" s="28"/>
      <c r="J32" s="28"/>
      <c r="K32" s="28"/>
      <c r="L32" s="28"/>
    </row>
    <row r="33" spans="1:12" ht="22" customHeight="1" x14ac:dyDescent="0.2">
      <c r="A33" s="868" t="s">
        <v>472</v>
      </c>
      <c r="B33" s="860"/>
      <c r="C33" s="860"/>
      <c r="D33" s="860"/>
      <c r="E33" s="860"/>
      <c r="F33" s="860"/>
      <c r="G33" s="860"/>
      <c r="H33" s="860"/>
      <c r="I33" s="860"/>
      <c r="J33" s="860"/>
      <c r="K33" s="860"/>
      <c r="L33" s="860"/>
    </row>
    <row r="34" spans="1:12" ht="15.75" customHeight="1" x14ac:dyDescent="0.2">
      <c r="A34" s="471" t="s">
        <v>473</v>
      </c>
      <c r="B34" s="485" t="s">
        <v>452</v>
      </c>
      <c r="C34" s="472">
        <f t="shared" ref="C34:L34" si="12">C26+C28+C31</f>
        <v>1.165</v>
      </c>
      <c r="D34" s="472">
        <f t="shared" si="12"/>
        <v>2.5</v>
      </c>
      <c r="E34" s="472">
        <f t="shared" si="12"/>
        <v>2.9866900000000003</v>
      </c>
      <c r="F34" s="472">
        <f t="shared" si="12"/>
        <v>3.6873113930395336</v>
      </c>
      <c r="G34" s="472">
        <f t="shared" si="12"/>
        <v>4.4220310542803283</v>
      </c>
      <c r="H34" s="472">
        <f t="shared" si="12"/>
        <v>5.190112268539119</v>
      </c>
      <c r="I34" s="472">
        <f t="shared" si="12"/>
        <v>5.9725117179090708</v>
      </c>
      <c r="J34" s="472">
        <f t="shared" si="12"/>
        <v>6.7474477830471784</v>
      </c>
      <c r="K34" s="472">
        <f t="shared" si="12"/>
        <v>7.4928859026398786</v>
      </c>
      <c r="L34" s="472">
        <f t="shared" si="12"/>
        <v>8.1862872557629895</v>
      </c>
    </row>
    <row r="35" spans="1:12" ht="15.75" customHeight="1" x14ac:dyDescent="0.2">
      <c r="A35" s="466" t="s">
        <v>474</v>
      </c>
      <c r="B35" s="484" t="s">
        <v>452</v>
      </c>
      <c r="C35" s="468">
        <f t="shared" ref="C35:L35" si="13">(C9+C34)/2</f>
        <v>0.9325</v>
      </c>
      <c r="D35" s="468">
        <f t="shared" si="13"/>
        <v>1.9</v>
      </c>
      <c r="E35" s="468">
        <f t="shared" si="13"/>
        <v>2.7433450000000001</v>
      </c>
      <c r="F35" s="468">
        <f t="shared" si="13"/>
        <v>3.3370006965197669</v>
      </c>
      <c r="G35" s="468">
        <f t="shared" si="13"/>
        <v>4.0546712236599305</v>
      </c>
      <c r="H35" s="468">
        <f t="shared" si="13"/>
        <v>4.8060716614097236</v>
      </c>
      <c r="I35" s="468">
        <f t="shared" si="13"/>
        <v>5.5813119932240944</v>
      </c>
      <c r="J35" s="468">
        <f t="shared" si="13"/>
        <v>6.359979750478125</v>
      </c>
      <c r="K35" s="468">
        <f t="shared" si="13"/>
        <v>7.1201668428435285</v>
      </c>
      <c r="L35" s="468">
        <f t="shared" si="13"/>
        <v>7.8395865792014341</v>
      </c>
    </row>
    <row r="36" spans="1:12" ht="15.75" customHeight="1" x14ac:dyDescent="0.2">
      <c r="A36" s="28"/>
      <c r="B36" s="28"/>
      <c r="C36" s="28"/>
      <c r="D36" s="28"/>
      <c r="E36" s="28"/>
      <c r="F36" s="28"/>
      <c r="G36" s="28"/>
      <c r="H36" s="28"/>
      <c r="I36" s="28"/>
      <c r="J36" s="28"/>
      <c r="K36" s="28"/>
      <c r="L36" s="28"/>
    </row>
    <row r="37" spans="1:12" ht="22" customHeight="1" x14ac:dyDescent="0.2">
      <c r="A37" s="868" t="s">
        <v>475</v>
      </c>
      <c r="B37" s="860"/>
      <c r="C37" s="860"/>
      <c r="D37" s="860"/>
      <c r="E37" s="860"/>
      <c r="F37" s="860"/>
      <c r="G37" s="860"/>
      <c r="H37" s="860"/>
      <c r="I37" s="860"/>
      <c r="J37" s="860"/>
      <c r="K37" s="860"/>
      <c r="L37" s="860"/>
    </row>
    <row r="38" spans="1:12" ht="15.75" customHeight="1" x14ac:dyDescent="0.2">
      <c r="A38" s="18" t="s">
        <v>476</v>
      </c>
      <c r="B38" s="482" t="s">
        <v>452</v>
      </c>
      <c r="C38" s="464">
        <f t="shared" ref="C38:L38" si="14">C31-C23</f>
        <v>0.46499999999999997</v>
      </c>
      <c r="D38" s="464">
        <f t="shared" si="14"/>
        <v>1.2</v>
      </c>
      <c r="E38" s="464">
        <f t="shared" si="14"/>
        <v>0.48668999999999996</v>
      </c>
      <c r="F38" s="464">
        <f t="shared" si="14"/>
        <v>0.7006213930395333</v>
      </c>
      <c r="G38" s="464">
        <f t="shared" si="14"/>
        <v>0.73471966124079491</v>
      </c>
      <c r="H38" s="464">
        <f t="shared" si="14"/>
        <v>0.76808121425879095</v>
      </c>
      <c r="I38" s="464">
        <f t="shared" si="14"/>
        <v>0.78239944936995098</v>
      </c>
      <c r="J38" s="464">
        <f t="shared" si="14"/>
        <v>0.77493606513810853</v>
      </c>
      <c r="K38" s="464">
        <f t="shared" si="14"/>
        <v>0.74543811959270023</v>
      </c>
      <c r="L38" s="464">
        <f t="shared" si="14"/>
        <v>0.69340135312311069</v>
      </c>
    </row>
    <row r="39" spans="1:12" ht="15.75" customHeight="1" x14ac:dyDescent="0.2">
      <c r="A39" s="473" t="s">
        <v>477</v>
      </c>
      <c r="B39" s="483" t="s">
        <v>458</v>
      </c>
      <c r="C39" s="486"/>
      <c r="D39" s="478">
        <f t="shared" ref="D39:L39" si="15">D34/C34-1</f>
        <v>1.1459227467811157</v>
      </c>
      <c r="E39" s="478">
        <f t="shared" si="15"/>
        <v>0.19467600000000007</v>
      </c>
      <c r="F39" s="478">
        <f t="shared" si="15"/>
        <v>0.23458122303939577</v>
      </c>
      <c r="G39" s="478">
        <f t="shared" si="15"/>
        <v>0.19925620131451627</v>
      </c>
      <c r="H39" s="478">
        <f t="shared" si="15"/>
        <v>0.17369421535728979</v>
      </c>
      <c r="I39" s="478">
        <f t="shared" si="15"/>
        <v>0.15074807805461532</v>
      </c>
      <c r="J39" s="478">
        <f t="shared" si="15"/>
        <v>0.12975044700446503</v>
      </c>
      <c r="K39" s="478">
        <f t="shared" si="15"/>
        <v>0.11047704903557731</v>
      </c>
      <c r="L39" s="478">
        <f t="shared" si="15"/>
        <v>9.2541293452608642E-2</v>
      </c>
    </row>
    <row r="40" spans="1:12" ht="15.75" customHeight="1" x14ac:dyDescent="0.2">
      <c r="A40" s="18" t="s">
        <v>478</v>
      </c>
      <c r="B40" s="482" t="s">
        <v>458</v>
      </c>
      <c r="C40" s="83">
        <f t="shared" ref="C40:L40" si="16">IFERROR(C23/C9,0)</f>
        <v>0.19285714285714289</v>
      </c>
      <c r="D40" s="83">
        <f t="shared" si="16"/>
        <v>0.08</v>
      </c>
      <c r="E40" s="83">
        <f t="shared" si="16"/>
        <v>0.15302399999999999</v>
      </c>
      <c r="F40" s="83">
        <f t="shared" si="16"/>
        <v>0.14117883007610429</v>
      </c>
      <c r="G40" s="83">
        <f t="shared" si="16"/>
        <v>0.13364340299517902</v>
      </c>
      <c r="H40" s="83">
        <f t="shared" si="16"/>
        <v>0.13073986936758297</v>
      </c>
      <c r="I40" s="83">
        <f t="shared" si="16"/>
        <v>0.12738193988464439</v>
      </c>
      <c r="J40" s="83">
        <f t="shared" si="16"/>
        <v>0.1243861158583201</v>
      </c>
      <c r="K40" s="83">
        <f t="shared" si="16"/>
        <v>0.12150513358743822</v>
      </c>
      <c r="L40" s="83">
        <f t="shared" si="16"/>
        <v>0.11872671880666259</v>
      </c>
    </row>
    <row r="41" spans="1:12" ht="15.75" customHeight="1" x14ac:dyDescent="0.2">
      <c r="A41" s="18" t="s">
        <v>479</v>
      </c>
      <c r="B41" s="482" t="s">
        <v>458</v>
      </c>
      <c r="C41" s="487"/>
      <c r="D41" s="83">
        <f>D34/Assumptions!$F$9-1</f>
        <v>0</v>
      </c>
      <c r="E41" s="487"/>
      <c r="F41" s="487"/>
      <c r="G41" s="487"/>
      <c r="H41" s="487"/>
      <c r="I41" s="487"/>
      <c r="J41" s="487"/>
      <c r="K41" s="487"/>
      <c r="L41" s="487"/>
    </row>
    <row r="42" spans="1:12" ht="15.75" customHeight="1" x14ac:dyDescent="0.2">
      <c r="A42" s="28"/>
      <c r="B42" s="28"/>
      <c r="C42" s="28"/>
      <c r="D42" s="28"/>
      <c r="E42" s="28"/>
      <c r="F42" s="28"/>
      <c r="G42" s="28"/>
      <c r="H42" s="28"/>
      <c r="I42" s="28"/>
      <c r="J42" s="28"/>
      <c r="K42" s="28"/>
      <c r="L42" s="28"/>
    </row>
    <row r="43" spans="1:12" ht="15.75" customHeight="1" x14ac:dyDescent="0.2">
      <c r="A43" s="866" t="s">
        <v>480</v>
      </c>
      <c r="B43" s="852"/>
      <c r="C43" s="852"/>
      <c r="D43" s="852"/>
      <c r="E43" s="852"/>
      <c r="F43" s="852"/>
      <c r="G43" s="852"/>
      <c r="H43" s="852"/>
      <c r="I43" s="852"/>
      <c r="J43" s="852"/>
      <c r="K43" s="852"/>
      <c r="L43" s="852"/>
    </row>
    <row r="44" spans="1:12" ht="15.75" customHeight="1" x14ac:dyDescent="0.2">
      <c r="A44" s="28"/>
      <c r="B44" s="28"/>
      <c r="C44" s="28"/>
      <c r="D44" s="28"/>
      <c r="E44" s="28"/>
      <c r="F44" s="28"/>
      <c r="G44" s="28"/>
      <c r="H44" s="28"/>
      <c r="I44" s="28"/>
      <c r="J44" s="28"/>
      <c r="K44" s="28"/>
      <c r="L44" s="28"/>
    </row>
    <row r="45" spans="1:12" ht="22" customHeight="1" x14ac:dyDescent="0.2">
      <c r="A45" s="850" t="s">
        <v>481</v>
      </c>
      <c r="B45" s="865"/>
      <c r="C45" s="865"/>
      <c r="D45" s="865"/>
      <c r="E45" s="865"/>
      <c r="F45" s="865"/>
      <c r="G45" s="865"/>
      <c r="H45" s="865"/>
      <c r="I45" s="865"/>
      <c r="J45" s="865"/>
      <c r="K45" s="865"/>
      <c r="L45" s="865"/>
    </row>
    <row r="46" spans="1:12" ht="15.75" customHeight="1" x14ac:dyDescent="0.2">
      <c r="A46" s="481" t="s">
        <v>482</v>
      </c>
      <c r="B46" s="488" t="s">
        <v>483</v>
      </c>
      <c r="C46" s="488" t="s">
        <v>484</v>
      </c>
      <c r="D46" s="488" t="s">
        <v>484</v>
      </c>
      <c r="E46" s="489"/>
      <c r="F46" s="489"/>
      <c r="G46" s="489"/>
      <c r="H46" s="489"/>
      <c r="I46" s="489"/>
      <c r="J46" s="489"/>
      <c r="K46" s="489"/>
      <c r="L46" s="489"/>
    </row>
    <row r="47" spans="1:12" ht="15.75" customHeight="1" x14ac:dyDescent="0.2">
      <c r="A47" s="28" t="s">
        <v>485</v>
      </c>
      <c r="B47" s="490" t="s">
        <v>486</v>
      </c>
      <c r="C47" s="294"/>
      <c r="D47" s="76">
        <v>195</v>
      </c>
      <c r="E47" s="77">
        <f>'Revenue Build'!D20*(Assumptions!$F$117 + (Assumptions!$F$118-Assumptions!$F$117)*(E$5-2026)/7)</f>
        <v>173.85</v>
      </c>
      <c r="F47" s="77">
        <f>'Revenue Build'!E20*(Assumptions!$F$117 + (Assumptions!$F$118-Assumptions!$F$117)*(F$5-2026)/7)</f>
        <v>247.38231109428568</v>
      </c>
      <c r="G47" s="77">
        <f>'Revenue Build'!F20*(Assumptions!$F$117 + (Assumptions!$F$118-Assumptions!$F$117)*(G$5-2026)/7)</f>
        <v>295.65322760774342</v>
      </c>
      <c r="H47" s="77">
        <f>'Revenue Build'!G20*(Assumptions!$F$117 + (Assumptions!$F$118-Assumptions!$F$117)*(H$5-2026)/7)</f>
        <v>351.74726432357744</v>
      </c>
      <c r="I47" s="77">
        <f>'Revenue Build'!H20*(Assumptions!$F$117 + (Assumptions!$F$118-Assumptions!$F$117)*(I$5-2026)/7)</f>
        <v>406.66190117102246</v>
      </c>
      <c r="J47" s="77">
        <f>'Revenue Build'!I20*(Assumptions!$F$117 + (Assumptions!$F$118-Assumptions!$F$117)*(J$5-2026)/7)</f>
        <v>458.60258046480857</v>
      </c>
      <c r="K47" s="77">
        <f>'Revenue Build'!J20*(Assumptions!$F$117 + (Assumptions!$F$118-Assumptions!$F$117)*(K$5-2026)/7)</f>
        <v>504.91707785207421</v>
      </c>
      <c r="L47" s="77">
        <f>'Revenue Build'!K20*(Assumptions!$F$117 + (Assumptions!$F$118-Assumptions!$F$117)*(L$5-2026)/7)</f>
        <v>542.97143898253091</v>
      </c>
    </row>
    <row r="48" spans="1:12" ht="15.75" customHeight="1" x14ac:dyDescent="0.2">
      <c r="A48" s="28" t="s">
        <v>487</v>
      </c>
      <c r="B48" s="490" t="s">
        <v>488</v>
      </c>
      <c r="C48" s="294"/>
      <c r="D48" s="76">
        <v>130</v>
      </c>
      <c r="E48" s="77">
        <f>Assumptions!$F$121 + (Assumptions!$F$122-Assumptions!$F$121)*(E$5-2026)/7</f>
        <v>200</v>
      </c>
      <c r="F48" s="78">
        <f>Assumptions!$F$121 + (Assumptions!$F$122-Assumptions!$F$121)*(F$5-2026)/7</f>
        <v>220.42857142857142</v>
      </c>
      <c r="G48" s="78">
        <f>Assumptions!$F$121 + (Assumptions!$F$122-Assumptions!$F$121)*(G$5-2026)/7</f>
        <v>240.85714285714286</v>
      </c>
      <c r="H48" s="78">
        <f>Assumptions!$F$121 + (Assumptions!$F$122-Assumptions!$F$121)*(H$5-2026)/7</f>
        <v>261.28571428571428</v>
      </c>
      <c r="I48" s="78">
        <f>Assumptions!$F$121 + (Assumptions!$F$122-Assumptions!$F$121)*(I$5-2026)/7</f>
        <v>281.71428571428572</v>
      </c>
      <c r="J48" s="78">
        <f>Assumptions!$F$121 + (Assumptions!$F$122-Assumptions!$F$121)*(J$5-2026)/7</f>
        <v>302.14285714285711</v>
      </c>
      <c r="K48" s="78">
        <f>Assumptions!$F$121 + (Assumptions!$F$122-Assumptions!$F$121)*(K$5-2026)/7</f>
        <v>322.57142857142856</v>
      </c>
      <c r="L48" s="78">
        <f>Assumptions!$F$121 + (Assumptions!$F$122-Assumptions!$F$121)*(L$5-2026)/7</f>
        <v>343</v>
      </c>
    </row>
    <row r="49" spans="1:12" ht="15.75" customHeight="1" x14ac:dyDescent="0.2">
      <c r="A49" s="28" t="s">
        <v>489</v>
      </c>
      <c r="B49" s="490" t="s">
        <v>452</v>
      </c>
      <c r="C49" s="491"/>
      <c r="D49" s="465">
        <f t="shared" ref="D49:L49" si="17">D47/D48</f>
        <v>1.5</v>
      </c>
      <c r="E49" s="465">
        <f t="shared" si="17"/>
        <v>0.86924999999999997</v>
      </c>
      <c r="F49" s="465">
        <f t="shared" si="17"/>
        <v>1.1222787930395333</v>
      </c>
      <c r="G49" s="465">
        <f t="shared" si="17"/>
        <v>1.2275045037094923</v>
      </c>
      <c r="H49" s="465">
        <f t="shared" si="17"/>
        <v>1.3462169766347962</v>
      </c>
      <c r="I49" s="465">
        <f t="shared" si="17"/>
        <v>1.4435260183555563</v>
      </c>
      <c r="J49" s="465">
        <f t="shared" si="17"/>
        <v>1.5178335996471206</v>
      </c>
      <c r="K49" s="465">
        <f t="shared" si="17"/>
        <v>1.5652876638461115</v>
      </c>
      <c r="L49" s="465">
        <f t="shared" si="17"/>
        <v>1.5830071107362418</v>
      </c>
    </row>
    <row r="50" spans="1:12" ht="15.75" customHeight="1" x14ac:dyDescent="0.2">
      <c r="A50" s="31" t="s">
        <v>490</v>
      </c>
      <c r="B50" s="490" t="s">
        <v>458</v>
      </c>
      <c r="C50" s="487"/>
      <c r="D50" s="36" t="s">
        <v>491</v>
      </c>
      <c r="E50" s="36">
        <f>D34/Assumptions!$F$123</f>
        <v>0.1</v>
      </c>
      <c r="F50" s="36">
        <f>E34/Assumptions!$F$123</f>
        <v>0.11946760000000001</v>
      </c>
      <c r="G50" s="36">
        <f>F34/Assumptions!$F$123</f>
        <v>0.14749245572158134</v>
      </c>
      <c r="H50" s="36">
        <f>G34/Assumptions!$F$123</f>
        <v>0.17688124217121312</v>
      </c>
      <c r="I50" s="36">
        <f>H34/Assumptions!$F$123</f>
        <v>0.20760449074156476</v>
      </c>
      <c r="J50" s="36">
        <f>I34/Assumptions!$F$123</f>
        <v>0.23890046871636283</v>
      </c>
      <c r="K50" s="36">
        <f>J34/Assumptions!$F$123</f>
        <v>0.26989791132188712</v>
      </c>
      <c r="L50" s="36">
        <f>K34/Assumptions!$F$123</f>
        <v>0.29971543610559515</v>
      </c>
    </row>
    <row r="51" spans="1:12" ht="15.75" customHeight="1" x14ac:dyDescent="0.2">
      <c r="A51" s="469" t="s">
        <v>492</v>
      </c>
      <c r="B51" s="492" t="s">
        <v>452</v>
      </c>
      <c r="C51" s="493"/>
      <c r="D51" s="470">
        <f t="shared" ref="D51:L51" si="18">D49</f>
        <v>1.5</v>
      </c>
      <c r="E51" s="470">
        <f t="shared" si="18"/>
        <v>0.86924999999999997</v>
      </c>
      <c r="F51" s="470">
        <f t="shared" si="18"/>
        <v>1.1222787930395333</v>
      </c>
      <c r="G51" s="470">
        <f t="shared" si="18"/>
        <v>1.2275045037094923</v>
      </c>
      <c r="H51" s="470">
        <f t="shared" si="18"/>
        <v>1.3462169766347962</v>
      </c>
      <c r="I51" s="470">
        <f t="shared" si="18"/>
        <v>1.4435260183555563</v>
      </c>
      <c r="J51" s="470">
        <f t="shared" si="18"/>
        <v>1.5178335996471206</v>
      </c>
      <c r="K51" s="470">
        <f t="shared" si="18"/>
        <v>1.5652876638461115</v>
      </c>
      <c r="L51" s="470">
        <f t="shared" si="18"/>
        <v>1.5830071107362418</v>
      </c>
    </row>
  </sheetData>
  <mergeCells count="11">
    <mergeCell ref="A45:L45"/>
    <mergeCell ref="A43:L43"/>
    <mergeCell ref="A1:L1"/>
    <mergeCell ref="A33:L33"/>
    <mergeCell ref="A14:L14"/>
    <mergeCell ref="A37:L37"/>
    <mergeCell ref="A19:L19"/>
    <mergeCell ref="A25:L25"/>
    <mergeCell ref="A2:L2"/>
    <mergeCell ref="A30:L30"/>
    <mergeCell ref="A8:L8"/>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N51"/>
  <sheetViews>
    <sheetView showGridLines="0" zoomScale="109" workbookViewId="0">
      <selection activeCell="E47" sqref="E47"/>
    </sheetView>
  </sheetViews>
  <sheetFormatPr baseColWidth="10" defaultColWidth="8.83203125" defaultRowHeight="15" x14ac:dyDescent="0.2"/>
  <cols>
    <col min="1" max="1" width="53.33203125" customWidth="1"/>
    <col min="2" max="2" width="8.33203125" customWidth="1"/>
    <col min="3" max="12" width="12.5" customWidth="1"/>
    <col min="13" max="14" width="33.33203125" customWidth="1"/>
  </cols>
  <sheetData>
    <row r="1" spans="1:14" ht="28" customHeight="1" x14ac:dyDescent="0.2">
      <c r="A1" s="867" t="s">
        <v>493</v>
      </c>
      <c r="B1" s="867"/>
      <c r="C1" s="867"/>
      <c r="D1" s="867"/>
      <c r="E1" s="867"/>
      <c r="F1" s="867"/>
      <c r="G1" s="867"/>
      <c r="H1" s="867"/>
      <c r="I1" s="867"/>
      <c r="J1" s="867"/>
      <c r="K1" s="867"/>
      <c r="L1" s="867"/>
      <c r="M1" s="494"/>
      <c r="N1" s="494"/>
    </row>
    <row r="2" spans="1:14" ht="30" customHeight="1" x14ac:dyDescent="0.2">
      <c r="A2" s="870" t="s">
        <v>494</v>
      </c>
      <c r="B2" s="870"/>
      <c r="C2" s="870"/>
      <c r="D2" s="870"/>
      <c r="E2" s="870"/>
      <c r="F2" s="870"/>
      <c r="G2" s="870"/>
      <c r="H2" s="870"/>
      <c r="I2" s="870"/>
      <c r="J2" s="870"/>
      <c r="K2" s="870"/>
      <c r="L2" s="870"/>
      <c r="M2" s="55"/>
      <c r="N2" s="55"/>
    </row>
    <row r="3" spans="1:14" ht="15.75" customHeight="1" x14ac:dyDescent="0.2"/>
    <row r="4" spans="1:14" ht="15.75" customHeight="1" x14ac:dyDescent="0.2"/>
    <row r="5" spans="1:14" ht="22" customHeight="1" x14ac:dyDescent="0.2">
      <c r="A5" s="456" t="s">
        <v>495</v>
      </c>
      <c r="B5" s="457" t="s">
        <v>496</v>
      </c>
      <c r="C5" s="454">
        <v>2024</v>
      </c>
      <c r="D5" s="454">
        <v>2025</v>
      </c>
      <c r="E5" s="454">
        <v>2026</v>
      </c>
      <c r="F5" s="454">
        <v>2027</v>
      </c>
      <c r="G5" s="454">
        <v>2028</v>
      </c>
      <c r="H5" s="454">
        <v>2029</v>
      </c>
      <c r="I5" s="454">
        <v>2030</v>
      </c>
      <c r="J5" s="454">
        <v>2031</v>
      </c>
      <c r="K5" s="454">
        <v>2032</v>
      </c>
      <c r="L5" s="454">
        <v>2033</v>
      </c>
    </row>
    <row r="6" spans="1:14" ht="15.75" customHeight="1" x14ac:dyDescent="0.2">
      <c r="C6" s="74"/>
      <c r="D6" s="74"/>
      <c r="E6" s="75"/>
      <c r="F6" s="75"/>
      <c r="G6" s="75"/>
      <c r="H6" s="75"/>
      <c r="I6" s="75"/>
      <c r="J6" s="75"/>
      <c r="K6" s="75"/>
      <c r="L6" s="75"/>
    </row>
    <row r="7" spans="1:14" ht="22" customHeight="1" thickBot="1" x14ac:dyDescent="0.25">
      <c r="A7" s="842" t="s">
        <v>497</v>
      </c>
      <c r="B7" s="871"/>
      <c r="C7" s="871"/>
      <c r="D7" s="871"/>
      <c r="E7" s="871"/>
      <c r="F7" s="871"/>
      <c r="G7" s="871"/>
      <c r="H7" s="871"/>
      <c r="I7" s="871"/>
      <c r="J7" s="871"/>
      <c r="K7" s="871"/>
      <c r="L7" s="871"/>
    </row>
    <row r="8" spans="1:14" ht="15.75" customHeight="1" x14ac:dyDescent="0.2">
      <c r="A8" s="495" t="s">
        <v>498</v>
      </c>
      <c r="B8" s="496" t="s">
        <v>499</v>
      </c>
      <c r="C8" s="497"/>
      <c r="D8" s="498">
        <f>Assumptions!$F$11</f>
        <v>305</v>
      </c>
      <c r="E8" s="499"/>
      <c r="F8" s="499"/>
      <c r="G8" s="499"/>
      <c r="H8" s="499"/>
      <c r="I8" s="499"/>
      <c r="J8" s="499"/>
      <c r="K8" s="499"/>
      <c r="L8" s="500"/>
    </row>
    <row r="9" spans="1:14" ht="15.75" customHeight="1" x14ac:dyDescent="0.2">
      <c r="A9" s="501" t="s">
        <v>500</v>
      </c>
      <c r="B9" s="28" t="s">
        <v>458</v>
      </c>
      <c r="C9" s="487"/>
      <c r="D9" s="502">
        <f>Assumptions!$F$150</f>
        <v>0.04</v>
      </c>
      <c r="E9" s="503"/>
      <c r="F9" s="503"/>
      <c r="G9" s="503"/>
      <c r="H9" s="503"/>
      <c r="I9" s="503"/>
      <c r="J9" s="503"/>
      <c r="K9" s="503"/>
      <c r="L9" s="504"/>
    </row>
    <row r="10" spans="1:14" ht="15.75" customHeight="1" thickBot="1" x14ac:dyDescent="0.25">
      <c r="A10" s="347" t="s">
        <v>501</v>
      </c>
      <c r="B10" s="505" t="s">
        <v>499</v>
      </c>
      <c r="C10" s="506">
        <v>0</v>
      </c>
      <c r="D10" s="507">
        <f>D8</f>
        <v>305</v>
      </c>
      <c r="E10" s="508">
        <f t="shared" ref="E10:L10" si="0">D10*(1+$D$9)</f>
        <v>317.2</v>
      </c>
      <c r="F10" s="508">
        <f t="shared" si="0"/>
        <v>329.88799999999998</v>
      </c>
      <c r="G10" s="508">
        <f t="shared" si="0"/>
        <v>343.08351999999996</v>
      </c>
      <c r="H10" s="508">
        <f t="shared" si="0"/>
        <v>356.80686079999998</v>
      </c>
      <c r="I10" s="508">
        <f t="shared" si="0"/>
        <v>371.079135232</v>
      </c>
      <c r="J10" s="508">
        <f t="shared" si="0"/>
        <v>385.92230064128</v>
      </c>
      <c r="K10" s="508">
        <f t="shared" si="0"/>
        <v>401.35919266693122</v>
      </c>
      <c r="L10" s="509">
        <f t="shared" si="0"/>
        <v>417.4135603736085</v>
      </c>
    </row>
    <row r="11" spans="1:14" ht="15.75" customHeight="1" x14ac:dyDescent="0.2">
      <c r="A11" s="28"/>
      <c r="B11" s="28"/>
      <c r="C11" s="28"/>
      <c r="D11" s="510"/>
      <c r="E11" s="510"/>
      <c r="F11" s="510"/>
      <c r="G11" s="510"/>
      <c r="H11" s="510"/>
      <c r="I11" s="510"/>
      <c r="J11" s="510"/>
      <c r="K11" s="510"/>
      <c r="L11" s="510"/>
    </row>
    <row r="12" spans="1:14" ht="15.75" customHeight="1" x14ac:dyDescent="0.2">
      <c r="A12" s="28"/>
      <c r="B12" s="28"/>
      <c r="C12" s="28"/>
      <c r="D12" s="510"/>
      <c r="E12" s="510"/>
      <c r="F12" s="510"/>
      <c r="G12" s="510"/>
      <c r="H12" s="510"/>
      <c r="I12" s="510"/>
      <c r="J12" s="510"/>
      <c r="K12" s="510"/>
      <c r="L12" s="510"/>
    </row>
    <row r="13" spans="1:14" ht="22" customHeight="1" x14ac:dyDescent="0.2">
      <c r="A13" s="842" t="s">
        <v>502</v>
      </c>
      <c r="B13" s="872"/>
      <c r="C13" s="872"/>
      <c r="D13" s="872"/>
      <c r="E13" s="872"/>
      <c r="F13" s="872"/>
      <c r="G13" s="872"/>
      <c r="H13" s="872"/>
      <c r="I13" s="872"/>
      <c r="J13" s="872"/>
      <c r="K13" s="872"/>
      <c r="L13" s="872"/>
    </row>
    <row r="14" spans="1:14" ht="15.75" customHeight="1" x14ac:dyDescent="0.2">
      <c r="A14" s="511" t="s">
        <v>503</v>
      </c>
      <c r="B14" s="512"/>
      <c r="C14" s="512"/>
      <c r="D14" s="512"/>
      <c r="E14" s="512"/>
      <c r="F14" s="512"/>
      <c r="G14" s="512"/>
      <c r="H14" s="512"/>
      <c r="I14" s="512"/>
      <c r="J14" s="512"/>
      <c r="K14" s="512"/>
      <c r="L14" s="512"/>
    </row>
    <row r="15" spans="1:14" ht="15.75" customHeight="1" x14ac:dyDescent="0.2">
      <c r="A15" s="513"/>
      <c r="B15" s="28"/>
      <c r="C15" s="28"/>
      <c r="D15" s="28"/>
      <c r="E15" s="28"/>
      <c r="F15" s="28"/>
      <c r="G15" s="28"/>
      <c r="H15" s="28"/>
      <c r="I15" s="28"/>
      <c r="J15" s="28"/>
      <c r="K15" s="28"/>
      <c r="L15" s="28"/>
    </row>
    <row r="16" spans="1:14" ht="15.75" customHeight="1" x14ac:dyDescent="0.2">
      <c r="A16" s="252" t="s">
        <v>504</v>
      </c>
      <c r="B16" s="28"/>
      <c r="C16" s="28"/>
      <c r="D16" s="502"/>
      <c r="E16" s="502"/>
      <c r="F16" s="503"/>
      <c r="G16" s="503"/>
      <c r="H16" s="503"/>
      <c r="I16" s="503"/>
      <c r="J16" s="503"/>
      <c r="K16" s="503"/>
      <c r="L16" s="503"/>
    </row>
    <row r="17" spans="1:12" ht="15.75" customHeight="1" x14ac:dyDescent="0.2">
      <c r="A17" s="514" t="s">
        <v>505</v>
      </c>
      <c r="B17" s="28" t="s">
        <v>499</v>
      </c>
      <c r="C17" s="28"/>
      <c r="D17" s="515">
        <v>258</v>
      </c>
      <c r="E17" s="516" t="s">
        <v>506</v>
      </c>
      <c r="F17" s="510"/>
      <c r="G17" s="510"/>
      <c r="H17" s="510"/>
      <c r="I17" s="510"/>
      <c r="J17" s="510"/>
      <c r="K17" s="510"/>
      <c r="L17" s="510"/>
    </row>
    <row r="18" spans="1:12" ht="15.75" customHeight="1" x14ac:dyDescent="0.2">
      <c r="A18" s="514" t="s">
        <v>507</v>
      </c>
      <c r="B18" s="28" t="s">
        <v>499</v>
      </c>
      <c r="C18" s="28"/>
      <c r="D18" s="515">
        <v>38</v>
      </c>
      <c r="E18" s="517"/>
      <c r="F18" s="518"/>
      <c r="G18" s="518"/>
      <c r="H18" s="518"/>
      <c r="I18" s="518"/>
      <c r="J18" s="518"/>
      <c r="K18" s="518"/>
      <c r="L18" s="518"/>
    </row>
    <row r="19" spans="1:12" ht="15.75" customHeight="1" x14ac:dyDescent="0.2">
      <c r="A19" s="514" t="s">
        <v>508</v>
      </c>
      <c r="B19" s="28" t="s">
        <v>499</v>
      </c>
      <c r="C19" s="28"/>
      <c r="D19" s="515">
        <v>18</v>
      </c>
      <c r="E19" s="519"/>
      <c r="F19" s="519"/>
      <c r="G19" s="519"/>
      <c r="H19" s="519"/>
      <c r="I19" s="519"/>
      <c r="J19" s="519"/>
      <c r="K19" s="519"/>
      <c r="L19" s="519"/>
    </row>
    <row r="20" spans="1:12" ht="15.75" customHeight="1" x14ac:dyDescent="0.2">
      <c r="A20" s="520" t="s">
        <v>509</v>
      </c>
      <c r="B20" s="28" t="s">
        <v>499</v>
      </c>
      <c r="C20" s="28"/>
      <c r="D20" s="521">
        <v>5</v>
      </c>
      <c r="E20" s="522"/>
      <c r="F20" s="522"/>
      <c r="G20" s="522"/>
      <c r="H20" s="522"/>
      <c r="I20" s="522"/>
      <c r="J20" s="522"/>
      <c r="K20" s="522"/>
      <c r="L20" s="522"/>
    </row>
    <row r="21" spans="1:12" ht="15.75" customHeight="1" x14ac:dyDescent="0.2">
      <c r="A21" s="523" t="s">
        <v>510</v>
      </c>
      <c r="B21" s="524" t="s">
        <v>499</v>
      </c>
      <c r="C21" s="524"/>
      <c r="D21" s="525">
        <f>SUM(D17:D20)</f>
        <v>319</v>
      </c>
      <c r="E21" s="28"/>
      <c r="F21" s="28"/>
      <c r="G21" s="28"/>
      <c r="H21" s="28"/>
      <c r="I21" s="28"/>
      <c r="J21" s="28"/>
      <c r="K21" s="28"/>
      <c r="L21" s="28"/>
    </row>
    <row r="22" spans="1:12" ht="15.75" customHeight="1" x14ac:dyDescent="0.2">
      <c r="A22" s="526" t="s">
        <v>511</v>
      </c>
      <c r="B22" s="28" t="s">
        <v>499</v>
      </c>
      <c r="C22" s="28"/>
      <c r="D22" s="515">
        <v>278</v>
      </c>
      <c r="E22" s="28"/>
      <c r="F22" s="28"/>
      <c r="G22" s="28"/>
      <c r="H22" s="28"/>
      <c r="I22" s="28"/>
      <c r="J22" s="28"/>
      <c r="K22" s="28"/>
      <c r="L22" s="28"/>
    </row>
    <row r="23" spans="1:12" ht="15.75" customHeight="1" x14ac:dyDescent="0.2">
      <c r="A23" s="253"/>
      <c r="B23" s="28"/>
      <c r="C23" s="28"/>
      <c r="D23" s="527"/>
      <c r="E23" s="294"/>
      <c r="F23" s="294"/>
      <c r="G23" s="294"/>
      <c r="H23" s="294"/>
      <c r="I23" s="294"/>
      <c r="J23" s="294"/>
      <c r="K23" s="294"/>
      <c r="L23" s="294"/>
    </row>
    <row r="24" spans="1:12" ht="15.75" customHeight="1" x14ac:dyDescent="0.2">
      <c r="A24" s="252" t="s">
        <v>512</v>
      </c>
      <c r="B24" s="28"/>
      <c r="C24" s="28"/>
      <c r="D24" s="28"/>
      <c r="E24" s="28"/>
      <c r="F24" s="28"/>
      <c r="G24" s="28"/>
      <c r="H24" s="28"/>
      <c r="I24" s="28"/>
      <c r="J24" s="28"/>
      <c r="K24" s="28"/>
      <c r="L24" s="28"/>
    </row>
    <row r="25" spans="1:12" ht="15.75" customHeight="1" x14ac:dyDescent="0.2">
      <c r="A25" s="526" t="s">
        <v>513</v>
      </c>
      <c r="B25" s="28" t="s">
        <v>499</v>
      </c>
      <c r="C25" s="28"/>
      <c r="D25" s="515">
        <v>260</v>
      </c>
      <c r="E25" s="31" t="s">
        <v>514</v>
      </c>
      <c r="F25" s="28"/>
      <c r="G25" s="28"/>
      <c r="H25" s="28"/>
      <c r="I25" s="28"/>
      <c r="J25" s="28"/>
      <c r="K25" s="28"/>
      <c r="L25" s="28"/>
    </row>
    <row r="26" spans="1:12" ht="15.75" customHeight="1" x14ac:dyDescent="0.2">
      <c r="A26" s="253"/>
      <c r="B26" s="28"/>
      <c r="C26" s="28"/>
      <c r="D26" s="528"/>
      <c r="E26" s="502"/>
      <c r="F26" s="487"/>
      <c r="G26" s="487"/>
      <c r="H26" s="487"/>
      <c r="I26" s="487"/>
      <c r="J26" s="487"/>
      <c r="K26" s="487"/>
      <c r="L26" s="487"/>
    </row>
    <row r="27" spans="1:12" ht="15.75" customHeight="1" x14ac:dyDescent="0.2">
      <c r="A27" s="252" t="s">
        <v>515</v>
      </c>
      <c r="B27" s="28"/>
      <c r="C27" s="28"/>
      <c r="D27" s="515"/>
      <c r="E27" s="527"/>
      <c r="F27" s="294"/>
      <c r="G27" s="294"/>
      <c r="H27" s="294"/>
      <c r="I27" s="294"/>
      <c r="J27" s="294"/>
      <c r="K27" s="294"/>
      <c r="L27" s="294"/>
    </row>
    <row r="28" spans="1:12" ht="15.75" customHeight="1" x14ac:dyDescent="0.2">
      <c r="A28" s="520" t="s">
        <v>516</v>
      </c>
      <c r="B28" s="28" t="s">
        <v>458</v>
      </c>
      <c r="C28" s="28"/>
      <c r="D28" s="529">
        <v>0.8</v>
      </c>
      <c r="E28" s="530" t="s">
        <v>517</v>
      </c>
      <c r="F28" s="301"/>
      <c r="G28" s="301"/>
      <c r="H28" s="301"/>
      <c r="I28" s="301"/>
      <c r="J28" s="301"/>
      <c r="K28" s="301"/>
      <c r="L28" s="301"/>
    </row>
    <row r="29" spans="1:12" ht="15.75" customHeight="1" x14ac:dyDescent="0.2">
      <c r="A29" s="514" t="s">
        <v>518</v>
      </c>
      <c r="B29" s="28" t="s">
        <v>458</v>
      </c>
      <c r="C29" s="28"/>
      <c r="D29" s="531">
        <v>0.2</v>
      </c>
      <c r="E29" s="28"/>
      <c r="F29" s="28"/>
      <c r="G29" s="28"/>
      <c r="H29" s="28"/>
      <c r="I29" s="28"/>
      <c r="J29" s="28"/>
      <c r="K29" s="28"/>
      <c r="L29" s="28"/>
    </row>
    <row r="30" spans="1:12" ht="15.75" customHeight="1" x14ac:dyDescent="0.2">
      <c r="A30" s="526" t="s">
        <v>519</v>
      </c>
      <c r="B30" s="532"/>
      <c r="C30" s="532"/>
      <c r="D30" s="533">
        <f>D28+D29</f>
        <v>1</v>
      </c>
      <c r="E30" s="534" t="s">
        <v>520</v>
      </c>
      <c r="F30" s="532"/>
      <c r="G30" s="532"/>
      <c r="H30" s="532"/>
      <c r="I30" s="532"/>
      <c r="J30" s="532"/>
      <c r="K30" s="532"/>
      <c r="L30" s="532"/>
    </row>
    <row r="31" spans="1:12" ht="15.75" customHeight="1" x14ac:dyDescent="0.2">
      <c r="A31" s="253"/>
      <c r="B31" s="28"/>
      <c r="C31" s="28"/>
      <c r="D31" s="294"/>
      <c r="E31" s="294"/>
      <c r="F31" s="294"/>
      <c r="G31" s="294"/>
      <c r="H31" s="294"/>
      <c r="I31" s="294"/>
      <c r="J31" s="294"/>
      <c r="K31" s="294"/>
      <c r="L31" s="294"/>
    </row>
    <row r="32" spans="1:12" ht="15.75" customHeight="1" x14ac:dyDescent="0.2">
      <c r="A32" s="535" t="s">
        <v>521</v>
      </c>
      <c r="B32" s="118"/>
      <c r="C32" s="118"/>
      <c r="D32" s="536">
        <f>D28*D22 + D29*D25</f>
        <v>274.39999999999998</v>
      </c>
      <c r="E32" s="294"/>
      <c r="F32" s="294"/>
      <c r="G32" s="294"/>
      <c r="H32" s="294"/>
      <c r="I32" s="294"/>
      <c r="J32" s="294"/>
      <c r="K32" s="294"/>
      <c r="L32" s="294"/>
    </row>
    <row r="33" spans="1:12" ht="15.75" customHeight="1" x14ac:dyDescent="0.2">
      <c r="A33" s="535" t="s">
        <v>522</v>
      </c>
      <c r="B33" s="118"/>
      <c r="C33" s="118"/>
      <c r="D33" s="536">
        <f>D28*D21 + D29*D25</f>
        <v>307.20000000000005</v>
      </c>
      <c r="E33" s="294"/>
      <c r="F33" s="294"/>
      <c r="G33" s="294"/>
      <c r="H33" s="294"/>
      <c r="I33" s="294"/>
      <c r="J33" s="294"/>
      <c r="K33" s="294"/>
      <c r="L33" s="294"/>
    </row>
    <row r="34" spans="1:12" ht="15.75" customHeight="1" x14ac:dyDescent="0.2">
      <c r="A34" s="513" t="s">
        <v>523</v>
      </c>
      <c r="B34" s="295"/>
      <c r="C34" s="295"/>
      <c r="D34" s="537">
        <f>Assumptions!$F$11</f>
        <v>305</v>
      </c>
      <c r="E34" s="294"/>
      <c r="F34" s="294"/>
      <c r="G34" s="294"/>
      <c r="H34" s="294"/>
      <c r="I34" s="294"/>
      <c r="J34" s="294"/>
      <c r="K34" s="294"/>
      <c r="L34" s="294"/>
    </row>
    <row r="35" spans="1:12" ht="15.75" customHeight="1" x14ac:dyDescent="0.2">
      <c r="A35" s="252" t="s">
        <v>524</v>
      </c>
      <c r="B35" s="28"/>
      <c r="C35" s="28"/>
      <c r="D35" s="538">
        <f>(D34-D33)/D33</f>
        <v>-7.1614583333334805E-3</v>
      </c>
      <c r="E35" s="296"/>
      <c r="F35" s="296"/>
      <c r="G35" s="296"/>
      <c r="H35" s="296"/>
      <c r="I35" s="296"/>
      <c r="J35" s="296"/>
      <c r="K35" s="296"/>
      <c r="L35" s="296"/>
    </row>
    <row r="36" spans="1:12" ht="15.75" customHeight="1" x14ac:dyDescent="0.2">
      <c r="A36" s="252" t="s">
        <v>62</v>
      </c>
      <c r="B36" s="32"/>
      <c r="C36" s="32"/>
      <c r="D36" s="32" t="str">
        <f>IF(ABS(D35)&lt;=0.1,"✓ within ±10% of justification","⚠ anchor diverges from justification — review")</f>
        <v>✓ within ±10% of justification</v>
      </c>
      <c r="E36" s="28"/>
      <c r="F36" s="28"/>
      <c r="G36" s="28"/>
      <c r="H36" s="28"/>
      <c r="I36" s="28"/>
      <c r="J36" s="28"/>
      <c r="K36" s="28"/>
      <c r="L36" s="28"/>
    </row>
    <row r="37" spans="1:12" ht="15.75" customHeight="1" x14ac:dyDescent="0.2">
      <c r="A37" s="539"/>
      <c r="B37" s="28"/>
      <c r="C37" s="28"/>
      <c r="D37" s="28"/>
      <c r="E37" s="28"/>
      <c r="F37" s="28"/>
      <c r="G37" s="28"/>
      <c r="H37" s="28"/>
      <c r="I37" s="28"/>
      <c r="J37" s="28"/>
      <c r="K37" s="28"/>
      <c r="L37" s="28"/>
    </row>
    <row r="38" spans="1:12" ht="22" customHeight="1" x14ac:dyDescent="0.2">
      <c r="A38" s="842" t="s">
        <v>525</v>
      </c>
      <c r="B38" s="873"/>
      <c r="C38" s="873"/>
      <c r="D38" s="873"/>
      <c r="E38" s="873"/>
      <c r="F38" s="873"/>
      <c r="G38" s="873"/>
      <c r="H38" s="873"/>
      <c r="I38" s="873"/>
      <c r="J38" s="873"/>
      <c r="K38" s="873"/>
      <c r="L38" s="873"/>
    </row>
    <row r="39" spans="1:12" ht="15.75" customHeight="1" x14ac:dyDescent="0.2">
      <c r="A39" s="540" t="s">
        <v>526</v>
      </c>
      <c r="B39" s="524" t="s">
        <v>486</v>
      </c>
      <c r="C39" s="524"/>
      <c r="D39" s="541">
        <f>Members!D35*D10</f>
        <v>579.5</v>
      </c>
      <c r="E39" s="524"/>
      <c r="F39" s="524"/>
      <c r="G39" s="524"/>
      <c r="H39" s="524"/>
      <c r="I39" s="524"/>
      <c r="J39" s="524"/>
      <c r="K39" s="524"/>
      <c r="L39" s="542"/>
    </row>
    <row r="40" spans="1:12" ht="15.75" customHeight="1" x14ac:dyDescent="0.2">
      <c r="A40" s="501" t="s">
        <v>527</v>
      </c>
      <c r="B40" s="28" t="s">
        <v>486</v>
      </c>
      <c r="C40" s="28"/>
      <c r="D40" s="527">
        <f>Assumptions!$F$12</f>
        <v>579.5</v>
      </c>
      <c r="E40" s="28"/>
      <c r="F40" s="28"/>
      <c r="G40" s="28"/>
      <c r="H40" s="28"/>
      <c r="I40" s="28"/>
      <c r="J40" s="28"/>
      <c r="K40" s="28"/>
      <c r="L40" s="543"/>
    </row>
    <row r="41" spans="1:12" ht="15.75" customHeight="1" x14ac:dyDescent="0.2">
      <c r="A41" s="501" t="s">
        <v>528</v>
      </c>
      <c r="B41" s="28"/>
      <c r="C41" s="28"/>
      <c r="D41" s="544">
        <f>(D39-D40)/D40</f>
        <v>0</v>
      </c>
      <c r="E41" s="28"/>
      <c r="F41" s="28"/>
      <c r="G41" s="28"/>
      <c r="H41" s="28"/>
      <c r="I41" s="28"/>
      <c r="J41" s="28"/>
      <c r="K41" s="28"/>
      <c r="L41" s="543"/>
    </row>
    <row r="42" spans="1:12" ht="15.75" customHeight="1" x14ac:dyDescent="0.2">
      <c r="A42" s="545" t="s">
        <v>529</v>
      </c>
      <c r="B42" s="546"/>
      <c r="C42" s="546"/>
      <c r="D42" s="546" t="str">
        <f>IF(ABS(D41)&lt;=0.05,"✓ within ±5%","⚠ outside ±5% — reconcile")</f>
        <v>✓ within ±5%</v>
      </c>
      <c r="E42" s="178"/>
      <c r="F42" s="178"/>
      <c r="G42" s="178"/>
      <c r="H42" s="178"/>
      <c r="I42" s="178"/>
      <c r="J42" s="178"/>
      <c r="K42" s="178"/>
      <c r="L42" s="547"/>
    </row>
    <row r="43" spans="1:12" ht="15.75" customHeight="1" x14ac:dyDescent="0.2"/>
    <row r="44" spans="1:12" ht="15.75" customHeight="1" x14ac:dyDescent="0.2"/>
    <row r="45" spans="1:12" ht="15.75" customHeight="1" x14ac:dyDescent="0.2"/>
    <row r="46" spans="1:12" ht="15.75" customHeight="1" x14ac:dyDescent="0.2"/>
    <row r="47" spans="1:12" ht="15.75" customHeight="1" x14ac:dyDescent="0.2"/>
    <row r="48" spans="1:12" ht="15.75" customHeight="1" x14ac:dyDescent="0.2"/>
    <row r="49" ht="15.75" customHeight="1" x14ac:dyDescent="0.2"/>
    <row r="50" ht="15.75" customHeight="1" x14ac:dyDescent="0.2"/>
    <row r="51" ht="15.75" customHeight="1" x14ac:dyDescent="0.2"/>
  </sheetData>
  <mergeCells count="5">
    <mergeCell ref="A7:L7"/>
    <mergeCell ref="A13:L13"/>
    <mergeCell ref="A38:L38"/>
    <mergeCell ref="A1:L1"/>
    <mergeCell ref="A2:L2"/>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N51"/>
  <sheetViews>
    <sheetView showGridLines="0" workbookViewId="0">
      <selection activeCell="E47" sqref="E47"/>
    </sheetView>
  </sheetViews>
  <sheetFormatPr baseColWidth="10" defaultColWidth="8.83203125" defaultRowHeight="15" x14ac:dyDescent="0.2"/>
  <cols>
    <col min="1" max="1" width="53.33203125" customWidth="1"/>
    <col min="2" max="2" width="8.33203125" customWidth="1"/>
    <col min="3" max="12" width="12.5" customWidth="1"/>
    <col min="13" max="14" width="33.33203125" customWidth="1"/>
  </cols>
  <sheetData>
    <row r="1" spans="1:14" ht="28" customHeight="1" x14ac:dyDescent="0.25">
      <c r="A1" s="874" t="s">
        <v>530</v>
      </c>
      <c r="B1" s="874"/>
      <c r="C1" s="874"/>
      <c r="D1" s="874"/>
      <c r="E1" s="874"/>
      <c r="F1" s="874"/>
      <c r="G1" s="874"/>
      <c r="H1" s="874"/>
      <c r="I1" s="874"/>
      <c r="J1" s="874"/>
      <c r="K1" s="874"/>
      <c r="L1" s="874"/>
      <c r="M1" s="79"/>
      <c r="N1" s="79"/>
    </row>
    <row r="2" spans="1:14" ht="15.75" customHeight="1" x14ac:dyDescent="0.2">
      <c r="A2" s="875" t="s">
        <v>531</v>
      </c>
      <c r="B2" s="875"/>
      <c r="C2" s="875"/>
      <c r="D2" s="875"/>
      <c r="E2" s="875"/>
      <c r="F2" s="875"/>
      <c r="G2" s="875"/>
      <c r="H2" s="875"/>
      <c r="I2" s="875"/>
      <c r="J2" s="875"/>
      <c r="K2" s="875"/>
      <c r="L2" s="875"/>
      <c r="M2" s="5"/>
      <c r="N2" s="5"/>
    </row>
    <row r="3" spans="1:14" ht="15.75" customHeight="1" x14ac:dyDescent="0.2"/>
    <row r="4" spans="1:14" ht="15.75" customHeight="1" x14ac:dyDescent="0.2"/>
    <row r="5" spans="1:14" ht="22" customHeight="1" x14ac:dyDescent="0.2">
      <c r="A5" s="373"/>
      <c r="B5" s="457" t="s">
        <v>445</v>
      </c>
      <c r="C5" s="454" t="s">
        <v>532</v>
      </c>
      <c r="D5" s="454" t="s">
        <v>533</v>
      </c>
      <c r="E5" s="454" t="s">
        <v>534</v>
      </c>
      <c r="F5" s="454" t="s">
        <v>535</v>
      </c>
      <c r="G5" s="454" t="s">
        <v>536</v>
      </c>
      <c r="H5" s="454" t="s">
        <v>537</v>
      </c>
      <c r="I5" s="454" t="s">
        <v>538</v>
      </c>
      <c r="J5" s="454" t="s">
        <v>539</v>
      </c>
      <c r="K5" s="454" t="s">
        <v>540</v>
      </c>
      <c r="L5" s="454" t="s">
        <v>541</v>
      </c>
    </row>
    <row r="6" spans="1:14" ht="15.75" customHeight="1" x14ac:dyDescent="0.2">
      <c r="A6" s="5"/>
      <c r="C6" s="458" t="s">
        <v>446</v>
      </c>
      <c r="D6" s="458" t="s">
        <v>446</v>
      </c>
      <c r="E6" s="458" t="s">
        <v>447</v>
      </c>
      <c r="F6" s="458" t="s">
        <v>447</v>
      </c>
      <c r="G6" s="458" t="s">
        <v>448</v>
      </c>
      <c r="H6" s="458" t="s">
        <v>448</v>
      </c>
      <c r="I6" s="458" t="s">
        <v>448</v>
      </c>
      <c r="J6" s="458" t="s">
        <v>449</v>
      </c>
      <c r="K6" s="458" t="s">
        <v>449</v>
      </c>
      <c r="L6" s="458" t="s">
        <v>449</v>
      </c>
    </row>
    <row r="7" spans="1:14" ht="15.75" customHeight="1" x14ac:dyDescent="0.2"/>
    <row r="8" spans="1:14" ht="22" customHeight="1" x14ac:dyDescent="0.2">
      <c r="A8" s="868" t="s">
        <v>542</v>
      </c>
      <c r="B8" s="860"/>
      <c r="C8" s="860"/>
      <c r="D8" s="860"/>
      <c r="E8" s="860"/>
      <c r="F8" s="860"/>
      <c r="G8" s="860"/>
      <c r="H8" s="860"/>
      <c r="I8" s="860"/>
      <c r="J8" s="860"/>
      <c r="K8" s="860"/>
      <c r="L8" s="860"/>
    </row>
    <row r="9" spans="1:14" ht="15.75" customHeight="1" x14ac:dyDescent="0.2">
      <c r="A9" s="18" t="s">
        <v>543</v>
      </c>
      <c r="B9" s="482" t="s">
        <v>452</v>
      </c>
      <c r="C9" s="460">
        <f>Members!C9</f>
        <v>0.7</v>
      </c>
      <c r="D9" s="460">
        <f>Members!D9</f>
        <v>1.3</v>
      </c>
      <c r="E9" s="460">
        <f>Members!E9</f>
        <v>2.5</v>
      </c>
      <c r="F9" s="460">
        <f>Members!F9</f>
        <v>2.9866900000000003</v>
      </c>
      <c r="G9" s="460">
        <f>Members!G9</f>
        <v>3.6873113930395336</v>
      </c>
      <c r="H9" s="460">
        <f>Members!H9</f>
        <v>4.4220310542803283</v>
      </c>
      <c r="I9" s="460">
        <f>Members!I9</f>
        <v>5.190112268539119</v>
      </c>
      <c r="J9" s="460">
        <f>Members!J9</f>
        <v>5.9725117179090708</v>
      </c>
      <c r="K9" s="460">
        <f>Members!K9</f>
        <v>6.7474477830471784</v>
      </c>
      <c r="L9" s="460">
        <f>Members!L9</f>
        <v>7.4928859026398786</v>
      </c>
    </row>
    <row r="10" spans="1:14" ht="15.75" customHeight="1" x14ac:dyDescent="0.2">
      <c r="A10" s="473" t="s">
        <v>471</v>
      </c>
      <c r="B10" s="483" t="s">
        <v>452</v>
      </c>
      <c r="C10" s="476">
        <f>Members!C31</f>
        <v>0.6</v>
      </c>
      <c r="D10" s="476">
        <f>Members!D31</f>
        <v>1.304</v>
      </c>
      <c r="E10" s="476">
        <f>Members!E31</f>
        <v>0.86924999999999997</v>
      </c>
      <c r="F10" s="476">
        <f>Members!F31</f>
        <v>1.1222787930395333</v>
      </c>
      <c r="G10" s="476">
        <f>Members!G31</f>
        <v>1.2275045037094923</v>
      </c>
      <c r="H10" s="476">
        <f>Members!H31</f>
        <v>1.3462169766347962</v>
      </c>
      <c r="I10" s="476">
        <f>Members!I31</f>
        <v>1.4435260183555563</v>
      </c>
      <c r="J10" s="476">
        <f>Members!J31</f>
        <v>1.5178335996471206</v>
      </c>
      <c r="K10" s="476">
        <f>Members!K31</f>
        <v>1.5652876638461115</v>
      </c>
      <c r="L10" s="476">
        <f>Members!L31</f>
        <v>1.5830071107362418</v>
      </c>
    </row>
    <row r="11" spans="1:14" ht="15.75" customHeight="1" x14ac:dyDescent="0.2">
      <c r="A11" s="18" t="s">
        <v>544</v>
      </c>
      <c r="B11" s="482" t="s">
        <v>452</v>
      </c>
      <c r="C11" s="460">
        <f>Members!C23</f>
        <v>0.13500000000000001</v>
      </c>
      <c r="D11" s="460">
        <f>Members!D23</f>
        <v>0.10400000000000001</v>
      </c>
      <c r="E11" s="460">
        <f>Members!E23</f>
        <v>0.38256000000000001</v>
      </c>
      <c r="F11" s="460">
        <f>Members!F23</f>
        <v>0.42165740000000002</v>
      </c>
      <c r="G11" s="460">
        <f>Members!G23</f>
        <v>0.49278484246869736</v>
      </c>
      <c r="H11" s="460">
        <f>Members!H23</f>
        <v>0.57813576237600528</v>
      </c>
      <c r="I11" s="460">
        <f>Members!I23</f>
        <v>0.66112656898560529</v>
      </c>
      <c r="J11" s="460">
        <f>Members!J23</f>
        <v>0.74289753450901208</v>
      </c>
      <c r="K11" s="460">
        <f>Members!K23</f>
        <v>0.81984954425341128</v>
      </c>
      <c r="L11" s="460">
        <f>Members!L23</f>
        <v>0.8896057576131311</v>
      </c>
    </row>
    <row r="12" spans="1:14" ht="15.75" customHeight="1" x14ac:dyDescent="0.2">
      <c r="A12" s="473" t="s">
        <v>473</v>
      </c>
      <c r="B12" s="483" t="s">
        <v>452</v>
      </c>
      <c r="C12" s="476">
        <f>Members!C34</f>
        <v>1.165</v>
      </c>
      <c r="D12" s="476">
        <f>Members!D34</f>
        <v>2.5</v>
      </c>
      <c r="E12" s="476">
        <f>Members!E34</f>
        <v>2.9866900000000003</v>
      </c>
      <c r="F12" s="476">
        <f>Members!F34</f>
        <v>3.6873113930395336</v>
      </c>
      <c r="G12" s="476">
        <f>Members!G34</f>
        <v>4.4220310542803283</v>
      </c>
      <c r="H12" s="476">
        <f>Members!H34</f>
        <v>5.190112268539119</v>
      </c>
      <c r="I12" s="476">
        <f>Members!I34</f>
        <v>5.9725117179090708</v>
      </c>
      <c r="J12" s="476">
        <f>Members!J34</f>
        <v>6.7474477830471784</v>
      </c>
      <c r="K12" s="476">
        <f>Members!K34</f>
        <v>7.4928859026398786</v>
      </c>
      <c r="L12" s="476">
        <f>Members!L34</f>
        <v>8.1862872557629895</v>
      </c>
    </row>
    <row r="13" spans="1:14" ht="15.75" customHeight="1" x14ac:dyDescent="0.2">
      <c r="A13" s="18" t="s">
        <v>545</v>
      </c>
      <c r="B13" s="482" t="s">
        <v>452</v>
      </c>
      <c r="C13" s="460">
        <f>Members!C35</f>
        <v>0.9325</v>
      </c>
      <c r="D13" s="460">
        <f>Members!D35</f>
        <v>1.9</v>
      </c>
      <c r="E13" s="460">
        <f>Members!E35</f>
        <v>2.7433450000000001</v>
      </c>
      <c r="F13" s="460">
        <f>Members!F35</f>
        <v>3.3370006965197669</v>
      </c>
      <c r="G13" s="460">
        <f>Members!G35</f>
        <v>4.0546712236599305</v>
      </c>
      <c r="H13" s="460">
        <f>Members!H35</f>
        <v>4.8060716614097236</v>
      </c>
      <c r="I13" s="460">
        <f>Members!I35</f>
        <v>5.5813119932240944</v>
      </c>
      <c r="J13" s="460">
        <f>Members!J35</f>
        <v>6.359979750478125</v>
      </c>
      <c r="K13" s="460">
        <f>Members!K35</f>
        <v>7.1201668428435285</v>
      </c>
      <c r="L13" s="460">
        <f>Members!L35</f>
        <v>7.8395865792014341</v>
      </c>
    </row>
    <row r="14" spans="1:14" ht="15.75" customHeight="1" x14ac:dyDescent="0.2">
      <c r="A14" s="473" t="s">
        <v>546</v>
      </c>
      <c r="B14" s="483" t="s">
        <v>458</v>
      </c>
      <c r="C14" s="477">
        <f>IFERROR(Members!C23/Members!C9, 0)</f>
        <v>0.19285714285714289</v>
      </c>
      <c r="D14" s="477">
        <f>IFERROR(Members!D23/Members!D9, 0)</f>
        <v>0.08</v>
      </c>
      <c r="E14" s="477">
        <f>IFERROR(Members!E23/Members!E9, 0)</f>
        <v>0.15302399999999999</v>
      </c>
      <c r="F14" s="477">
        <f>IFERROR(Members!F23/Members!F9, 0)</f>
        <v>0.14117883007610429</v>
      </c>
      <c r="G14" s="477">
        <f>IFERROR(Members!G23/Members!G9, 0)</f>
        <v>0.13364340299517902</v>
      </c>
      <c r="H14" s="477">
        <f>IFERROR(Members!H23/Members!H9, 0)</f>
        <v>0.13073986936758297</v>
      </c>
      <c r="I14" s="477">
        <f>IFERROR(Members!I23/Members!I9, 0)</f>
        <v>0.12738193988464439</v>
      </c>
      <c r="J14" s="477">
        <f>IFERROR(Members!J23/Members!J9, 0)</f>
        <v>0.1243861158583201</v>
      </c>
      <c r="K14" s="477">
        <f>IFERROR(Members!K23/Members!K9, 0)</f>
        <v>0.12150513358743822</v>
      </c>
      <c r="L14" s="477">
        <f>IFERROR(Members!L23/Members!L9, 0)</f>
        <v>0.11872671880666259</v>
      </c>
    </row>
    <row r="15" spans="1:14" ht="15.75" customHeight="1" x14ac:dyDescent="0.2">
      <c r="A15" s="3"/>
      <c r="B15" s="375"/>
      <c r="C15" s="3"/>
      <c r="D15" s="3"/>
      <c r="E15" s="3"/>
      <c r="F15" s="3"/>
      <c r="G15" s="3"/>
      <c r="H15" s="3"/>
      <c r="I15" s="3"/>
      <c r="J15" s="3"/>
      <c r="K15" s="3"/>
      <c r="L15" s="3"/>
    </row>
    <row r="16" spans="1:14" ht="22" customHeight="1" x14ac:dyDescent="0.2">
      <c r="A16" s="868" t="s">
        <v>547</v>
      </c>
      <c r="B16" s="860"/>
      <c r="C16" s="860"/>
      <c r="D16" s="860"/>
      <c r="E16" s="860"/>
      <c r="F16" s="860"/>
      <c r="G16" s="860"/>
      <c r="H16" s="860"/>
      <c r="I16" s="860"/>
      <c r="J16" s="860"/>
      <c r="K16" s="860"/>
      <c r="L16" s="860"/>
    </row>
    <row r="17" spans="1:12" ht="15.75" customHeight="1" x14ac:dyDescent="0.2">
      <c r="A17" s="18" t="s">
        <v>548</v>
      </c>
      <c r="B17" s="482" t="s">
        <v>499</v>
      </c>
      <c r="C17" s="80">
        <f>ARPU!C10</f>
        <v>0</v>
      </c>
      <c r="D17" s="80">
        <f>ARPU!D10</f>
        <v>305</v>
      </c>
      <c r="E17" s="80">
        <f>ARPU!E10</f>
        <v>317.2</v>
      </c>
      <c r="F17" s="80">
        <f>ARPU!F10</f>
        <v>329.88799999999998</v>
      </c>
      <c r="G17" s="80">
        <f>ARPU!G10</f>
        <v>343.08351999999996</v>
      </c>
      <c r="H17" s="80">
        <f>ARPU!H10</f>
        <v>356.80686079999998</v>
      </c>
      <c r="I17" s="80">
        <f>ARPU!I10</f>
        <v>371.079135232</v>
      </c>
      <c r="J17" s="80">
        <f>ARPU!J10</f>
        <v>385.92230064128</v>
      </c>
      <c r="K17" s="80">
        <f>ARPU!K10</f>
        <v>401.35919266693122</v>
      </c>
      <c r="L17" s="80">
        <f>ARPU!L10</f>
        <v>417.4135603736085</v>
      </c>
    </row>
    <row r="18" spans="1:12" ht="15.75" customHeight="1" x14ac:dyDescent="0.2">
      <c r="A18" s="3"/>
      <c r="B18" s="375"/>
      <c r="C18" s="11"/>
      <c r="D18" s="12"/>
      <c r="E18" s="11"/>
      <c r="F18" s="11"/>
      <c r="G18" s="11"/>
      <c r="H18" s="11"/>
      <c r="I18" s="11"/>
      <c r="J18" s="11"/>
      <c r="K18" s="11"/>
      <c r="L18" s="11"/>
    </row>
    <row r="19" spans="1:12" ht="22" customHeight="1" x14ac:dyDescent="0.2">
      <c r="A19" s="868" t="s">
        <v>549</v>
      </c>
      <c r="B19" s="860"/>
      <c r="C19" s="860"/>
      <c r="D19" s="860"/>
      <c r="E19" s="860"/>
      <c r="F19" s="860"/>
      <c r="G19" s="860"/>
      <c r="H19" s="860"/>
      <c r="I19" s="860"/>
      <c r="J19" s="860"/>
      <c r="K19" s="860"/>
      <c r="L19" s="860"/>
    </row>
    <row r="20" spans="1:12" ht="15.75" customHeight="1" thickBot="1" x14ac:dyDescent="0.25">
      <c r="A20" s="548" t="s">
        <v>550</v>
      </c>
      <c r="B20" s="554" t="s">
        <v>486</v>
      </c>
      <c r="C20" s="549">
        <f t="shared" ref="C20:L20" si="0">C13*C17</f>
        <v>0</v>
      </c>
      <c r="D20" s="549">
        <f t="shared" si="0"/>
        <v>579.5</v>
      </c>
      <c r="E20" s="549">
        <f t="shared" si="0"/>
        <v>870.18903399999999</v>
      </c>
      <c r="F20" s="549">
        <f t="shared" si="0"/>
        <v>1100.8364857735128</v>
      </c>
      <c r="G20" s="549">
        <f t="shared" si="0"/>
        <v>1391.090875855956</v>
      </c>
      <c r="H20" s="549">
        <f t="shared" si="0"/>
        <v>1714.839342287444</v>
      </c>
      <c r="I20" s="549">
        <f t="shared" si="0"/>
        <v>2071.1084279055872</v>
      </c>
      <c r="J20" s="549">
        <f t="shared" si="0"/>
        <v>2454.458017336472</v>
      </c>
      <c r="K20" s="549">
        <f t="shared" si="0"/>
        <v>2857.7444156975312</v>
      </c>
      <c r="L20" s="549">
        <f t="shared" si="0"/>
        <v>3272.3497458816287</v>
      </c>
    </row>
    <row r="21" spans="1:12" ht="24" customHeight="1" thickTop="1" x14ac:dyDescent="0.2">
      <c r="A21" s="480" t="s">
        <v>551</v>
      </c>
      <c r="B21" s="555" t="s">
        <v>486</v>
      </c>
      <c r="C21" s="550">
        <f>C20*Assumptions!$F$28</f>
        <v>0</v>
      </c>
      <c r="D21" s="550">
        <f>D20*Assumptions!$F$28</f>
        <v>-46.36</v>
      </c>
      <c r="E21" s="550">
        <f>E20*Assumptions!$F$28</f>
        <v>-69.615122720000002</v>
      </c>
      <c r="F21" s="550">
        <f>F20*Assumptions!$F$28</f>
        <v>-88.066918861881021</v>
      </c>
      <c r="G21" s="550">
        <f>G20*Assumptions!$F$28</f>
        <v>-111.28727006847649</v>
      </c>
      <c r="H21" s="550">
        <f>H20*Assumptions!$F$28</f>
        <v>-137.18714738299553</v>
      </c>
      <c r="I21" s="550">
        <f>I20*Assumptions!$F$28</f>
        <v>-165.68867423244697</v>
      </c>
      <c r="J21" s="550">
        <f>J20*Assumptions!$F$28</f>
        <v>-196.35664138691777</v>
      </c>
      <c r="K21" s="550">
        <f>K20*Assumptions!$F$28</f>
        <v>-228.61955325580249</v>
      </c>
      <c r="L21" s="550">
        <f>L20*Assumptions!$F$28</f>
        <v>-261.78797967053032</v>
      </c>
    </row>
    <row r="22" spans="1:12" ht="15.75" customHeight="1" x14ac:dyDescent="0.2">
      <c r="A22" s="473" t="s">
        <v>552</v>
      </c>
      <c r="B22" s="483" t="s">
        <v>458</v>
      </c>
      <c r="C22" s="478"/>
      <c r="D22" s="478">
        <f>IFERROR(D20/C20-1,0)</f>
        <v>0</v>
      </c>
      <c r="E22" s="478">
        <f t="shared" ref="E22:L22" si="1">E20/D20-1</f>
        <v>0.5016204210526316</v>
      </c>
      <c r="F22" s="478">
        <f t="shared" si="1"/>
        <v>0.26505442238601318</v>
      </c>
      <c r="G22" s="478">
        <f t="shared" si="1"/>
        <v>0.26366712389487468</v>
      </c>
      <c r="H22" s="478">
        <f t="shared" si="1"/>
        <v>0.23272991869225024</v>
      </c>
      <c r="I22" s="478">
        <f t="shared" si="1"/>
        <v>0.20775653837222552</v>
      </c>
      <c r="J22" s="478">
        <f t="shared" si="1"/>
        <v>0.18509392568043759</v>
      </c>
      <c r="K22" s="478">
        <f t="shared" si="1"/>
        <v>0.1643077190616189</v>
      </c>
      <c r="L22" s="478">
        <f t="shared" si="1"/>
        <v>0.14508131934636248</v>
      </c>
    </row>
    <row r="23" spans="1:12" ht="15.75" customHeight="1" x14ac:dyDescent="0.2">
      <c r="A23" s="18"/>
      <c r="B23" s="482"/>
      <c r="C23" s="13"/>
      <c r="D23" s="19"/>
      <c r="E23" s="19"/>
      <c r="F23" s="19"/>
      <c r="G23" s="19"/>
      <c r="H23" s="19"/>
      <c r="I23" s="19"/>
      <c r="J23" s="19"/>
      <c r="K23" s="19"/>
      <c r="L23" s="19"/>
    </row>
    <row r="24" spans="1:12" ht="22" customHeight="1" x14ac:dyDescent="0.2">
      <c r="A24" s="868" t="s">
        <v>553</v>
      </c>
      <c r="B24" s="860"/>
      <c r="C24" s="860"/>
      <c r="D24" s="860"/>
      <c r="E24" s="860"/>
      <c r="F24" s="860"/>
      <c r="G24" s="860"/>
      <c r="H24" s="860"/>
      <c r="I24" s="860"/>
      <c r="J24" s="860"/>
      <c r="K24" s="860"/>
      <c r="L24" s="860"/>
    </row>
    <row r="25" spans="1:12" ht="15.75" customHeight="1" x14ac:dyDescent="0.2">
      <c r="A25" s="18" t="s">
        <v>554</v>
      </c>
      <c r="B25" s="482" t="s">
        <v>486</v>
      </c>
      <c r="C25" s="59">
        <f t="shared" ref="C25:L25" si="2">C12*C17</f>
        <v>0</v>
      </c>
      <c r="D25" s="59">
        <f t="shared" si="2"/>
        <v>762.5</v>
      </c>
      <c r="E25" s="59">
        <f t="shared" si="2"/>
        <v>947.3780680000001</v>
      </c>
      <c r="F25" s="59">
        <f t="shared" si="2"/>
        <v>1216.3997808270256</v>
      </c>
      <c r="G25" s="59">
        <f t="shared" si="2"/>
        <v>1517.1259796518059</v>
      </c>
      <c r="H25" s="59">
        <f t="shared" si="2"/>
        <v>1851.8676657370095</v>
      </c>
      <c r="I25" s="59">
        <f t="shared" si="2"/>
        <v>2216.2744834446848</v>
      </c>
      <c r="J25" s="59">
        <f t="shared" si="2"/>
        <v>2603.9905718904715</v>
      </c>
      <c r="K25" s="59">
        <f t="shared" si="2"/>
        <v>3007.3386366289719</v>
      </c>
      <c r="L25" s="59">
        <f t="shared" si="2"/>
        <v>3417.0673096691266</v>
      </c>
    </row>
    <row r="26" spans="1:12" ht="15.75" customHeight="1" x14ac:dyDescent="0.2">
      <c r="A26" s="473" t="s">
        <v>555</v>
      </c>
      <c r="B26" s="483" t="s">
        <v>556</v>
      </c>
      <c r="C26" s="553">
        <f t="shared" ref="C26:L26" si="3">IFERROR(C25/C20, 0)</f>
        <v>0</v>
      </c>
      <c r="D26" s="553">
        <f t="shared" si="3"/>
        <v>1.3157894736842106</v>
      </c>
      <c r="E26" s="553">
        <f t="shared" si="3"/>
        <v>1.0887037539937559</v>
      </c>
      <c r="F26" s="553">
        <f t="shared" si="3"/>
        <v>1.1049777115375234</v>
      </c>
      <c r="G26" s="553">
        <f t="shared" si="3"/>
        <v>1.0906016321315448</v>
      </c>
      <c r="H26" s="553">
        <f t="shared" si="3"/>
        <v>1.0799073826162524</v>
      </c>
      <c r="I26" s="553">
        <f t="shared" si="3"/>
        <v>1.0700909974500452</v>
      </c>
      <c r="J26" s="553">
        <f t="shared" si="3"/>
        <v>1.0609228406017999</v>
      </c>
      <c r="K26" s="553">
        <f t="shared" si="3"/>
        <v>1.0523469559103056</v>
      </c>
      <c r="L26" s="553">
        <f t="shared" si="3"/>
        <v>1.0442243571212491</v>
      </c>
    </row>
    <row r="27" spans="1:12" ht="15.75" customHeight="1" x14ac:dyDescent="0.2">
      <c r="A27" s="18" t="s">
        <v>557</v>
      </c>
      <c r="B27" s="482" t="s">
        <v>458</v>
      </c>
      <c r="C27" s="551"/>
      <c r="D27" s="552">
        <f>D20/Assumptions!$F$12-1</f>
        <v>0</v>
      </c>
      <c r="E27" s="551"/>
      <c r="F27" s="551"/>
      <c r="G27" s="551"/>
      <c r="H27" s="551"/>
      <c r="I27" s="551"/>
      <c r="J27" s="551"/>
      <c r="K27" s="551"/>
      <c r="L27" s="551"/>
    </row>
    <row r="28" spans="1:12" ht="15.75" customHeight="1" x14ac:dyDescent="0.2">
      <c r="A28" s="18"/>
      <c r="B28" s="75"/>
      <c r="C28" s="3"/>
      <c r="D28" s="19"/>
      <c r="E28" s="3"/>
      <c r="F28" s="3"/>
      <c r="G28" s="3"/>
      <c r="H28" s="3"/>
      <c r="I28" s="3"/>
      <c r="J28" s="3"/>
      <c r="K28" s="3"/>
      <c r="L28" s="3"/>
    </row>
    <row r="29" spans="1:12" ht="15.75" customHeight="1" x14ac:dyDescent="0.2"/>
    <row r="30" spans="1:12" ht="15.75" customHeight="1" x14ac:dyDescent="0.2"/>
    <row r="31" spans="1:12" ht="15.75" customHeight="1" x14ac:dyDescent="0.2"/>
    <row r="32" spans="1: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sheetData>
  <mergeCells count="6">
    <mergeCell ref="A16:L16"/>
    <mergeCell ref="A8:L8"/>
    <mergeCell ref="A19:L19"/>
    <mergeCell ref="A24:L24"/>
    <mergeCell ref="A1:L1"/>
    <mergeCell ref="A2:L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N51"/>
  <sheetViews>
    <sheetView showGridLines="0" topLeftCell="A3" workbookViewId="0">
      <selection activeCell="E48" sqref="E48"/>
    </sheetView>
  </sheetViews>
  <sheetFormatPr baseColWidth="10" defaultColWidth="8.83203125" defaultRowHeight="15" x14ac:dyDescent="0.2"/>
  <cols>
    <col min="1" max="1" width="53.33203125" customWidth="1"/>
    <col min="2" max="2" width="8.33203125" customWidth="1"/>
    <col min="3" max="12" width="12.5" customWidth="1"/>
    <col min="13" max="14" width="33.33203125" customWidth="1"/>
  </cols>
  <sheetData>
    <row r="1" spans="1:14" ht="28" customHeight="1" x14ac:dyDescent="0.25">
      <c r="A1" s="874" t="s">
        <v>558</v>
      </c>
      <c r="B1" s="874"/>
      <c r="C1" s="874"/>
      <c r="D1" s="874"/>
      <c r="E1" s="874"/>
      <c r="F1" s="874"/>
      <c r="G1" s="874"/>
      <c r="H1" s="874"/>
      <c r="I1" s="874"/>
      <c r="J1" s="874"/>
      <c r="K1" s="874"/>
      <c r="L1" s="874"/>
      <c r="M1" s="79"/>
      <c r="N1" s="79"/>
    </row>
    <row r="2" spans="1:14" ht="15.75" customHeight="1" x14ac:dyDescent="0.2">
      <c r="A2" s="875" t="s">
        <v>559</v>
      </c>
      <c r="B2" s="875"/>
      <c r="C2" s="875"/>
      <c r="D2" s="875"/>
      <c r="E2" s="875"/>
      <c r="F2" s="875"/>
      <c r="G2" s="875"/>
      <c r="H2" s="875"/>
      <c r="I2" s="875"/>
      <c r="J2" s="875"/>
      <c r="K2" s="875"/>
      <c r="L2" s="875"/>
      <c r="M2" s="5"/>
      <c r="N2" s="5"/>
    </row>
    <row r="3" spans="1:14" ht="15.75" customHeight="1" x14ac:dyDescent="0.2">
      <c r="A3" s="876" t="s">
        <v>560</v>
      </c>
      <c r="B3" s="877"/>
      <c r="C3" s="877"/>
      <c r="D3" s="877"/>
      <c r="E3" s="877"/>
      <c r="F3" s="877"/>
      <c r="G3" s="877"/>
      <c r="H3" s="877"/>
      <c r="I3" s="877"/>
      <c r="J3" s="877"/>
      <c r="K3" s="877"/>
      <c r="L3" s="877"/>
    </row>
    <row r="4" spans="1:14" ht="15.75" customHeight="1" x14ac:dyDescent="0.2"/>
    <row r="5" spans="1:14" ht="22" customHeight="1" x14ac:dyDescent="0.2">
      <c r="A5" s="373"/>
      <c r="B5" s="373" t="s">
        <v>445</v>
      </c>
      <c r="C5" s="373" t="s">
        <v>532</v>
      </c>
      <c r="D5" s="373" t="s">
        <v>533</v>
      </c>
      <c r="E5" s="373" t="s">
        <v>534</v>
      </c>
      <c r="F5" s="373" t="s">
        <v>535</v>
      </c>
      <c r="G5" s="373" t="s">
        <v>536</v>
      </c>
      <c r="H5" s="373" t="s">
        <v>537</v>
      </c>
      <c r="I5" s="373" t="s">
        <v>538</v>
      </c>
      <c r="J5" s="373" t="s">
        <v>539</v>
      </c>
      <c r="K5" s="373" t="s">
        <v>540</v>
      </c>
      <c r="L5" s="373" t="s">
        <v>541</v>
      </c>
    </row>
    <row r="6" spans="1:14" ht="15.75" customHeight="1" x14ac:dyDescent="0.2"/>
    <row r="7" spans="1:14" ht="22" customHeight="1" x14ac:dyDescent="0.2">
      <c r="A7" s="836" t="s">
        <v>561</v>
      </c>
      <c r="B7" s="878"/>
      <c r="C7" s="878"/>
      <c r="D7" s="878"/>
      <c r="E7" s="878"/>
      <c r="F7" s="878"/>
      <c r="G7" s="878"/>
      <c r="H7" s="878"/>
      <c r="I7" s="878"/>
      <c r="J7" s="878"/>
      <c r="K7" s="878"/>
      <c r="L7" s="878"/>
    </row>
    <row r="8" spans="1:14" ht="15.75" customHeight="1" x14ac:dyDescent="0.2">
      <c r="A8" s="557" t="s">
        <v>562</v>
      </c>
      <c r="B8" s="578" t="s">
        <v>486</v>
      </c>
      <c r="C8" s="558">
        <f>'Revenue Build'!C20</f>
        <v>0</v>
      </c>
      <c r="D8" s="558">
        <f>'Revenue Build'!D20</f>
        <v>579.5</v>
      </c>
      <c r="E8" s="558">
        <f>'Revenue Build'!E20</f>
        <v>870.18903399999999</v>
      </c>
      <c r="F8" s="558">
        <f>'Revenue Build'!F20</f>
        <v>1100.8364857735128</v>
      </c>
      <c r="G8" s="558">
        <f>'Revenue Build'!G20</f>
        <v>1391.090875855956</v>
      </c>
      <c r="H8" s="558">
        <f>'Revenue Build'!H20</f>
        <v>1714.839342287444</v>
      </c>
      <c r="I8" s="558">
        <f>'Revenue Build'!I20</f>
        <v>2071.1084279055872</v>
      </c>
      <c r="J8" s="558">
        <f>'Revenue Build'!J20</f>
        <v>2454.458017336472</v>
      </c>
      <c r="K8" s="558">
        <f>'Revenue Build'!K20</f>
        <v>2857.7444156975312</v>
      </c>
      <c r="L8" s="558">
        <f>'Revenue Build'!L20</f>
        <v>3272.3497458816287</v>
      </c>
      <c r="M8" s="421" t="s">
        <v>563</v>
      </c>
    </row>
    <row r="9" spans="1:14" ht="15.75" customHeight="1" x14ac:dyDescent="0.2">
      <c r="A9" s="559" t="s">
        <v>564</v>
      </c>
      <c r="B9" s="559" t="s">
        <v>458</v>
      </c>
      <c r="C9" s="560"/>
      <c r="D9" s="560">
        <f>IFERROR(D8/C8-1,0)</f>
        <v>0</v>
      </c>
      <c r="E9" s="560">
        <f t="shared" ref="E9:L9" si="0">E8/D8-1</f>
        <v>0.5016204210526316</v>
      </c>
      <c r="F9" s="560">
        <f t="shared" si="0"/>
        <v>0.26505442238601318</v>
      </c>
      <c r="G9" s="560">
        <f t="shared" si="0"/>
        <v>0.26366712389487468</v>
      </c>
      <c r="H9" s="560">
        <f t="shared" si="0"/>
        <v>0.23272991869225024</v>
      </c>
      <c r="I9" s="560">
        <f t="shared" si="0"/>
        <v>0.20775653837222552</v>
      </c>
      <c r="J9" s="560">
        <f t="shared" si="0"/>
        <v>0.18509392568043759</v>
      </c>
      <c r="K9" s="560">
        <f t="shared" si="0"/>
        <v>0.1643077190616189</v>
      </c>
      <c r="L9" s="560">
        <f t="shared" si="0"/>
        <v>0.14508131934636248</v>
      </c>
      <c r="M9" s="415"/>
    </row>
    <row r="10" spans="1:14" ht="15.75" customHeight="1" x14ac:dyDescent="0.2">
      <c r="A10" s="28"/>
      <c r="B10" s="28"/>
      <c r="C10" s="28"/>
      <c r="D10" s="28"/>
      <c r="E10" s="28"/>
      <c r="F10" s="28"/>
      <c r="G10" s="28"/>
      <c r="H10" s="28"/>
      <c r="I10" s="28"/>
      <c r="J10" s="28"/>
      <c r="K10" s="28"/>
      <c r="L10" s="28"/>
      <c r="M10" s="415"/>
    </row>
    <row r="11" spans="1:14" ht="22" customHeight="1" x14ac:dyDescent="0.2">
      <c r="A11" s="836" t="s">
        <v>565</v>
      </c>
      <c r="B11" s="879"/>
      <c r="C11" s="879"/>
      <c r="D11" s="879"/>
      <c r="E11" s="879"/>
      <c r="F11" s="879"/>
      <c r="G11" s="879"/>
      <c r="H11" s="879"/>
      <c r="I11" s="879"/>
      <c r="J11" s="879"/>
      <c r="K11" s="879"/>
      <c r="L11" s="879"/>
      <c r="M11" s="415"/>
    </row>
    <row r="12" spans="1:14" ht="15.75" customHeight="1" x14ac:dyDescent="0.2">
      <c r="A12" s="1" t="s">
        <v>566</v>
      </c>
      <c r="B12" s="375" t="s">
        <v>486</v>
      </c>
      <c r="C12" s="42"/>
      <c r="D12" s="44">
        <f>D8*0.4</f>
        <v>231.8</v>
      </c>
      <c r="E12" s="42">
        <f>E8*(Assumptions!$F$151 + (Assumptions!$F$152-Assumptions!$F$151)*(E$5-2026)/7)</f>
        <v>217.5472585</v>
      </c>
      <c r="F12" s="42">
        <f>F8*(Assumptions!$F$151 + (Assumptions!$F$152-Assumptions!$F$151)*(F$5-2026)/7)</f>
        <v>267.34600368785311</v>
      </c>
      <c r="G12" s="42">
        <f>G8*(Assumptions!$F$151 + (Assumptions!$F$152-Assumptions!$F$151)*(G$5-2026)/7)</f>
        <v>327.89999216604679</v>
      </c>
      <c r="H12" s="42">
        <f>H8*(Assumptions!$F$151 + (Assumptions!$F$152-Assumptions!$F$151)*(H$5-2026)/7)</f>
        <v>391.96327823713006</v>
      </c>
      <c r="I12" s="42">
        <f>I8*(Assumptions!$F$151 + (Assumptions!$F$152-Assumptions!$F$151)*(I$5-2026)/7)</f>
        <v>458.60258046480863</v>
      </c>
      <c r="J12" s="42">
        <f>J8*(Assumptions!$F$151 + (Assumptions!$F$152-Assumptions!$F$151)*(J$5-2026)/7)</f>
        <v>525.95528942924409</v>
      </c>
      <c r="K12" s="42">
        <f>K8*(Assumptions!$F$151 + (Assumptions!$F$152-Assumptions!$F$151)*(K$5-2026)/7)</f>
        <v>591.96134325163155</v>
      </c>
      <c r="L12" s="42">
        <f>L8*(Assumptions!$F$151 + (Assumptions!$F$152-Assumptions!$F$151)*(L$5-2026)/7)</f>
        <v>654.46994917632583</v>
      </c>
      <c r="M12" s="415"/>
    </row>
    <row r="13" spans="1:14" ht="15.75" customHeight="1" x14ac:dyDescent="0.2">
      <c r="A13" s="421" t="s">
        <v>567</v>
      </c>
      <c r="B13" s="421" t="s">
        <v>486</v>
      </c>
      <c r="C13" s="561"/>
      <c r="D13" s="561">
        <f>Members!D31 * Assumptions!$F$32</f>
        <v>156.48000000000002</v>
      </c>
      <c r="E13" s="561">
        <f>Members!E31 * Assumptions!$F$32</f>
        <v>104.31</v>
      </c>
      <c r="F13" s="561">
        <f>Members!F31 * Assumptions!$F$32</f>
        <v>134.67345516474398</v>
      </c>
      <c r="G13" s="561">
        <f>Members!G31 * Assumptions!$F$32</f>
        <v>147.30054044513906</v>
      </c>
      <c r="H13" s="561">
        <f>Members!H31 * Assumptions!$F$32</f>
        <v>161.54603719617555</v>
      </c>
      <c r="I13" s="561">
        <f>Members!I31 * Assumptions!$F$32</f>
        <v>173.22312220266676</v>
      </c>
      <c r="J13" s="561">
        <f>Members!J31 * Assumptions!$F$32</f>
        <v>182.14003195765449</v>
      </c>
      <c r="K13" s="561">
        <f>Members!K31 * Assumptions!$F$32</f>
        <v>187.83451966153339</v>
      </c>
      <c r="L13" s="561">
        <f>Members!L31 * Assumptions!$F$32</f>
        <v>189.96085328834903</v>
      </c>
      <c r="M13" s="415"/>
    </row>
    <row r="14" spans="1:14" ht="15.75" customHeight="1" thickBot="1" x14ac:dyDescent="0.25">
      <c r="A14" s="562" t="s">
        <v>568</v>
      </c>
      <c r="B14" s="579" t="s">
        <v>486</v>
      </c>
      <c r="C14" s="563"/>
      <c r="D14" s="564">
        <f t="shared" ref="D14:L14" si="1">D12</f>
        <v>231.8</v>
      </c>
      <c r="E14" s="564">
        <f t="shared" si="1"/>
        <v>217.5472585</v>
      </c>
      <c r="F14" s="564">
        <f t="shared" si="1"/>
        <v>267.34600368785311</v>
      </c>
      <c r="G14" s="564">
        <f t="shared" si="1"/>
        <v>327.89999216604679</v>
      </c>
      <c r="H14" s="564">
        <f t="shared" si="1"/>
        <v>391.96327823713006</v>
      </c>
      <c r="I14" s="564">
        <f t="shared" si="1"/>
        <v>458.60258046480863</v>
      </c>
      <c r="J14" s="564">
        <f t="shared" si="1"/>
        <v>525.95528942924409</v>
      </c>
      <c r="K14" s="564">
        <f t="shared" si="1"/>
        <v>591.96134325163155</v>
      </c>
      <c r="L14" s="564">
        <f t="shared" si="1"/>
        <v>654.46994917632583</v>
      </c>
      <c r="M14" s="415"/>
    </row>
    <row r="15" spans="1:14" ht="15.75" customHeight="1" x14ac:dyDescent="0.2">
      <c r="A15" s="565" t="s">
        <v>569</v>
      </c>
      <c r="B15" s="580" t="s">
        <v>486</v>
      </c>
      <c r="C15" s="566"/>
      <c r="D15" s="566">
        <f t="shared" ref="D15:L15" si="2">D8-D12</f>
        <v>347.7</v>
      </c>
      <c r="E15" s="566">
        <f t="shared" si="2"/>
        <v>652.64177549999999</v>
      </c>
      <c r="F15" s="566">
        <f t="shared" si="2"/>
        <v>833.49048208565966</v>
      </c>
      <c r="G15" s="566">
        <f t="shared" si="2"/>
        <v>1063.1908836899092</v>
      </c>
      <c r="H15" s="566">
        <f t="shared" si="2"/>
        <v>1322.876064050314</v>
      </c>
      <c r="I15" s="566">
        <f t="shared" si="2"/>
        <v>1612.5058474407786</v>
      </c>
      <c r="J15" s="566">
        <f t="shared" si="2"/>
        <v>1928.5027279072278</v>
      </c>
      <c r="K15" s="566">
        <f t="shared" si="2"/>
        <v>2265.7830724458995</v>
      </c>
      <c r="L15" s="566">
        <f t="shared" si="2"/>
        <v>2617.8797967053029</v>
      </c>
      <c r="M15" s="415"/>
    </row>
    <row r="16" spans="1:14" ht="15.75" customHeight="1" x14ac:dyDescent="0.2">
      <c r="A16" s="567" t="s">
        <v>570</v>
      </c>
      <c r="B16" s="559" t="s">
        <v>458</v>
      </c>
      <c r="C16" s="560"/>
      <c r="D16" s="568">
        <f t="shared" ref="D16:L16" si="3">D15/D8</f>
        <v>0.6</v>
      </c>
      <c r="E16" s="568">
        <f t="shared" si="3"/>
        <v>0.75</v>
      </c>
      <c r="F16" s="568">
        <f t="shared" si="3"/>
        <v>0.75714285714285712</v>
      </c>
      <c r="G16" s="568">
        <f t="shared" si="3"/>
        <v>0.76428571428571423</v>
      </c>
      <c r="H16" s="568">
        <f t="shared" si="3"/>
        <v>0.77142857142857146</v>
      </c>
      <c r="I16" s="568">
        <f t="shared" si="3"/>
        <v>0.77857142857142858</v>
      </c>
      <c r="J16" s="568">
        <f t="shared" si="3"/>
        <v>0.78571428571428559</v>
      </c>
      <c r="K16" s="568">
        <f t="shared" si="3"/>
        <v>0.79285714285714282</v>
      </c>
      <c r="L16" s="568">
        <f t="shared" si="3"/>
        <v>0.79999999999999993</v>
      </c>
      <c r="M16" s="415"/>
    </row>
    <row r="17" spans="1:13" ht="15.75" customHeight="1" x14ac:dyDescent="0.2">
      <c r="A17" s="3"/>
      <c r="B17" s="375"/>
      <c r="C17" s="45"/>
      <c r="D17" s="45"/>
      <c r="E17" s="45"/>
      <c r="F17" s="45"/>
      <c r="G17" s="45"/>
      <c r="H17" s="45"/>
      <c r="I17" s="45"/>
      <c r="J17" s="45"/>
      <c r="K17" s="45"/>
      <c r="L17" s="45"/>
      <c r="M17" s="421"/>
    </row>
    <row r="18" spans="1:13" ht="15.75" customHeight="1" x14ac:dyDescent="0.2">
      <c r="A18" s="28"/>
      <c r="B18" s="375"/>
      <c r="C18" s="45"/>
      <c r="D18" s="46"/>
      <c r="E18" s="28"/>
      <c r="F18" s="28"/>
      <c r="G18" s="28"/>
      <c r="H18" s="28"/>
      <c r="I18" s="28"/>
      <c r="J18" s="28"/>
      <c r="K18" s="28"/>
      <c r="L18" s="28"/>
      <c r="M18" s="421"/>
    </row>
    <row r="19" spans="1:13" ht="15.75" customHeight="1" x14ac:dyDescent="0.2">
      <c r="A19" s="28"/>
      <c r="B19" s="28"/>
      <c r="C19" s="294"/>
      <c r="D19" s="294"/>
      <c r="E19" s="294"/>
      <c r="F19" s="294"/>
      <c r="G19" s="294"/>
      <c r="H19" s="294"/>
      <c r="I19" s="294"/>
      <c r="J19" s="294"/>
      <c r="K19" s="294"/>
      <c r="L19" s="294"/>
      <c r="M19" s="415"/>
    </row>
    <row r="20" spans="1:13" ht="22" customHeight="1" x14ac:dyDescent="0.2">
      <c r="A20" s="836" t="s">
        <v>571</v>
      </c>
      <c r="B20" s="879"/>
      <c r="C20" s="879"/>
      <c r="D20" s="879"/>
      <c r="E20" s="879"/>
      <c r="F20" s="879"/>
      <c r="G20" s="879"/>
      <c r="H20" s="879"/>
      <c r="I20" s="879"/>
      <c r="J20" s="879"/>
      <c r="K20" s="879"/>
      <c r="L20" s="879"/>
      <c r="M20" s="415"/>
    </row>
    <row r="21" spans="1:13" ht="15.75" customHeight="1" x14ac:dyDescent="0.2">
      <c r="A21" s="3" t="s">
        <v>572</v>
      </c>
      <c r="B21" s="375" t="s">
        <v>486</v>
      </c>
      <c r="C21" s="42"/>
      <c r="D21" s="42">
        <f>D8*Assumptions!$F$39</f>
        <v>127.49</v>
      </c>
      <c r="E21" s="42">
        <f>E8*(Assumptions!$F$39 + (Assumptions!$F$40-Assumptions!$F$39)*(E$5-2026)/7)</f>
        <v>191.44158748000001</v>
      </c>
      <c r="F21" s="42">
        <f>F8*(Assumptions!$F$39 + (Assumptions!$F$40-Assumptions!$F$39)*(F$5-2026)/7)</f>
        <v>231.17566201243767</v>
      </c>
      <c r="G21" s="42">
        <f>G8*(Assumptions!$F$39 + (Assumptions!$F$40-Assumptions!$F$39)*(G$5-2026)/7)</f>
        <v>278.21817517119121</v>
      </c>
      <c r="H21" s="42">
        <f>H8*(Assumptions!$F$39 + (Assumptions!$F$40-Assumptions!$F$39)*(H$5-2026)/7)</f>
        <v>325.81947503461436</v>
      </c>
      <c r="I21" s="42">
        <f>I8*(Assumptions!$F$39 + (Assumptions!$F$40-Assumptions!$F$39)*(I$5-2026)/7)</f>
        <v>372.79951702300571</v>
      </c>
      <c r="J21" s="42">
        <f>J8*(Assumptions!$F$39 + (Assumptions!$F$40-Assumptions!$F$39)*(J$5-2026)/7)</f>
        <v>417.25786294720018</v>
      </c>
      <c r="K21" s="42">
        <f>K8*(Assumptions!$F$39 + (Assumptions!$F$40-Assumptions!$F$39)*(K$5-2026)/7)</f>
        <v>457.23910651160497</v>
      </c>
      <c r="L21" s="42">
        <f>L8*(Assumptions!$F$39 + (Assumptions!$F$40-Assumptions!$F$39)*(L$5-2026)/7)</f>
        <v>490.85246188224426</v>
      </c>
      <c r="M21" s="415"/>
    </row>
    <row r="22" spans="1:13" ht="15.75" customHeight="1" x14ac:dyDescent="0.2">
      <c r="A22" s="559" t="s">
        <v>573</v>
      </c>
      <c r="B22" s="559" t="s">
        <v>458</v>
      </c>
      <c r="C22" s="560"/>
      <c r="D22" s="560">
        <f t="shared" ref="D22:L22" si="4">D21/D8</f>
        <v>0.22</v>
      </c>
      <c r="E22" s="560">
        <f t="shared" si="4"/>
        <v>0.22</v>
      </c>
      <c r="F22" s="560">
        <f t="shared" si="4"/>
        <v>0.21</v>
      </c>
      <c r="G22" s="560">
        <f t="shared" si="4"/>
        <v>0.2</v>
      </c>
      <c r="H22" s="560">
        <f t="shared" si="4"/>
        <v>0.19</v>
      </c>
      <c r="I22" s="560">
        <f t="shared" si="4"/>
        <v>0.18</v>
      </c>
      <c r="J22" s="560">
        <f t="shared" si="4"/>
        <v>0.16999999999999998</v>
      </c>
      <c r="K22" s="560">
        <f t="shared" si="4"/>
        <v>0.16</v>
      </c>
      <c r="L22" s="560">
        <f t="shared" si="4"/>
        <v>0.15</v>
      </c>
      <c r="M22" s="421" t="s">
        <v>1588</v>
      </c>
    </row>
    <row r="23" spans="1:13" ht="15.75" customHeight="1" x14ac:dyDescent="0.2">
      <c r="A23" s="3" t="s">
        <v>574</v>
      </c>
      <c r="B23" s="375" t="s">
        <v>486</v>
      </c>
      <c r="C23" s="42"/>
      <c r="D23" s="42">
        <f>D8*Assumptions!$F$41</f>
        <v>173.85</v>
      </c>
      <c r="E23" s="42">
        <f>Members!E47</f>
        <v>173.85</v>
      </c>
      <c r="F23" s="42">
        <f>Members!F47</f>
        <v>247.38231109428568</v>
      </c>
      <c r="G23" s="42">
        <f>Members!G47</f>
        <v>295.65322760774342</v>
      </c>
      <c r="H23" s="42">
        <f>Members!H47</f>
        <v>351.74726432357744</v>
      </c>
      <c r="I23" s="42">
        <f>Members!I47</f>
        <v>406.66190117102246</v>
      </c>
      <c r="J23" s="42">
        <f>Members!J47</f>
        <v>458.60258046480857</v>
      </c>
      <c r="K23" s="42">
        <f>Members!K47</f>
        <v>504.91707785207421</v>
      </c>
      <c r="L23" s="42">
        <f>Members!L47</f>
        <v>542.97143898253091</v>
      </c>
      <c r="M23" s="415"/>
    </row>
    <row r="24" spans="1:13" ht="15.75" customHeight="1" x14ac:dyDescent="0.2">
      <c r="A24" s="559" t="s">
        <v>575</v>
      </c>
      <c r="B24" s="559" t="s">
        <v>458</v>
      </c>
      <c r="C24" s="560"/>
      <c r="D24" s="560">
        <f t="shared" ref="D24:L24" si="5">D23/D8</f>
        <v>0.3</v>
      </c>
      <c r="E24" s="560">
        <f t="shared" si="5"/>
        <v>0.19978417700906123</v>
      </c>
      <c r="F24" s="560">
        <f t="shared" si="5"/>
        <v>0.22472212203291958</v>
      </c>
      <c r="G24" s="560">
        <f t="shared" si="5"/>
        <v>0.21253336697059724</v>
      </c>
      <c r="H24" s="560">
        <f t="shared" si="5"/>
        <v>0.20511966086244424</v>
      </c>
      <c r="I24" s="560">
        <f t="shared" si="5"/>
        <v>0.19634988477269641</v>
      </c>
      <c r="J24" s="560">
        <f t="shared" si="5"/>
        <v>0.1868447442268639</v>
      </c>
      <c r="K24" s="560">
        <f t="shared" si="5"/>
        <v>0.17668377727503382</v>
      </c>
      <c r="L24" s="560">
        <f t="shared" si="5"/>
        <v>0.16592708027798075</v>
      </c>
      <c r="M24" s="421" t="s">
        <v>1589</v>
      </c>
    </row>
    <row r="25" spans="1:13" ht="15.75" customHeight="1" x14ac:dyDescent="0.2">
      <c r="A25" s="3" t="s">
        <v>576</v>
      </c>
      <c r="B25" s="375" t="s">
        <v>486</v>
      </c>
      <c r="C25" s="42"/>
      <c r="D25" s="42">
        <f>D8*Assumptions!$F$45</f>
        <v>86.924999999999997</v>
      </c>
      <c r="E25" s="42">
        <f>E8*(Assumptions!$F$45 + (Assumptions!$F$46-Assumptions!$F$45)*(E$5-2026)/7)</f>
        <v>130.5283551</v>
      </c>
      <c r="F25" s="42">
        <f>F8*(Assumptions!$F$45 + (Assumptions!$F$46-Assumptions!$F$45)*(F$5-2026)/7)</f>
        <v>158.83497866160684</v>
      </c>
      <c r="G25" s="42">
        <f>G8*(Assumptions!$F$45 + (Assumptions!$F$46-Assumptions!$F$45)*(G$5-2026)/7)</f>
        <v>192.76544994003962</v>
      </c>
      <c r="H25" s="42">
        <f>H8*(Assumptions!$F$45 + (Assumptions!$F$46-Assumptions!$F$45)*(H$5-2026)/7)</f>
        <v>227.8286554753318</v>
      </c>
      <c r="I25" s="42">
        <f>I8*(Assumptions!$F$45 + (Assumptions!$F$46-Assumptions!$F$45)*(I$5-2026)/7)</f>
        <v>263.32664297656748</v>
      </c>
      <c r="J25" s="42">
        <f>J8*(Assumptions!$F$45 + (Assumptions!$F$46-Assumptions!$F$45)*(J$5-2026)/7)</f>
        <v>298.04133067657159</v>
      </c>
      <c r="K25" s="42">
        <f>K8*(Assumptions!$F$45 + (Assumptions!$F$46-Assumptions!$F$45)*(K$5-2026)/7)</f>
        <v>330.6818538164286</v>
      </c>
      <c r="L25" s="42">
        <f>L8*(Assumptions!$F$45 + (Assumptions!$F$46-Assumptions!$F$45)*(L$5-2026)/7)</f>
        <v>359.95847204697918</v>
      </c>
      <c r="M25" s="415"/>
    </row>
    <row r="26" spans="1:13" ht="15.75" customHeight="1" x14ac:dyDescent="0.2">
      <c r="A26" s="559" t="s">
        <v>577</v>
      </c>
      <c r="B26" s="559" t="s">
        <v>458</v>
      </c>
      <c r="C26" s="560"/>
      <c r="D26" s="560">
        <f t="shared" ref="D26:L26" si="6">D25/D8</f>
        <v>0.15</v>
      </c>
      <c r="E26" s="560">
        <f t="shared" si="6"/>
        <v>0.15</v>
      </c>
      <c r="F26" s="560">
        <f t="shared" si="6"/>
        <v>0.14428571428571429</v>
      </c>
      <c r="G26" s="560">
        <f t="shared" si="6"/>
        <v>0.13857142857142857</v>
      </c>
      <c r="H26" s="560">
        <f t="shared" si="6"/>
        <v>0.13285714285714284</v>
      </c>
      <c r="I26" s="560">
        <f t="shared" si="6"/>
        <v>0.12714285714285714</v>
      </c>
      <c r="J26" s="560">
        <f t="shared" si="6"/>
        <v>0.12142857142857143</v>
      </c>
      <c r="K26" s="560">
        <f t="shared" si="6"/>
        <v>0.11571428571428571</v>
      </c>
      <c r="L26" s="560">
        <f t="shared" si="6"/>
        <v>0.11000000000000001</v>
      </c>
      <c r="M26" s="421" t="s">
        <v>1590</v>
      </c>
    </row>
    <row r="27" spans="1:13" ht="15.75" customHeight="1" x14ac:dyDescent="0.2">
      <c r="A27" s="3" t="s">
        <v>578</v>
      </c>
      <c r="B27" s="375" t="s">
        <v>486</v>
      </c>
      <c r="C27" s="42"/>
      <c r="D27" s="42">
        <f>D8*Assumptions!$F$47</f>
        <v>81.13000000000001</v>
      </c>
      <c r="E27" s="42">
        <f>E8*(Assumptions!$F$47 + (Assumptions!$F$48-Assumptions!$F$47)*(E$5-2026)/7)</f>
        <v>121.82646476000001</v>
      </c>
      <c r="F27" s="42">
        <f>F8*(Assumptions!$F$47 + (Assumptions!$F$48-Assumptions!$F$47)*(F$5-2026)/7)</f>
        <v>144.68136670166172</v>
      </c>
      <c r="G27" s="42">
        <f>G8*(Assumptions!$F$47 + (Assumptions!$F$48-Assumptions!$F$47)*(G$5-2026)/7)</f>
        <v>170.90545046230318</v>
      </c>
      <c r="H27" s="42">
        <f>H8*(Assumptions!$F$47 + (Assumptions!$F$48-Assumptions!$F$47)*(H$5-2026)/7)</f>
        <v>195.98163911856506</v>
      </c>
      <c r="I27" s="42">
        <f>I8*(Assumptions!$F$47 + (Assumptions!$F$48-Assumptions!$F$47)*(I$5-2026)/7)</f>
        <v>218.94574809287636</v>
      </c>
      <c r="J27" s="42">
        <f>J8*(Assumptions!$F$47 + (Assumptions!$F$48-Assumptions!$F$47)*(J$5-2026)/7)</f>
        <v>238.43306454125729</v>
      </c>
      <c r="K27" s="42">
        <f>K8*(Assumptions!$F$47 + (Assumptions!$F$48-Assumptions!$F$47)*(K$5-2026)/7)</f>
        <v>253.11450539035278</v>
      </c>
      <c r="L27" s="42">
        <f>L8*(Assumptions!$F$47 + (Assumptions!$F$48-Assumptions!$F$47)*(L$5-2026)/7)</f>
        <v>261.78797967053032</v>
      </c>
      <c r="M27" s="415"/>
    </row>
    <row r="28" spans="1:13" ht="15.75" customHeight="1" thickBot="1" x14ac:dyDescent="0.25">
      <c r="A28" s="559" t="s">
        <v>579</v>
      </c>
      <c r="B28" s="559" t="s">
        <v>458</v>
      </c>
      <c r="C28" s="560"/>
      <c r="D28" s="560">
        <f t="shared" ref="D28:L28" si="7">D27/D8</f>
        <v>0.14000000000000001</v>
      </c>
      <c r="E28" s="560">
        <f t="shared" si="7"/>
        <v>0.14000000000000001</v>
      </c>
      <c r="F28" s="560">
        <f t="shared" si="7"/>
        <v>0.13142857142857145</v>
      </c>
      <c r="G28" s="560">
        <f t="shared" si="7"/>
        <v>0.12285714285714286</v>
      </c>
      <c r="H28" s="560">
        <f t="shared" si="7"/>
        <v>0.11428571428571431</v>
      </c>
      <c r="I28" s="560">
        <f t="shared" si="7"/>
        <v>0.10571428571428572</v>
      </c>
      <c r="J28" s="560">
        <f t="shared" si="7"/>
        <v>9.7142857142857142E-2</v>
      </c>
      <c r="K28" s="560">
        <f t="shared" si="7"/>
        <v>8.8571428571428579E-2</v>
      </c>
      <c r="L28" s="560">
        <f t="shared" si="7"/>
        <v>0.08</v>
      </c>
      <c r="M28" s="421" t="s">
        <v>1591</v>
      </c>
    </row>
    <row r="29" spans="1:13" ht="15.75" customHeight="1" x14ac:dyDescent="0.2">
      <c r="A29" s="565" t="s">
        <v>580</v>
      </c>
      <c r="B29" s="580" t="s">
        <v>486</v>
      </c>
      <c r="C29" s="566"/>
      <c r="D29" s="566">
        <f t="shared" ref="D29:L29" si="8">D21+D23+D25+D27</f>
        <v>469.39499999999998</v>
      </c>
      <c r="E29" s="566">
        <f t="shared" si="8"/>
        <v>617.64640734</v>
      </c>
      <c r="F29" s="566">
        <f t="shared" si="8"/>
        <v>782.07431846999202</v>
      </c>
      <c r="G29" s="566">
        <f t="shared" si="8"/>
        <v>937.54230318127748</v>
      </c>
      <c r="H29" s="566">
        <f t="shared" si="8"/>
        <v>1101.3770339520886</v>
      </c>
      <c r="I29" s="566">
        <f t="shared" si="8"/>
        <v>1261.733809263472</v>
      </c>
      <c r="J29" s="566">
        <f t="shared" si="8"/>
        <v>1412.3348386298376</v>
      </c>
      <c r="K29" s="566">
        <f t="shared" si="8"/>
        <v>1545.9525435704606</v>
      </c>
      <c r="L29" s="566">
        <f t="shared" si="8"/>
        <v>1655.5703525822848</v>
      </c>
      <c r="M29" s="415"/>
    </row>
    <row r="30" spans="1:13" ht="15.75" customHeight="1" x14ac:dyDescent="0.2">
      <c r="A30" s="28"/>
      <c r="B30" s="28"/>
      <c r="C30" s="28"/>
      <c r="D30" s="28"/>
      <c r="E30" s="28"/>
      <c r="F30" s="28"/>
      <c r="G30" s="28"/>
      <c r="H30" s="28"/>
      <c r="I30" s="28"/>
      <c r="J30" s="28"/>
      <c r="K30" s="28"/>
      <c r="L30" s="28"/>
      <c r="M30" s="415"/>
    </row>
    <row r="31" spans="1:13" ht="22" customHeight="1" thickBot="1" x14ac:dyDescent="0.25">
      <c r="A31" s="836" t="s">
        <v>581</v>
      </c>
      <c r="B31" s="879"/>
      <c r="C31" s="879"/>
      <c r="D31" s="879"/>
      <c r="E31" s="879"/>
      <c r="F31" s="879"/>
      <c r="G31" s="879"/>
      <c r="H31" s="879"/>
      <c r="I31" s="879"/>
      <c r="J31" s="879"/>
      <c r="K31" s="879"/>
      <c r="L31" s="879"/>
      <c r="M31" s="415"/>
    </row>
    <row r="32" spans="1:13" ht="15.75" customHeight="1" x14ac:dyDescent="0.2">
      <c r="A32" s="569" t="s">
        <v>582</v>
      </c>
      <c r="B32" s="581" t="s">
        <v>486</v>
      </c>
      <c r="C32" s="570"/>
      <c r="D32" s="570">
        <f t="shared" ref="D32:L32" si="9">D15-D29+D27</f>
        <v>-40.564999999999984</v>
      </c>
      <c r="E32" s="570">
        <f t="shared" si="9"/>
        <v>156.82183292000002</v>
      </c>
      <c r="F32" s="570">
        <f t="shared" si="9"/>
        <v>196.09753031732936</v>
      </c>
      <c r="G32" s="570">
        <f t="shared" si="9"/>
        <v>296.55403097093495</v>
      </c>
      <c r="H32" s="570">
        <f t="shared" si="9"/>
        <v>417.48066921679043</v>
      </c>
      <c r="I32" s="570">
        <f t="shared" si="9"/>
        <v>569.71778627018284</v>
      </c>
      <c r="J32" s="570">
        <f t="shared" si="9"/>
        <v>754.60095381864755</v>
      </c>
      <c r="K32" s="570">
        <f t="shared" si="9"/>
        <v>972.94503426579161</v>
      </c>
      <c r="L32" s="570">
        <f t="shared" si="9"/>
        <v>1224.0974237935484</v>
      </c>
      <c r="M32" s="415"/>
    </row>
    <row r="33" spans="1:13" ht="15.75" customHeight="1" x14ac:dyDescent="0.2">
      <c r="A33" s="559" t="s">
        <v>583</v>
      </c>
      <c r="B33" s="559" t="s">
        <v>458</v>
      </c>
      <c r="C33" s="560"/>
      <c r="D33" s="560">
        <f t="shared" ref="D33:L33" si="10">D32/D8</f>
        <v>-6.9999999999999965E-2</v>
      </c>
      <c r="E33" s="560">
        <f t="shared" si="10"/>
        <v>0.1802158229909388</v>
      </c>
      <c r="F33" s="560">
        <f t="shared" si="10"/>
        <v>0.17813502082422317</v>
      </c>
      <c r="G33" s="560">
        <f t="shared" si="10"/>
        <v>0.21318091874368844</v>
      </c>
      <c r="H33" s="560">
        <f t="shared" si="10"/>
        <v>0.24345176770898441</v>
      </c>
      <c r="I33" s="560">
        <f t="shared" si="10"/>
        <v>0.27507868665587498</v>
      </c>
      <c r="J33" s="560">
        <f t="shared" si="10"/>
        <v>0.30744097005885035</v>
      </c>
      <c r="K33" s="560">
        <f t="shared" si="10"/>
        <v>0.34045907986782326</v>
      </c>
      <c r="L33" s="560">
        <f t="shared" si="10"/>
        <v>0.37407291972201917</v>
      </c>
      <c r="M33" s="415"/>
    </row>
    <row r="34" spans="1:13" ht="15.75" customHeight="1" x14ac:dyDescent="0.2">
      <c r="A34" s="254" t="s">
        <v>584</v>
      </c>
      <c r="B34" s="579" t="s">
        <v>486</v>
      </c>
      <c r="C34" s="563"/>
      <c r="D34" s="563">
        <f t="shared" ref="D34:L34" si="11">D15-D29</f>
        <v>-121.69499999999999</v>
      </c>
      <c r="E34" s="563">
        <f t="shared" si="11"/>
        <v>34.995368159999998</v>
      </c>
      <c r="F34" s="563">
        <f t="shared" si="11"/>
        <v>51.416163615667642</v>
      </c>
      <c r="G34" s="563">
        <f t="shared" si="11"/>
        <v>125.64858050863177</v>
      </c>
      <c r="H34" s="563">
        <f t="shared" si="11"/>
        <v>221.49903009822538</v>
      </c>
      <c r="I34" s="563">
        <f t="shared" si="11"/>
        <v>350.77203817730651</v>
      </c>
      <c r="J34" s="563">
        <f t="shared" si="11"/>
        <v>516.16788927739026</v>
      </c>
      <c r="K34" s="563">
        <f t="shared" si="11"/>
        <v>719.83052887543886</v>
      </c>
      <c r="L34" s="563">
        <f t="shared" si="11"/>
        <v>962.30944412301801</v>
      </c>
      <c r="M34" s="415"/>
    </row>
    <row r="35" spans="1:13" ht="15.75" customHeight="1" x14ac:dyDescent="0.2">
      <c r="A35" s="559" t="s">
        <v>585</v>
      </c>
      <c r="B35" s="559" t="s">
        <v>458</v>
      </c>
      <c r="C35" s="560"/>
      <c r="D35" s="560">
        <f t="shared" ref="D35:L35" si="12">D34/D8</f>
        <v>-0.21</v>
      </c>
      <c r="E35" s="560">
        <f t="shared" si="12"/>
        <v>4.0215822990938767E-2</v>
      </c>
      <c r="F35" s="560">
        <f t="shared" si="12"/>
        <v>4.6706449395651717E-2</v>
      </c>
      <c r="G35" s="560">
        <f t="shared" si="12"/>
        <v>9.0323775886545582E-2</v>
      </c>
      <c r="H35" s="560">
        <f t="shared" si="12"/>
        <v>0.12916605342327012</v>
      </c>
      <c r="I35" s="560">
        <f t="shared" si="12"/>
        <v>0.16936440094158928</v>
      </c>
      <c r="J35" s="560">
        <f t="shared" si="12"/>
        <v>0.21029811291599323</v>
      </c>
      <c r="K35" s="560">
        <f t="shared" si="12"/>
        <v>0.25188765129639468</v>
      </c>
      <c r="L35" s="560">
        <f t="shared" si="12"/>
        <v>0.29407291972201915</v>
      </c>
      <c r="M35" s="415"/>
    </row>
    <row r="36" spans="1:13" ht="15.75" customHeight="1" x14ac:dyDescent="0.2">
      <c r="A36" s="1" t="s">
        <v>586</v>
      </c>
      <c r="B36" s="384" t="s">
        <v>483</v>
      </c>
      <c r="C36" s="571"/>
      <c r="D36" s="571">
        <f t="shared" ref="D36:L36" si="13">(D9+D33)*100</f>
        <v>-6.9999999999999964</v>
      </c>
      <c r="E36" s="571">
        <f t="shared" si="13"/>
        <v>68.183624404357033</v>
      </c>
      <c r="F36" s="571">
        <f t="shared" si="13"/>
        <v>44.318944321023636</v>
      </c>
      <c r="G36" s="571">
        <f t="shared" si="13"/>
        <v>47.684804263856314</v>
      </c>
      <c r="H36" s="571">
        <f t="shared" si="13"/>
        <v>47.618168640123464</v>
      </c>
      <c r="I36" s="571">
        <f t="shared" si="13"/>
        <v>48.283522502810051</v>
      </c>
      <c r="J36" s="571">
        <f t="shared" si="13"/>
        <v>49.253489573928796</v>
      </c>
      <c r="K36" s="571">
        <f t="shared" si="13"/>
        <v>50.476679892944219</v>
      </c>
      <c r="L36" s="571">
        <f t="shared" si="13"/>
        <v>51.915423906838164</v>
      </c>
      <c r="M36" s="583" t="s">
        <v>587</v>
      </c>
    </row>
    <row r="37" spans="1:13" ht="15.75" customHeight="1" x14ac:dyDescent="0.2">
      <c r="A37" s="28"/>
      <c r="B37" s="28"/>
      <c r="C37" s="28"/>
      <c r="D37" s="28"/>
      <c r="E37" s="28"/>
      <c r="F37" s="28"/>
      <c r="G37" s="28"/>
      <c r="H37" s="28"/>
      <c r="I37" s="28"/>
      <c r="J37" s="28"/>
      <c r="K37" s="28"/>
      <c r="L37" s="28"/>
      <c r="M37" s="415"/>
    </row>
    <row r="38" spans="1:13" ht="22" customHeight="1" x14ac:dyDescent="0.2">
      <c r="A38" s="836" t="s">
        <v>588</v>
      </c>
      <c r="B38" s="879"/>
      <c r="C38" s="879"/>
      <c r="D38" s="879"/>
      <c r="E38" s="879"/>
      <c r="F38" s="879"/>
      <c r="G38" s="879"/>
      <c r="H38" s="879"/>
      <c r="I38" s="879"/>
      <c r="J38" s="879"/>
      <c r="K38" s="879"/>
      <c r="L38" s="879"/>
      <c r="M38" s="415"/>
    </row>
    <row r="39" spans="1:13" ht="15.75" customHeight="1" x14ac:dyDescent="0.2">
      <c r="A39" s="3" t="s">
        <v>589</v>
      </c>
      <c r="B39" s="375" t="s">
        <v>486</v>
      </c>
      <c r="C39" s="44"/>
      <c r="D39" s="41">
        <f>'WC &amp; Cash'!$D$12*Assumptions!$F$67</f>
        <v>2.6250000000000004</v>
      </c>
      <c r="E39" s="41">
        <f>('WC &amp; Cash'!D33 + 'WC &amp; Cash'!E13*0.5)*Assumptions!$F$67</f>
        <v>21.316263356164384</v>
      </c>
      <c r="F39" s="41">
        <f>'WC &amp; Cash'!E33*Assumptions!$F$67</f>
        <v>35.287789870183715</v>
      </c>
      <c r="G39" s="41">
        <f>'WC &amp; Cash'!F33*Assumptions!$F$67</f>
        <v>41.373373169591005</v>
      </c>
      <c r="H39" s="41">
        <f>'WC &amp; Cash'!G33*Assumptions!$F$67</f>
        <v>49.373971463163095</v>
      </c>
      <c r="I39" s="41">
        <f>'WC &amp; Cash'!H33*Assumptions!$F$67</f>
        <v>60.394012096059889</v>
      </c>
      <c r="J39" s="41">
        <f>'WC &amp; Cash'!I33*Assumptions!$F$67</f>
        <v>75.265324977655595</v>
      </c>
      <c r="K39" s="41">
        <f>'WC &amp; Cash'!J33*Assumptions!$F$67</f>
        <v>94.816087104403977</v>
      </c>
      <c r="L39" s="41">
        <f>'WC &amp; Cash'!K33*Assumptions!$F$67</f>
        <v>119.90376383948721</v>
      </c>
      <c r="M39" s="415"/>
    </row>
    <row r="40" spans="1:13" ht="15.75" customHeight="1" x14ac:dyDescent="0.2">
      <c r="A40" s="254" t="s">
        <v>590</v>
      </c>
      <c r="B40" s="579" t="s">
        <v>486</v>
      </c>
      <c r="C40" s="563"/>
      <c r="D40" s="563">
        <f t="shared" ref="D40:L40" si="14">D34+D39</f>
        <v>-119.07</v>
      </c>
      <c r="E40" s="563">
        <f t="shared" si="14"/>
        <v>56.311631516164383</v>
      </c>
      <c r="F40" s="563">
        <f t="shared" si="14"/>
        <v>86.703953485851358</v>
      </c>
      <c r="G40" s="563">
        <f t="shared" si="14"/>
        <v>167.02195367822276</v>
      </c>
      <c r="H40" s="563">
        <f t="shared" si="14"/>
        <v>270.87300156138849</v>
      </c>
      <c r="I40" s="563">
        <f t="shared" si="14"/>
        <v>411.16605027336641</v>
      </c>
      <c r="J40" s="563">
        <f t="shared" si="14"/>
        <v>591.43321425504587</v>
      </c>
      <c r="K40" s="563">
        <f t="shared" si="14"/>
        <v>814.64661597984286</v>
      </c>
      <c r="L40" s="563">
        <f t="shared" si="14"/>
        <v>1082.2132079625053</v>
      </c>
      <c r="M40" s="415"/>
    </row>
    <row r="41" spans="1:13" ht="15.75" customHeight="1" thickBot="1" x14ac:dyDescent="0.25">
      <c r="A41" s="3" t="s">
        <v>591</v>
      </c>
      <c r="B41" s="375" t="s">
        <v>486</v>
      </c>
      <c r="C41" s="42"/>
      <c r="D41" s="42">
        <f>MAX(0, D40-D48)*Assumptions!$F$52</f>
        <v>0</v>
      </c>
      <c r="E41" s="42">
        <f>MAX(0, E40-E48)*Assumptions!$F$52</f>
        <v>2.5903350497435613</v>
      </c>
      <c r="F41" s="42">
        <f>MAX(0, F40-F48)*Assumptions!$F$52</f>
        <v>3.9883818603491608</v>
      </c>
      <c r="G41" s="42">
        <f>MAX(0, G40-G48)*Assumptions!$F$52</f>
        <v>37.343816986362128</v>
      </c>
      <c r="H41" s="42">
        <f>MAX(0, H40-H48)*Assumptions!$F$52</f>
        <v>62.300790359119354</v>
      </c>
      <c r="I41" s="42">
        <f>MAX(0, I40-I48)*Assumptions!$F$52</f>
        <v>94.568191562874276</v>
      </c>
      <c r="J41" s="42">
        <f>MAX(0, J40-J48)*Assumptions!$F$52</f>
        <v>136.02963927866057</v>
      </c>
      <c r="K41" s="42">
        <f>MAX(0, K40-K48)*Assumptions!$F$52</f>
        <v>187.36872167536387</v>
      </c>
      <c r="L41" s="42">
        <f>MAX(0, L40-L48)*Assumptions!$F$52</f>
        <v>248.90903783137622</v>
      </c>
      <c r="M41" s="415"/>
    </row>
    <row r="42" spans="1:13" ht="15.75" customHeight="1" thickBot="1" x14ac:dyDescent="0.25">
      <c r="A42" s="572" t="s">
        <v>592</v>
      </c>
      <c r="B42" s="582" t="s">
        <v>486</v>
      </c>
      <c r="C42" s="573"/>
      <c r="D42" s="573">
        <f t="shared" ref="D42:L42" si="15">D40-D41</f>
        <v>-119.07</v>
      </c>
      <c r="E42" s="573">
        <f t="shared" si="15"/>
        <v>53.721296466420824</v>
      </c>
      <c r="F42" s="573">
        <f t="shared" si="15"/>
        <v>82.715571625502193</v>
      </c>
      <c r="G42" s="573">
        <f t="shared" si="15"/>
        <v>129.67813669186063</v>
      </c>
      <c r="H42" s="573">
        <f t="shared" si="15"/>
        <v>208.57221120226913</v>
      </c>
      <c r="I42" s="573">
        <f t="shared" si="15"/>
        <v>316.59785871049212</v>
      </c>
      <c r="J42" s="573">
        <f t="shared" si="15"/>
        <v>455.4035749763853</v>
      </c>
      <c r="K42" s="573">
        <f t="shared" si="15"/>
        <v>627.27789430447899</v>
      </c>
      <c r="L42" s="573">
        <f t="shared" si="15"/>
        <v>833.30417013112901</v>
      </c>
      <c r="M42" s="415"/>
    </row>
    <row r="43" spans="1:13" ht="15.75" customHeight="1" thickTop="1" x14ac:dyDescent="0.2">
      <c r="A43" s="559" t="s">
        <v>593</v>
      </c>
      <c r="B43" s="559" t="s">
        <v>458</v>
      </c>
      <c r="C43" s="560"/>
      <c r="D43" s="560">
        <f t="shared" ref="D43:L43" si="16">D42/D8</f>
        <v>-0.2054702329594478</v>
      </c>
      <c r="E43" s="560">
        <f t="shared" si="16"/>
        <v>6.1735202774826997E-2</v>
      </c>
      <c r="F43" s="560">
        <f t="shared" si="16"/>
        <v>7.5138835507783289E-2</v>
      </c>
      <c r="G43" s="560">
        <f t="shared" si="16"/>
        <v>9.3220463840701998E-2</v>
      </c>
      <c r="H43" s="560">
        <f t="shared" si="16"/>
        <v>0.12162784352967565</v>
      </c>
      <c r="I43" s="560">
        <f t="shared" si="16"/>
        <v>0.15286397102379251</v>
      </c>
      <c r="J43" s="560">
        <f t="shared" si="16"/>
        <v>0.18554139926605059</v>
      </c>
      <c r="K43" s="560">
        <f t="shared" si="16"/>
        <v>0.21950104804994261</v>
      </c>
      <c r="L43" s="560">
        <f t="shared" si="16"/>
        <v>0.25465009392100363</v>
      </c>
      <c r="M43" s="415"/>
    </row>
    <row r="44" spans="1:13" ht="15.75" customHeight="1" x14ac:dyDescent="0.2">
      <c r="A44" s="28"/>
      <c r="B44" s="28"/>
      <c r="C44" s="28"/>
      <c r="D44" s="28"/>
      <c r="E44" s="28"/>
      <c r="F44" s="28"/>
      <c r="G44" s="28"/>
      <c r="H44" s="28"/>
      <c r="I44" s="28"/>
      <c r="J44" s="28"/>
      <c r="K44" s="28"/>
      <c r="L44" s="28"/>
      <c r="M44" s="415"/>
    </row>
    <row r="45" spans="1:13" ht="22" customHeight="1" x14ac:dyDescent="0.2">
      <c r="A45" s="842" t="s">
        <v>594</v>
      </c>
      <c r="B45" s="880"/>
      <c r="C45" s="880"/>
      <c r="D45" s="880"/>
      <c r="E45" s="880"/>
      <c r="F45" s="880"/>
      <c r="G45" s="880"/>
      <c r="H45" s="880"/>
      <c r="I45" s="880"/>
      <c r="J45" s="880"/>
      <c r="K45" s="880"/>
      <c r="L45" s="880"/>
      <c r="M45" s="415"/>
    </row>
    <row r="46" spans="1:13" ht="15.75" customHeight="1" x14ac:dyDescent="0.2">
      <c r="A46" s="574" t="s">
        <v>595</v>
      </c>
      <c r="B46" s="49" t="s">
        <v>486</v>
      </c>
      <c r="C46" s="575">
        <v>0</v>
      </c>
      <c r="D46" s="367">
        <f t="shared" ref="D46:L46" si="17">C49</f>
        <v>0</v>
      </c>
      <c r="E46" s="367">
        <f t="shared" si="17"/>
        <v>119.07</v>
      </c>
      <c r="F46" s="367">
        <f t="shared" si="17"/>
        <v>74.020694787068493</v>
      </c>
      <c r="G46" s="367">
        <f t="shared" si="17"/>
        <v>4.6575319983873982</v>
      </c>
      <c r="H46" s="367">
        <f t="shared" si="17"/>
        <v>0</v>
      </c>
      <c r="I46" s="367">
        <f t="shared" si="17"/>
        <v>0</v>
      </c>
      <c r="J46" s="367">
        <f t="shared" si="17"/>
        <v>0</v>
      </c>
      <c r="K46" s="367">
        <f t="shared" si="17"/>
        <v>0</v>
      </c>
      <c r="L46" s="367">
        <f t="shared" si="17"/>
        <v>0</v>
      </c>
      <c r="M46" s="415"/>
    </row>
    <row r="47" spans="1:13" ht="15.75" customHeight="1" x14ac:dyDescent="0.2">
      <c r="A47" s="574" t="s">
        <v>596</v>
      </c>
      <c r="B47" s="49" t="s">
        <v>486</v>
      </c>
      <c r="C47" s="367">
        <v>0</v>
      </c>
      <c r="D47" s="367">
        <f t="shared" ref="D47:L47" si="18">MAX(0,-D40)</f>
        <v>119.07</v>
      </c>
      <c r="E47" s="367">
        <f t="shared" si="18"/>
        <v>0</v>
      </c>
      <c r="F47" s="367">
        <f t="shared" si="18"/>
        <v>0</v>
      </c>
      <c r="G47" s="367">
        <f t="shared" si="18"/>
        <v>0</v>
      </c>
      <c r="H47" s="367">
        <f t="shared" si="18"/>
        <v>0</v>
      </c>
      <c r="I47" s="367">
        <f t="shared" si="18"/>
        <v>0</v>
      </c>
      <c r="J47" s="367">
        <f t="shared" si="18"/>
        <v>0</v>
      </c>
      <c r="K47" s="367">
        <f t="shared" si="18"/>
        <v>0</v>
      </c>
      <c r="L47" s="367">
        <f t="shared" si="18"/>
        <v>0</v>
      </c>
      <c r="M47" s="415"/>
    </row>
    <row r="48" spans="1:13" ht="15.75" customHeight="1" x14ac:dyDescent="0.2">
      <c r="A48" s="574" t="s">
        <v>597</v>
      </c>
      <c r="B48" s="49" t="s">
        <v>486</v>
      </c>
      <c r="C48" s="367">
        <v>0</v>
      </c>
      <c r="D48" s="367">
        <f t="shared" ref="D48:L48" si="19">MIN(D46, MAX(0,D40)*0.8)</f>
        <v>0</v>
      </c>
      <c r="E48" s="367">
        <f t="shared" si="19"/>
        <v>45.049305212931507</v>
      </c>
      <c r="F48" s="367">
        <f t="shared" si="19"/>
        <v>69.363162788681095</v>
      </c>
      <c r="G48" s="367">
        <f t="shared" si="19"/>
        <v>4.6575319983873982</v>
      </c>
      <c r="H48" s="367">
        <f t="shared" si="19"/>
        <v>0</v>
      </c>
      <c r="I48" s="367">
        <f t="shared" si="19"/>
        <v>0</v>
      </c>
      <c r="J48" s="367">
        <f t="shared" si="19"/>
        <v>0</v>
      </c>
      <c r="K48" s="367">
        <f t="shared" si="19"/>
        <v>0</v>
      </c>
      <c r="L48" s="367">
        <f t="shared" si="19"/>
        <v>0</v>
      </c>
      <c r="M48" s="415"/>
    </row>
    <row r="49" spans="1:13" ht="15.75" customHeight="1" x14ac:dyDescent="0.2">
      <c r="A49" s="576" t="s">
        <v>598</v>
      </c>
      <c r="B49" s="577" t="s">
        <v>486</v>
      </c>
      <c r="C49" s="525">
        <f t="shared" ref="C49:L49" si="20">C46+C47-C48</f>
        <v>0</v>
      </c>
      <c r="D49" s="525">
        <f t="shared" si="20"/>
        <v>119.07</v>
      </c>
      <c r="E49" s="525">
        <f t="shared" si="20"/>
        <v>74.020694787068493</v>
      </c>
      <c r="F49" s="525">
        <f t="shared" si="20"/>
        <v>4.6575319983873982</v>
      </c>
      <c r="G49" s="525">
        <f t="shared" si="20"/>
        <v>0</v>
      </c>
      <c r="H49" s="525">
        <f t="shared" si="20"/>
        <v>0</v>
      </c>
      <c r="I49" s="525">
        <f t="shared" si="20"/>
        <v>0</v>
      </c>
      <c r="J49" s="525">
        <f t="shared" si="20"/>
        <v>0</v>
      </c>
      <c r="K49" s="525">
        <f t="shared" si="20"/>
        <v>0</v>
      </c>
      <c r="L49" s="525">
        <f t="shared" si="20"/>
        <v>0</v>
      </c>
      <c r="M49" s="415"/>
    </row>
    <row r="50" spans="1:13" ht="15.75" customHeight="1" x14ac:dyDescent="0.2"/>
    <row r="51" spans="1:13" ht="15.75" customHeight="1" x14ac:dyDescent="0.2"/>
  </sheetData>
  <mergeCells count="9">
    <mergeCell ref="A20:L20"/>
    <mergeCell ref="A31:L31"/>
    <mergeCell ref="A38:L38"/>
    <mergeCell ref="A45:L45"/>
    <mergeCell ref="A1:L1"/>
    <mergeCell ref="A2:L2"/>
    <mergeCell ref="A3:L3"/>
    <mergeCell ref="A7:L7"/>
    <mergeCell ref="A11:L11"/>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N51"/>
  <sheetViews>
    <sheetView showGridLines="0" zoomScale="91" workbookViewId="0">
      <selection activeCell="A24" sqref="A24"/>
    </sheetView>
  </sheetViews>
  <sheetFormatPr baseColWidth="10" defaultColWidth="8.83203125" defaultRowHeight="15" x14ac:dyDescent="0.2"/>
  <cols>
    <col min="1" max="1" width="46.6640625" customWidth="1"/>
    <col min="2" max="2" width="8.33203125" customWidth="1"/>
    <col min="3" max="12" width="12.5" customWidth="1"/>
    <col min="13" max="13" width="46.6640625" customWidth="1"/>
  </cols>
  <sheetData>
    <row r="1" spans="1:14" ht="28" customHeight="1" x14ac:dyDescent="0.2">
      <c r="A1" s="867" t="s">
        <v>599</v>
      </c>
      <c r="B1" s="867"/>
      <c r="C1" s="867"/>
      <c r="D1" s="867"/>
      <c r="E1" s="867"/>
      <c r="F1" s="867"/>
      <c r="G1" s="867"/>
      <c r="H1" s="867"/>
      <c r="I1" s="867"/>
      <c r="J1" s="867"/>
      <c r="K1" s="867"/>
      <c r="L1" s="867"/>
      <c r="M1" s="867"/>
      <c r="N1" s="867"/>
    </row>
    <row r="2" spans="1:14" ht="15.75" customHeight="1" x14ac:dyDescent="0.2">
      <c r="A2" s="870" t="s">
        <v>600</v>
      </c>
      <c r="B2" s="870"/>
      <c r="C2" s="870"/>
      <c r="D2" s="870"/>
      <c r="E2" s="870"/>
      <c r="F2" s="870"/>
      <c r="G2" s="870"/>
      <c r="H2" s="870"/>
      <c r="I2" s="870"/>
      <c r="J2" s="870"/>
      <c r="K2" s="870"/>
      <c r="L2" s="870"/>
      <c r="M2" s="870"/>
      <c r="N2" s="870"/>
    </row>
    <row r="3" spans="1:14" ht="15.75" customHeight="1" x14ac:dyDescent="0.2"/>
    <row r="4" spans="1:14" ht="15.75" customHeight="1" x14ac:dyDescent="0.2"/>
    <row r="5" spans="1:14" ht="15.75" customHeight="1" x14ac:dyDescent="0.2">
      <c r="A5" s="456"/>
      <c r="B5" s="457" t="s">
        <v>445</v>
      </c>
      <c r="C5" s="454">
        <v>2024</v>
      </c>
      <c r="D5" s="454">
        <v>2025</v>
      </c>
      <c r="E5" s="454">
        <v>2026</v>
      </c>
      <c r="F5" s="454">
        <v>2027</v>
      </c>
      <c r="G5" s="454">
        <v>2028</v>
      </c>
      <c r="H5" s="454">
        <v>2029</v>
      </c>
      <c r="I5" s="454">
        <v>2030</v>
      </c>
      <c r="J5" s="454">
        <v>2031</v>
      </c>
      <c r="K5" s="454">
        <v>2032</v>
      </c>
      <c r="L5" s="454">
        <v>2033</v>
      </c>
      <c r="M5" s="415"/>
    </row>
    <row r="6" spans="1:14" ht="15.75" customHeight="1" x14ac:dyDescent="0.2">
      <c r="C6" s="458" t="s">
        <v>446</v>
      </c>
      <c r="D6" s="458" t="s">
        <v>446</v>
      </c>
      <c r="E6" s="458" t="s">
        <v>447</v>
      </c>
      <c r="F6" s="458" t="s">
        <v>447</v>
      </c>
      <c r="G6" s="458" t="s">
        <v>448</v>
      </c>
      <c r="H6" s="458" t="s">
        <v>448</v>
      </c>
      <c r="I6" s="458" t="s">
        <v>448</v>
      </c>
      <c r="J6" s="458" t="s">
        <v>449</v>
      </c>
      <c r="K6" s="458" t="s">
        <v>449</v>
      </c>
      <c r="L6" s="458" t="s">
        <v>449</v>
      </c>
      <c r="M6" s="415"/>
    </row>
    <row r="7" spans="1:14" ht="15.75" customHeight="1" x14ac:dyDescent="0.2">
      <c r="M7" s="415"/>
    </row>
    <row r="8" spans="1:14" ht="22" customHeight="1" x14ac:dyDescent="0.2">
      <c r="A8" s="868" t="s">
        <v>601</v>
      </c>
      <c r="B8" s="881"/>
      <c r="C8" s="881"/>
      <c r="D8" s="881"/>
      <c r="E8" s="881"/>
      <c r="F8" s="881"/>
      <c r="G8" s="881"/>
      <c r="H8" s="881"/>
      <c r="I8" s="881"/>
      <c r="J8" s="881"/>
      <c r="K8" s="881"/>
      <c r="L8" s="881"/>
      <c r="M8" s="882"/>
    </row>
    <row r="9" spans="1:14" ht="15.75" customHeight="1" x14ac:dyDescent="0.2">
      <c r="A9" s="18" t="s">
        <v>602</v>
      </c>
      <c r="B9" s="482" t="s">
        <v>486</v>
      </c>
      <c r="C9" s="294"/>
      <c r="D9" s="294">
        <f>'P&amp;L'!D34</f>
        <v>-121.69499999999999</v>
      </c>
      <c r="E9" s="294">
        <f>'P&amp;L'!E34</f>
        <v>34.995368159999998</v>
      </c>
      <c r="F9" s="294">
        <f>'P&amp;L'!F34</f>
        <v>51.416163615667642</v>
      </c>
      <c r="G9" s="294">
        <f>'P&amp;L'!G34</f>
        <v>125.64858050863177</v>
      </c>
      <c r="H9" s="294">
        <f>'P&amp;L'!H34</f>
        <v>221.49903009822538</v>
      </c>
      <c r="I9" s="294">
        <f>'P&amp;L'!I34</f>
        <v>350.77203817730651</v>
      </c>
      <c r="J9" s="294">
        <f>'P&amp;L'!J34</f>
        <v>516.16788927739026</v>
      </c>
      <c r="K9" s="294">
        <f>'P&amp;L'!K34</f>
        <v>719.83052887543886</v>
      </c>
      <c r="L9" s="584">
        <f>'P&amp;L'!L34</f>
        <v>962.30944412301801</v>
      </c>
      <c r="M9" s="606" t="s">
        <v>603</v>
      </c>
    </row>
    <row r="10" spans="1:14" ht="15.75" customHeight="1" thickBot="1" x14ac:dyDescent="0.25">
      <c r="A10" s="473" t="s">
        <v>604</v>
      </c>
      <c r="B10" s="483" t="s">
        <v>486</v>
      </c>
      <c r="C10" s="292"/>
      <c r="D10" s="292">
        <f>'P&amp;L'!D41</f>
        <v>0</v>
      </c>
      <c r="E10" s="292">
        <f>'P&amp;L'!E41</f>
        <v>2.5903350497435613</v>
      </c>
      <c r="F10" s="292">
        <f>'P&amp;L'!F41</f>
        <v>3.9883818603491608</v>
      </c>
      <c r="G10" s="292">
        <f>'P&amp;L'!G41</f>
        <v>37.343816986362128</v>
      </c>
      <c r="H10" s="292">
        <f>'P&amp;L'!H41</f>
        <v>62.300790359119354</v>
      </c>
      <c r="I10" s="292">
        <f>'P&amp;L'!I41</f>
        <v>94.568191562874276</v>
      </c>
      <c r="J10" s="292">
        <f>'P&amp;L'!J41</f>
        <v>136.02963927866057</v>
      </c>
      <c r="K10" s="292">
        <f>'P&amp;L'!K41</f>
        <v>187.36872167536387</v>
      </c>
      <c r="L10" s="585">
        <f>'P&amp;L'!L41</f>
        <v>248.90903783137622</v>
      </c>
      <c r="M10" s="606" t="s">
        <v>605</v>
      </c>
    </row>
    <row r="11" spans="1:14" ht="15.75" customHeight="1" x14ac:dyDescent="0.2">
      <c r="A11" s="589" t="s">
        <v>606</v>
      </c>
      <c r="B11" s="590" t="s">
        <v>486</v>
      </c>
      <c r="C11" s="591"/>
      <c r="D11" s="591">
        <f t="shared" ref="D11:L11" si="0">D9-D10</f>
        <v>-121.69499999999999</v>
      </c>
      <c r="E11" s="591">
        <f t="shared" si="0"/>
        <v>32.40503311025644</v>
      </c>
      <c r="F11" s="591">
        <f t="shared" si="0"/>
        <v>47.427781755318485</v>
      </c>
      <c r="G11" s="591">
        <f t="shared" si="0"/>
        <v>88.304763522269639</v>
      </c>
      <c r="H11" s="591">
        <f t="shared" si="0"/>
        <v>159.19823973910601</v>
      </c>
      <c r="I11" s="591">
        <f t="shared" si="0"/>
        <v>256.20384661443222</v>
      </c>
      <c r="J11" s="591">
        <f t="shared" si="0"/>
        <v>380.13824999872969</v>
      </c>
      <c r="K11" s="591">
        <f t="shared" si="0"/>
        <v>532.46180720007499</v>
      </c>
      <c r="L11" s="592">
        <f t="shared" si="0"/>
        <v>713.40040629164173</v>
      </c>
      <c r="M11" s="606" t="s">
        <v>607</v>
      </c>
    </row>
    <row r="12" spans="1:14" ht="15.75" customHeight="1" x14ac:dyDescent="0.2">
      <c r="A12" s="586"/>
      <c r="B12" s="28"/>
      <c r="C12" s="294"/>
      <c r="D12" s="294"/>
      <c r="E12" s="294"/>
      <c r="F12" s="294"/>
      <c r="G12" s="294"/>
      <c r="H12" s="294"/>
      <c r="I12" s="294"/>
      <c r="J12" s="294"/>
      <c r="K12" s="294"/>
      <c r="L12" s="294"/>
      <c r="M12" s="415"/>
    </row>
    <row r="13" spans="1:14" ht="22" customHeight="1" x14ac:dyDescent="0.2">
      <c r="A13" s="883" t="s">
        <v>608</v>
      </c>
      <c r="B13" s="860"/>
      <c r="C13" s="860"/>
      <c r="D13" s="860"/>
      <c r="E13" s="860"/>
      <c r="F13" s="860"/>
      <c r="G13" s="860"/>
      <c r="H13" s="860"/>
      <c r="I13" s="860"/>
      <c r="J13" s="860"/>
      <c r="K13" s="860"/>
      <c r="L13" s="860"/>
      <c r="M13" s="882"/>
    </row>
    <row r="14" spans="1:14" ht="15.75" customHeight="1" x14ac:dyDescent="0.2">
      <c r="A14" s="473" t="s">
        <v>609</v>
      </c>
      <c r="B14" s="483" t="s">
        <v>486</v>
      </c>
      <c r="C14" s="117"/>
      <c r="D14" s="292">
        <f>'P&amp;L'!D8*Assumptions!$F$53</f>
        <v>20.282500000000002</v>
      </c>
      <c r="E14" s="292">
        <f>'P&amp;L'!E8*Assumptions!$F$53</f>
        <v>30.456616190000002</v>
      </c>
      <c r="F14" s="292">
        <f>'P&amp;L'!F8*Assumptions!$F$53</f>
        <v>38.529277002072952</v>
      </c>
      <c r="G14" s="292">
        <f>'P&amp;L'!G8*Assumptions!$F$53</f>
        <v>48.688180654958465</v>
      </c>
      <c r="H14" s="292">
        <f>'P&amp;L'!H8*Assumptions!$F$53</f>
        <v>60.019376980060542</v>
      </c>
      <c r="I14" s="292">
        <f>'P&amp;L'!I8*Assumptions!$F$53</f>
        <v>72.488794976695559</v>
      </c>
      <c r="J14" s="292">
        <f>'P&amp;L'!J8*Assumptions!$F$53</f>
        <v>85.906030606776525</v>
      </c>
      <c r="K14" s="292">
        <f>'P&amp;L'!K8*Assumptions!$F$53</f>
        <v>100.02105454941361</v>
      </c>
      <c r="L14" s="587">
        <f>'P&amp;L'!L8*Assumptions!$F$53</f>
        <v>114.53224110585701</v>
      </c>
      <c r="M14" s="606" t="s">
        <v>610</v>
      </c>
    </row>
    <row r="15" spans="1:14" ht="15.75" customHeight="1" x14ac:dyDescent="0.2">
      <c r="A15" s="18" t="s">
        <v>611</v>
      </c>
      <c r="B15" s="482" t="s">
        <v>486</v>
      </c>
      <c r="C15" s="28"/>
      <c r="D15" s="294">
        <f>-'P&amp;L'!D8*Assumptions!$F$49</f>
        <v>-23.18</v>
      </c>
      <c r="E15" s="294">
        <f>-'P&amp;L'!E8*Assumptions!$F$49</f>
        <v>-34.807561360000001</v>
      </c>
      <c r="F15" s="294">
        <f>-'P&amp;L'!F8*Assumptions!$F$49</f>
        <v>-44.033459430940511</v>
      </c>
      <c r="G15" s="294">
        <f>-'P&amp;L'!G8*Assumptions!$F$49</f>
        <v>-55.643635034238244</v>
      </c>
      <c r="H15" s="294">
        <f>-'P&amp;L'!H8*Assumptions!$F$49</f>
        <v>-68.593573691497767</v>
      </c>
      <c r="I15" s="294">
        <f>-'P&amp;L'!I8*Assumptions!$F$49</f>
        <v>-82.844337116223485</v>
      </c>
      <c r="J15" s="294">
        <f>-'P&amp;L'!J8*Assumptions!$F$49</f>
        <v>-98.178320693458886</v>
      </c>
      <c r="K15" s="294">
        <f>-'P&amp;L'!K8*Assumptions!$F$49</f>
        <v>-114.30977662790124</v>
      </c>
      <c r="L15" s="588">
        <f>-'P&amp;L'!L8*Assumptions!$F$49</f>
        <v>-130.89398983526516</v>
      </c>
      <c r="M15" s="606" t="s">
        <v>612</v>
      </c>
    </row>
    <row r="16" spans="1:14" ht="15.75" customHeight="1" x14ac:dyDescent="0.2">
      <c r="A16" s="473" t="s">
        <v>613</v>
      </c>
      <c r="B16" s="483" t="s">
        <v>486</v>
      </c>
      <c r="C16" s="117"/>
      <c r="D16" s="292">
        <f>'WC &amp; Cash'!D26</f>
        <v>371.12859589041096</v>
      </c>
      <c r="E16" s="292">
        <f>'WC &amp; Cash'!E26</f>
        <v>83.632383888867224</v>
      </c>
      <c r="F16" s="292">
        <f>'WC &amp; Cash'!F26</f>
        <v>131.95020922804312</v>
      </c>
      <c r="G16" s="292">
        <f>'WC &amp; Cash'!G26</f>
        <v>147.23921353049832</v>
      </c>
      <c r="H16" s="292">
        <f>'WC &amp; Cash'!H26</f>
        <v>164.23426076938262</v>
      </c>
      <c r="I16" s="292">
        <f>'WC &amp; Cash'!I26</f>
        <v>179.04634928497313</v>
      </c>
      <c r="J16" s="292">
        <f>'WC &amp; Cash'!J26</f>
        <v>190.72724370933494</v>
      </c>
      <c r="K16" s="292">
        <f>'WC &amp; Cash'!K26</f>
        <v>198.61767873793369</v>
      </c>
      <c r="L16" s="587">
        <f>'WC &amp; Cash'!L26</f>
        <v>200.55688118853703</v>
      </c>
      <c r="M16" s="606" t="s">
        <v>614</v>
      </c>
    </row>
    <row r="17" spans="1:13" ht="15.75" customHeight="1" thickBot="1" x14ac:dyDescent="0.25">
      <c r="A17" s="453" t="s">
        <v>615</v>
      </c>
      <c r="B17" s="599"/>
      <c r="C17" s="415"/>
      <c r="D17" s="415"/>
      <c r="E17" s="415"/>
      <c r="F17" s="415"/>
      <c r="G17" s="415"/>
      <c r="H17" s="415"/>
      <c r="I17" s="415"/>
      <c r="J17" s="415"/>
      <c r="K17" s="415"/>
      <c r="L17" s="453"/>
      <c r="M17" s="607" t="s">
        <v>616</v>
      </c>
    </row>
    <row r="18" spans="1:13" ht="15.75" customHeight="1" thickBot="1" x14ac:dyDescent="0.25">
      <c r="A18" s="593" t="s">
        <v>617</v>
      </c>
      <c r="B18" s="594" t="s">
        <v>486</v>
      </c>
      <c r="C18" s="595"/>
      <c r="D18" s="596">
        <f t="shared" ref="D18:L18" si="1">D11+D14+D15+D16</f>
        <v>246.53609589041096</v>
      </c>
      <c r="E18" s="596">
        <f t="shared" si="1"/>
        <v>111.68647182912366</v>
      </c>
      <c r="F18" s="596">
        <f t="shared" si="1"/>
        <v>173.87380855449405</v>
      </c>
      <c r="G18" s="596">
        <f t="shared" si="1"/>
        <v>228.58852267348817</v>
      </c>
      <c r="H18" s="596">
        <f t="shared" si="1"/>
        <v>314.85830379705141</v>
      </c>
      <c r="I18" s="596">
        <f t="shared" si="1"/>
        <v>424.89465375987743</v>
      </c>
      <c r="J18" s="596">
        <f t="shared" si="1"/>
        <v>558.59320362138226</v>
      </c>
      <c r="K18" s="596">
        <f t="shared" si="1"/>
        <v>716.79076385952112</v>
      </c>
      <c r="L18" s="597">
        <f>L11+L14+L15+L16</f>
        <v>897.59553875077063</v>
      </c>
      <c r="M18" s="606" t="s">
        <v>618</v>
      </c>
    </row>
    <row r="19" spans="1:13" ht="15.75" customHeight="1" thickTop="1" x14ac:dyDescent="0.2">
      <c r="A19" s="52"/>
      <c r="M19" s="415"/>
    </row>
    <row r="20" spans="1:13" ht="22" customHeight="1" x14ac:dyDescent="0.2">
      <c r="A20" s="868" t="s">
        <v>619</v>
      </c>
      <c r="B20" s="881"/>
      <c r="C20" s="881"/>
      <c r="D20" s="881"/>
      <c r="E20" s="881"/>
      <c r="F20" s="881"/>
      <c r="G20" s="881"/>
      <c r="H20" s="881"/>
      <c r="I20" s="881"/>
      <c r="J20" s="881"/>
      <c r="K20" s="881"/>
      <c r="L20" s="881"/>
      <c r="M20" s="882"/>
    </row>
    <row r="21" spans="1:13" ht="15.75" customHeight="1" x14ac:dyDescent="0.2">
      <c r="A21" s="598" t="s">
        <v>620</v>
      </c>
      <c r="B21" s="482" t="s">
        <v>458</v>
      </c>
      <c r="C21" s="118"/>
      <c r="D21" s="600">
        <f>IFERROR(D18/'P&amp;L'!D8,0)</f>
        <v>0.42542898341744773</v>
      </c>
      <c r="E21" s="600">
        <f>IFERROR(E18/'P&amp;L'!E8,0)</f>
        <v>0.12834736760096158</v>
      </c>
      <c r="F21" s="600">
        <f>IFERROR(F18/'P&amp;L'!F8,0)</f>
        <v>0.15794698922276365</v>
      </c>
      <c r="G21" s="600">
        <f>IFERROR(G18/'P&amp;L'!G8,0)</f>
        <v>0.16432321327162377</v>
      </c>
      <c r="H21" s="600">
        <f>IFERROR(H18/'P&amp;L'!H8,0)</f>
        <v>0.18360804772361841</v>
      </c>
      <c r="I21" s="600">
        <f>IFERROR(I18/'P&amp;L'!I8,0)</f>
        <v>0.20515326384411126</v>
      </c>
      <c r="J21" s="600">
        <f>IFERROR(J18/'P&amp;L'!J8,0)</f>
        <v>0.22758311597749642</v>
      </c>
      <c r="K21" s="600">
        <f>IFERROR(K18/'P&amp;L'!K8,0)</f>
        <v>0.25082395749676012</v>
      </c>
      <c r="L21" s="601">
        <f>IFERROR(L18/'P&amp;L'!L8,0)</f>
        <v>0.27429694514787956</v>
      </c>
      <c r="M21" s="607" t="s">
        <v>621</v>
      </c>
    </row>
    <row r="22" spans="1:13" ht="15.75" customHeight="1" x14ac:dyDescent="0.2">
      <c r="A22" s="602" t="s">
        <v>622</v>
      </c>
      <c r="B22" s="603" t="s">
        <v>458</v>
      </c>
      <c r="C22" s="414"/>
      <c r="D22" s="604"/>
      <c r="E22" s="604">
        <f>IFERROR(('P&amp;L'!E8/'P&amp;L'!D8-1)*100 + E21*100,0)</f>
        <v>62.996778865359317</v>
      </c>
      <c r="F22" s="604">
        <f>IFERROR(('P&amp;L'!F8/'P&amp;L'!E8-1)*100 + F21*100,0)</f>
        <v>42.300141160877686</v>
      </c>
      <c r="G22" s="604">
        <f>IFERROR(('P&amp;L'!G8/'P&amp;L'!F8-1)*100 + G21*100,0)</f>
        <v>42.799033716649845</v>
      </c>
      <c r="H22" s="604">
        <f>IFERROR(('P&amp;L'!H8/'P&amp;L'!G8-1)*100 + H21*100,0)</f>
        <v>41.633796641586869</v>
      </c>
      <c r="I22" s="604">
        <f>IFERROR(('P&amp;L'!I8/'P&amp;L'!H8-1)*100 + I21*100,0)</f>
        <v>41.290980221633674</v>
      </c>
      <c r="J22" s="604">
        <f>IFERROR(('P&amp;L'!J8/'P&amp;L'!I8-1)*100 + J21*100,0)</f>
        <v>41.267704165793404</v>
      </c>
      <c r="K22" s="604">
        <f>IFERROR(('P&amp;L'!K8/'P&amp;L'!J8-1)*100 + K21*100,0)</f>
        <v>41.513167655837904</v>
      </c>
      <c r="L22" s="605">
        <f>IFERROR(('P&amp;L'!L8/'P&amp;L'!K8-1)*100 + L21*100,0)</f>
        <v>41.9378264494242</v>
      </c>
      <c r="M22" s="607" t="s">
        <v>623</v>
      </c>
    </row>
    <row r="23" spans="1:13" ht="15.75" customHeight="1" x14ac:dyDescent="0.2"/>
    <row r="24" spans="1:13" ht="15.75" customHeight="1" x14ac:dyDescent="0.2"/>
    <row r="25" spans="1:13" ht="15.75" customHeight="1" x14ac:dyDescent="0.2"/>
    <row r="26" spans="1:13" ht="15.75" customHeight="1" x14ac:dyDescent="0.2"/>
    <row r="27" spans="1:13" ht="15.75" customHeight="1" x14ac:dyDescent="0.2"/>
    <row r="28" spans="1:13" ht="15.75" customHeight="1" x14ac:dyDescent="0.2"/>
    <row r="29" spans="1:13" ht="15.75" customHeight="1" x14ac:dyDescent="0.2"/>
    <row r="30" spans="1:13" ht="15.75" customHeight="1" x14ac:dyDescent="0.2"/>
    <row r="31" spans="1:13" ht="15.75" customHeight="1" x14ac:dyDescent="0.2"/>
    <row r="32" spans="1: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sheetData>
  <mergeCells count="5">
    <mergeCell ref="A1:N1"/>
    <mergeCell ref="A2:N2"/>
    <mergeCell ref="A8:M8"/>
    <mergeCell ref="A13:M13"/>
    <mergeCell ref="A20:M20"/>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DF913-9BEF-42B7-8A6A-D447E5C687D7}">
  <sheetPr>
    <tabColor rgb="FF548235"/>
  </sheetPr>
  <dimension ref="A1:N51"/>
  <sheetViews>
    <sheetView showGridLines="0" workbookViewId="0">
      <selection activeCell="D52" sqref="D52"/>
    </sheetView>
  </sheetViews>
  <sheetFormatPr baseColWidth="10" defaultColWidth="8.83203125" defaultRowHeight="15" x14ac:dyDescent="0.2"/>
  <cols>
    <col min="1" max="1" width="53.33203125" customWidth="1"/>
    <col min="2" max="2" width="8.33203125" customWidth="1"/>
    <col min="3" max="12" width="12.5" customWidth="1"/>
    <col min="13" max="13" width="9.1640625"/>
  </cols>
  <sheetData>
    <row r="1" spans="1:14" ht="28" customHeight="1" x14ac:dyDescent="0.25">
      <c r="A1" s="884" t="s">
        <v>624</v>
      </c>
      <c r="B1" s="884"/>
      <c r="C1" s="884"/>
      <c r="D1" s="884"/>
      <c r="E1" s="884"/>
      <c r="F1" s="884"/>
      <c r="G1" s="884"/>
      <c r="H1" s="884"/>
      <c r="I1" s="884"/>
      <c r="J1" s="884"/>
      <c r="K1" s="884"/>
      <c r="L1" s="884"/>
      <c r="M1" s="884"/>
      <c r="N1" s="884"/>
    </row>
    <row r="2" spans="1:14" ht="15.75" customHeight="1" x14ac:dyDescent="0.2">
      <c r="A2" s="856" t="s">
        <v>625</v>
      </c>
      <c r="B2" s="856"/>
      <c r="C2" s="856"/>
      <c r="D2" s="856"/>
      <c r="E2" s="856"/>
      <c r="F2" s="856"/>
      <c r="G2" s="856"/>
      <c r="H2" s="856"/>
      <c r="I2" s="856"/>
      <c r="J2" s="856"/>
      <c r="K2" s="856"/>
      <c r="L2" s="856"/>
      <c r="M2" s="856"/>
      <c r="N2" s="856"/>
    </row>
    <row r="3" spans="1:14" ht="15.75" customHeight="1" x14ac:dyDescent="0.2">
      <c r="A3" s="856" t="s">
        <v>626</v>
      </c>
      <c r="B3" s="885"/>
      <c r="C3" s="885"/>
      <c r="D3" s="885"/>
      <c r="E3" s="885"/>
      <c r="F3" s="885"/>
      <c r="G3" s="885"/>
      <c r="H3" s="885"/>
      <c r="I3" s="885"/>
      <c r="J3" s="885"/>
      <c r="K3" s="885"/>
      <c r="L3" s="885"/>
    </row>
    <row r="4" spans="1:14" ht="15.75" customHeight="1" x14ac:dyDescent="0.2"/>
    <row r="5" spans="1:14" ht="15.75" customHeight="1" x14ac:dyDescent="0.2">
      <c r="A5" s="456"/>
      <c r="B5" s="456" t="s">
        <v>445</v>
      </c>
      <c r="C5" s="608">
        <v>2024</v>
      </c>
      <c r="D5" s="608">
        <v>2025</v>
      </c>
      <c r="E5" s="608">
        <v>2026</v>
      </c>
      <c r="F5" s="608">
        <v>2027</v>
      </c>
      <c r="G5" s="608">
        <v>2028</v>
      </c>
      <c r="H5" s="608">
        <v>2029</v>
      </c>
      <c r="I5" s="608">
        <v>2030</v>
      </c>
      <c r="J5" s="608">
        <v>2031</v>
      </c>
      <c r="K5" s="608">
        <v>2032</v>
      </c>
      <c r="L5" s="608">
        <v>2033</v>
      </c>
    </row>
    <row r="6" spans="1:14" ht="15.75" customHeight="1" x14ac:dyDescent="0.2"/>
    <row r="7" spans="1:14" ht="22" customHeight="1" x14ac:dyDescent="0.2">
      <c r="A7" s="842" t="s">
        <v>627</v>
      </c>
      <c r="B7" s="886"/>
      <c r="C7" s="886"/>
      <c r="D7" s="886"/>
      <c r="E7" s="886"/>
      <c r="F7" s="886"/>
      <c r="G7" s="886"/>
      <c r="H7" s="886"/>
      <c r="I7" s="886"/>
      <c r="J7" s="886"/>
      <c r="K7" s="886"/>
      <c r="L7" s="886"/>
    </row>
    <row r="8" spans="1:14" ht="15.75" customHeight="1" x14ac:dyDescent="0.2">
      <c r="A8" s="31" t="s">
        <v>628</v>
      </c>
      <c r="B8" s="86" t="s">
        <v>629</v>
      </c>
      <c r="C8" s="28"/>
      <c r="D8" s="609">
        <v>6</v>
      </c>
      <c r="E8" s="28"/>
      <c r="F8" s="28"/>
      <c r="G8" s="28"/>
      <c r="H8" s="28"/>
      <c r="I8" s="28"/>
      <c r="J8" s="28"/>
      <c r="K8" s="28"/>
      <c r="L8" s="28"/>
    </row>
    <row r="9" spans="1:14" ht="15.75" customHeight="1" x14ac:dyDescent="0.2">
      <c r="A9" s="291" t="s">
        <v>630</v>
      </c>
      <c r="B9" s="293" t="s">
        <v>631</v>
      </c>
      <c r="C9" s="117"/>
      <c r="D9" s="610">
        <v>45</v>
      </c>
      <c r="E9" s="117"/>
      <c r="F9" s="117"/>
      <c r="G9" s="117"/>
      <c r="H9" s="117"/>
      <c r="I9" s="117"/>
      <c r="J9" s="117"/>
      <c r="K9" s="117"/>
      <c r="L9" s="117"/>
    </row>
    <row r="10" spans="1:14" ht="15.75" customHeight="1" x14ac:dyDescent="0.2">
      <c r="A10" s="31" t="s">
        <v>632</v>
      </c>
      <c r="B10" s="86" t="s">
        <v>631</v>
      </c>
      <c r="C10" s="28"/>
      <c r="D10" s="609">
        <v>18</v>
      </c>
      <c r="E10" s="28"/>
      <c r="F10" s="28"/>
      <c r="G10" s="28"/>
      <c r="H10" s="28"/>
      <c r="I10" s="28"/>
      <c r="J10" s="28"/>
      <c r="K10" s="28"/>
      <c r="L10" s="28"/>
    </row>
    <row r="11" spans="1:14" ht="15.75" customHeight="1" x14ac:dyDescent="0.2">
      <c r="A11" s="291" t="s">
        <v>633</v>
      </c>
      <c r="B11" s="293" t="s">
        <v>458</v>
      </c>
      <c r="C11" s="117"/>
      <c r="D11" s="611">
        <v>1.4999999999999999E-2</v>
      </c>
      <c r="E11" s="117"/>
      <c r="F11" s="117"/>
      <c r="G11" s="117"/>
      <c r="H11" s="117"/>
      <c r="I11" s="117"/>
      <c r="J11" s="117"/>
      <c r="K11" s="117"/>
      <c r="L11" s="117"/>
    </row>
    <row r="12" spans="1:14" ht="15.75" customHeight="1" x14ac:dyDescent="0.2">
      <c r="A12" s="31" t="s">
        <v>634</v>
      </c>
      <c r="B12" s="86" t="s">
        <v>486</v>
      </c>
      <c r="C12" s="28"/>
      <c r="D12" s="33">
        <v>75</v>
      </c>
      <c r="E12" s="28"/>
      <c r="F12" s="28"/>
      <c r="G12" s="28"/>
      <c r="H12" s="28"/>
      <c r="I12" s="28"/>
      <c r="J12" s="28"/>
      <c r="K12" s="28"/>
      <c r="L12" s="28"/>
    </row>
    <row r="13" spans="1:14" ht="15.75" customHeight="1" x14ac:dyDescent="0.2">
      <c r="A13" s="291" t="s">
        <v>635</v>
      </c>
      <c r="B13" s="293" t="s">
        <v>486</v>
      </c>
      <c r="C13" s="117"/>
      <c r="D13" s="612">
        <v>0</v>
      </c>
      <c r="E13" s="612">
        <v>575</v>
      </c>
      <c r="F13" s="117"/>
      <c r="G13" s="117"/>
      <c r="H13" s="117"/>
      <c r="I13" s="117"/>
      <c r="J13" s="117"/>
      <c r="K13" s="117"/>
      <c r="L13" s="117"/>
    </row>
    <row r="14" spans="1:14" ht="15.75" customHeight="1" x14ac:dyDescent="0.2">
      <c r="A14" s="28"/>
      <c r="B14" s="28"/>
      <c r="C14" s="28"/>
      <c r="D14" s="28"/>
      <c r="E14" s="28"/>
      <c r="F14" s="28"/>
      <c r="G14" s="28"/>
      <c r="H14" s="28"/>
      <c r="I14" s="28"/>
      <c r="J14" s="28"/>
      <c r="K14" s="28"/>
      <c r="L14" s="28"/>
    </row>
    <row r="15" spans="1:14" ht="22" customHeight="1" x14ac:dyDescent="0.2">
      <c r="A15" s="845" t="s">
        <v>636</v>
      </c>
      <c r="B15" s="861"/>
      <c r="C15" s="861"/>
      <c r="D15" s="861"/>
      <c r="E15" s="861"/>
      <c r="F15" s="861"/>
      <c r="G15" s="861"/>
      <c r="H15" s="861"/>
      <c r="I15" s="861"/>
      <c r="J15" s="861"/>
      <c r="K15" s="861"/>
      <c r="L15" s="861"/>
    </row>
    <row r="16" spans="1:14" ht="15.75" customHeight="1" x14ac:dyDescent="0.2">
      <c r="A16" s="28" t="s">
        <v>637</v>
      </c>
      <c r="B16" s="86" t="s">
        <v>486</v>
      </c>
      <c r="C16" s="294">
        <v>0</v>
      </c>
      <c r="D16" s="294">
        <f>Members!D34*ARPU!D10*$D$8/12</f>
        <v>381.25</v>
      </c>
      <c r="E16" s="294">
        <f>Members!E34*ARPU!E10*$D$8/12</f>
        <v>473.68903400000005</v>
      </c>
      <c r="F16" s="294">
        <f>Members!F34*ARPU!F10*$D$8/12</f>
        <v>608.19989041351278</v>
      </c>
      <c r="G16" s="294">
        <f>Members!G34*ARPU!G10*$D$8/12</f>
        <v>758.56298982590295</v>
      </c>
      <c r="H16" s="294">
        <f>Members!H34*ARPU!H10*$D$8/12</f>
        <v>925.93383286850474</v>
      </c>
      <c r="I16" s="294">
        <f>Members!I34*ARPU!I10*$D$8/12</f>
        <v>1108.1372417223424</v>
      </c>
      <c r="J16" s="294">
        <f>Members!J34*ARPU!J10*$D$8/12</f>
        <v>1301.9952859452358</v>
      </c>
      <c r="K16" s="294">
        <f>Members!K34*ARPU!K10*$D$8/12</f>
        <v>1503.669318314486</v>
      </c>
      <c r="L16" s="294">
        <f>Members!L34*ARPU!L10*$D$8/12</f>
        <v>1708.5336548345633</v>
      </c>
    </row>
    <row r="17" spans="1:12" ht="15.75" customHeight="1" x14ac:dyDescent="0.2">
      <c r="A17" s="117" t="s">
        <v>638</v>
      </c>
      <c r="B17" s="293" t="s">
        <v>486</v>
      </c>
      <c r="C17" s="292">
        <v>0</v>
      </c>
      <c r="D17" s="292">
        <f>'P&amp;L'!E13*$D$9/365</f>
        <v>12.86013698630137</v>
      </c>
      <c r="E17" s="292">
        <f>'P&amp;L'!F13*$D$9/365</f>
        <v>16.603576664146519</v>
      </c>
      <c r="F17" s="292">
        <f>'P&amp;L'!G13*$D$9/365</f>
        <v>18.160340602825364</v>
      </c>
      <c r="G17" s="292">
        <f>'P&amp;L'!H13*$D$9/365</f>
        <v>19.916634722816163</v>
      </c>
      <c r="H17" s="292">
        <f>'P&amp;L'!I13*$D$9/365</f>
        <v>21.356275340054804</v>
      </c>
      <c r="I17" s="292">
        <f>'P&amp;L'!J13*$D$9/365</f>
        <v>22.455620378340964</v>
      </c>
      <c r="J17" s="292">
        <f>'P&amp;L'!K13*$D$9/365</f>
        <v>23.157680506216444</v>
      </c>
      <c r="K17" s="292">
        <f>'P&amp;L'!L13*$D$9/365</f>
        <v>23.419831227330704</v>
      </c>
      <c r="L17" s="292">
        <f>K17*1.05</f>
        <v>24.590822788697238</v>
      </c>
    </row>
    <row r="18" spans="1:12" ht="15.75" customHeight="1" x14ac:dyDescent="0.2">
      <c r="A18" s="28" t="s">
        <v>639</v>
      </c>
      <c r="B18" s="86" t="s">
        <v>486</v>
      </c>
      <c r="C18" s="294">
        <v>0</v>
      </c>
      <c r="D18" s="294">
        <f>'P&amp;L'!D14*$D$10/365</f>
        <v>11.431232876712331</v>
      </c>
      <c r="E18" s="294">
        <f>'P&amp;L'!E14*$D$10/365</f>
        <v>10.728357953424657</v>
      </c>
      <c r="F18" s="294">
        <f>'P&amp;L'!F14*$D$10/365</f>
        <v>13.184186483236592</v>
      </c>
      <c r="G18" s="294">
        <f>'P&amp;L'!G14*$D$10/365</f>
        <v>16.170410572572173</v>
      </c>
      <c r="H18" s="294">
        <f>'P&amp;L'!H14*$D$10/365</f>
        <v>19.329695913063947</v>
      </c>
      <c r="I18" s="294">
        <f>'P&amp;L'!I14*$D$10/365</f>
        <v>22.616017666757688</v>
      </c>
      <c r="J18" s="294">
        <f>'P&amp;L'!J14*$D$10/365</f>
        <v>25.937521122538062</v>
      </c>
      <c r="K18" s="294">
        <f>'P&amp;L'!K14*$D$10/365</f>
        <v>29.192614187751694</v>
      </c>
      <c r="L18" s="294">
        <f>'P&amp;L'!L14*$D$10/365</f>
        <v>32.275230370339358</v>
      </c>
    </row>
    <row r="19" spans="1:12" ht="15.75" customHeight="1" x14ac:dyDescent="0.2">
      <c r="A19" s="117" t="s">
        <v>640</v>
      </c>
      <c r="B19" s="293" t="s">
        <v>486</v>
      </c>
      <c r="C19" s="292">
        <v>0</v>
      </c>
      <c r="D19" s="292">
        <f>'P&amp;L'!D8*$D$11</f>
        <v>8.692499999999999</v>
      </c>
      <c r="E19" s="292">
        <f>'P&amp;L'!E8*$D$11</f>
        <v>13.05283551</v>
      </c>
      <c r="F19" s="292">
        <f>'P&amp;L'!F8*$D$11</f>
        <v>16.51254728660269</v>
      </c>
      <c r="G19" s="292">
        <f>'P&amp;L'!G8*$D$11</f>
        <v>20.86636313783934</v>
      </c>
      <c r="H19" s="292">
        <f>'P&amp;L'!H8*$D$11</f>
        <v>25.722590134311659</v>
      </c>
      <c r="I19" s="292">
        <f>'P&amp;L'!I8*$D$11</f>
        <v>31.066626418583805</v>
      </c>
      <c r="J19" s="292">
        <f>'P&amp;L'!J8*$D$11</f>
        <v>36.816870260047082</v>
      </c>
      <c r="K19" s="292">
        <f>'P&amp;L'!K8*$D$11</f>
        <v>42.866166235462963</v>
      </c>
      <c r="L19" s="292">
        <f>'P&amp;L'!L8*$D$11</f>
        <v>49.085246188224431</v>
      </c>
    </row>
    <row r="20" spans="1:12" ht="15.75" customHeight="1" x14ac:dyDescent="0.2">
      <c r="A20" s="28"/>
      <c r="B20" s="28"/>
      <c r="C20" s="28"/>
      <c r="D20" s="28"/>
      <c r="E20" s="28"/>
      <c r="F20" s="28"/>
      <c r="G20" s="28"/>
      <c r="H20" s="28"/>
      <c r="I20" s="28"/>
      <c r="J20" s="28"/>
      <c r="K20" s="28"/>
      <c r="L20" s="28"/>
    </row>
    <row r="21" spans="1:12" ht="22" customHeight="1" x14ac:dyDescent="0.2">
      <c r="A21" s="845" t="s">
        <v>641</v>
      </c>
      <c r="B21" s="861"/>
      <c r="C21" s="861"/>
      <c r="D21" s="861"/>
      <c r="E21" s="861"/>
      <c r="F21" s="861"/>
      <c r="G21" s="861"/>
      <c r="H21" s="861"/>
      <c r="I21" s="861"/>
      <c r="J21" s="861"/>
      <c r="K21" s="861"/>
      <c r="L21" s="861"/>
    </row>
    <row r="22" spans="1:12" ht="15.75" customHeight="1" x14ac:dyDescent="0.2">
      <c r="A22" s="28" t="s">
        <v>642</v>
      </c>
      <c r="B22" s="86" t="s">
        <v>486</v>
      </c>
      <c r="C22" s="294"/>
      <c r="D22" s="294">
        <f t="shared" ref="D22:L22" si="0">D16-C16</f>
        <v>381.25</v>
      </c>
      <c r="E22" s="294">
        <f t="shared" si="0"/>
        <v>92.439034000000049</v>
      </c>
      <c r="F22" s="294">
        <f t="shared" si="0"/>
        <v>134.51085641351273</v>
      </c>
      <c r="G22" s="294">
        <f t="shared" si="0"/>
        <v>150.36309941239017</v>
      </c>
      <c r="H22" s="294">
        <f t="shared" si="0"/>
        <v>167.37084304260179</v>
      </c>
      <c r="I22" s="294">
        <f t="shared" si="0"/>
        <v>182.20340885383769</v>
      </c>
      <c r="J22" s="294">
        <f t="shared" si="0"/>
        <v>193.85804422289334</v>
      </c>
      <c r="K22" s="294">
        <f t="shared" si="0"/>
        <v>201.6740323692502</v>
      </c>
      <c r="L22" s="294">
        <f t="shared" si="0"/>
        <v>204.86433652007736</v>
      </c>
    </row>
    <row r="23" spans="1:12" ht="15.75" customHeight="1" x14ac:dyDescent="0.2">
      <c r="A23" s="117" t="s">
        <v>643</v>
      </c>
      <c r="B23" s="293" t="s">
        <v>486</v>
      </c>
      <c r="C23" s="292"/>
      <c r="D23" s="292">
        <f t="shared" ref="D23:L23" si="1">-(D17-C17)</f>
        <v>-12.86013698630137</v>
      </c>
      <c r="E23" s="292">
        <f t="shared" si="1"/>
        <v>-3.7434396778451493</v>
      </c>
      <c r="F23" s="292">
        <f t="shared" si="1"/>
        <v>-1.556763938678845</v>
      </c>
      <c r="G23" s="292">
        <f t="shared" si="1"/>
        <v>-1.7562941199907982</v>
      </c>
      <c r="H23" s="292">
        <f t="shared" si="1"/>
        <v>-1.4396406172386413</v>
      </c>
      <c r="I23" s="292">
        <f t="shared" si="1"/>
        <v>-1.0993450382861596</v>
      </c>
      <c r="J23" s="292">
        <f t="shared" si="1"/>
        <v>-0.70206012787548033</v>
      </c>
      <c r="K23" s="292">
        <f t="shared" si="1"/>
        <v>-0.26215072111425997</v>
      </c>
      <c r="L23" s="292">
        <f t="shared" si="1"/>
        <v>-1.1709915613665345</v>
      </c>
    </row>
    <row r="24" spans="1:12" ht="15.75" customHeight="1" x14ac:dyDescent="0.2">
      <c r="A24" s="28" t="s">
        <v>644</v>
      </c>
      <c r="B24" s="86" t="s">
        <v>486</v>
      </c>
      <c r="C24" s="294"/>
      <c r="D24" s="294">
        <f t="shared" ref="D24:L24" si="2">D18-C18</f>
        <v>11.431232876712331</v>
      </c>
      <c r="E24" s="294">
        <f t="shared" si="2"/>
        <v>-0.70287492328767343</v>
      </c>
      <c r="F24" s="294">
        <f t="shared" si="2"/>
        <v>2.4558285298119351</v>
      </c>
      <c r="G24" s="294">
        <f t="shared" si="2"/>
        <v>2.9862240893355807</v>
      </c>
      <c r="H24" s="294">
        <f t="shared" si="2"/>
        <v>3.159285340491774</v>
      </c>
      <c r="I24" s="294">
        <f t="shared" si="2"/>
        <v>3.2863217536937412</v>
      </c>
      <c r="J24" s="294">
        <f t="shared" si="2"/>
        <v>3.3215034557803733</v>
      </c>
      <c r="K24" s="294">
        <f t="shared" si="2"/>
        <v>3.2550930652136323</v>
      </c>
      <c r="L24" s="294">
        <f t="shared" si="2"/>
        <v>3.0826161825876639</v>
      </c>
    </row>
    <row r="25" spans="1:12" ht="15.75" customHeight="1" thickBot="1" x14ac:dyDescent="0.25">
      <c r="A25" s="117" t="s">
        <v>645</v>
      </c>
      <c r="B25" s="293" t="s">
        <v>486</v>
      </c>
      <c r="C25" s="292"/>
      <c r="D25" s="292">
        <f t="shared" ref="D25:L25" si="3">-(D19-C19)</f>
        <v>-8.692499999999999</v>
      </c>
      <c r="E25" s="292">
        <f t="shared" si="3"/>
        <v>-4.3603355100000005</v>
      </c>
      <c r="F25" s="292">
        <f t="shared" si="3"/>
        <v>-3.4597117766026901</v>
      </c>
      <c r="G25" s="292">
        <f t="shared" si="3"/>
        <v>-4.35381585123665</v>
      </c>
      <c r="H25" s="292">
        <f t="shared" si="3"/>
        <v>-4.8562269964723193</v>
      </c>
      <c r="I25" s="292">
        <f t="shared" si="3"/>
        <v>-5.3440362842721463</v>
      </c>
      <c r="J25" s="292">
        <f t="shared" si="3"/>
        <v>-5.7502438414632771</v>
      </c>
      <c r="K25" s="292">
        <f t="shared" si="3"/>
        <v>-6.0492959754158804</v>
      </c>
      <c r="L25" s="292">
        <f t="shared" si="3"/>
        <v>-6.2190799527614686</v>
      </c>
    </row>
    <row r="26" spans="1:12" ht="15.75" customHeight="1" x14ac:dyDescent="0.2">
      <c r="A26" s="614" t="s">
        <v>646</v>
      </c>
      <c r="B26" s="615" t="s">
        <v>486</v>
      </c>
      <c r="C26" s="591"/>
      <c r="D26" s="591">
        <f t="shared" ref="D26:L26" si="4">SUM(D22:D25)</f>
        <v>371.12859589041096</v>
      </c>
      <c r="E26" s="591">
        <f t="shared" si="4"/>
        <v>83.632383888867224</v>
      </c>
      <c r="F26" s="591">
        <f t="shared" si="4"/>
        <v>131.95020922804312</v>
      </c>
      <c r="G26" s="591">
        <f t="shared" si="4"/>
        <v>147.23921353049832</v>
      </c>
      <c r="H26" s="591">
        <f t="shared" si="4"/>
        <v>164.23426076938262</v>
      </c>
      <c r="I26" s="591">
        <f t="shared" si="4"/>
        <v>179.04634928497313</v>
      </c>
      <c r="J26" s="591">
        <f t="shared" si="4"/>
        <v>190.72724370933494</v>
      </c>
      <c r="K26" s="591">
        <f t="shared" si="4"/>
        <v>198.61767873793369</v>
      </c>
      <c r="L26" s="591">
        <f t="shared" si="4"/>
        <v>200.55688118853703</v>
      </c>
    </row>
    <row r="27" spans="1:12" ht="15.75" customHeight="1" x14ac:dyDescent="0.2">
      <c r="A27" s="28"/>
      <c r="B27" s="28"/>
      <c r="C27" s="28"/>
      <c r="D27" s="28"/>
      <c r="E27" s="28"/>
      <c r="F27" s="28"/>
      <c r="G27" s="28"/>
      <c r="H27" s="28"/>
      <c r="I27" s="28"/>
      <c r="J27" s="28"/>
      <c r="K27" s="28"/>
      <c r="L27" s="28"/>
    </row>
    <row r="28" spans="1:12" ht="22" customHeight="1" x14ac:dyDescent="0.2">
      <c r="A28" s="845" t="s">
        <v>647</v>
      </c>
      <c r="B28" s="861"/>
      <c r="C28" s="861"/>
      <c r="D28" s="861"/>
      <c r="E28" s="861"/>
      <c r="F28" s="861"/>
      <c r="G28" s="861"/>
      <c r="H28" s="861"/>
      <c r="I28" s="861"/>
      <c r="J28" s="861"/>
      <c r="K28" s="861"/>
      <c r="L28" s="861"/>
    </row>
    <row r="29" spans="1:12" ht="15.75" customHeight="1" x14ac:dyDescent="0.2">
      <c r="A29" s="28" t="s">
        <v>648</v>
      </c>
      <c r="B29" s="86" t="s">
        <v>486</v>
      </c>
      <c r="C29" s="294"/>
      <c r="D29" s="294">
        <f>$D$12</f>
        <v>75</v>
      </c>
      <c r="E29" s="294">
        <f t="shared" ref="E29:L29" si="5">D33</f>
        <v>321.53609589041093</v>
      </c>
      <c r="F29" s="294">
        <f t="shared" si="5"/>
        <v>1008.2225677195346</v>
      </c>
      <c r="G29" s="294">
        <f t="shared" si="5"/>
        <v>1182.0963762740287</v>
      </c>
      <c r="H29" s="294">
        <f t="shared" si="5"/>
        <v>1410.6848989475168</v>
      </c>
      <c r="I29" s="294">
        <f t="shared" si="5"/>
        <v>1725.5432027445681</v>
      </c>
      <c r="J29" s="294">
        <f t="shared" si="5"/>
        <v>2150.4378565044453</v>
      </c>
      <c r="K29" s="294">
        <f t="shared" si="5"/>
        <v>2709.0310601258275</v>
      </c>
      <c r="L29" s="294">
        <f t="shared" si="5"/>
        <v>3425.8218239853486</v>
      </c>
    </row>
    <row r="30" spans="1:12" ht="15.75" customHeight="1" x14ac:dyDescent="0.2">
      <c r="A30" s="291" t="s">
        <v>649</v>
      </c>
      <c r="B30" s="293" t="s">
        <v>486</v>
      </c>
      <c r="C30" s="292"/>
      <c r="D30" s="613">
        <f>$D$13</f>
        <v>0</v>
      </c>
      <c r="E30" s="613">
        <f>$E$13</f>
        <v>575</v>
      </c>
      <c r="F30" s="292">
        <v>0</v>
      </c>
      <c r="G30" s="292">
        <v>0</v>
      </c>
      <c r="H30" s="292">
        <v>0</v>
      </c>
      <c r="I30" s="292">
        <v>0</v>
      </c>
      <c r="J30" s="292">
        <v>0</v>
      </c>
      <c r="K30" s="292">
        <v>0</v>
      </c>
      <c r="L30" s="292">
        <v>0</v>
      </c>
    </row>
    <row r="31" spans="1:12" ht="15.75" customHeight="1" x14ac:dyDescent="0.2">
      <c r="A31" s="31" t="s">
        <v>650</v>
      </c>
      <c r="B31" s="86" t="s">
        <v>486</v>
      </c>
      <c r="C31" s="294"/>
      <c r="D31" s="527">
        <f>FCF!D18</f>
        <v>246.53609589041096</v>
      </c>
      <c r="E31" s="527">
        <f>FCF!E18</f>
        <v>111.68647182912366</v>
      </c>
      <c r="F31" s="527">
        <f>FCF!F18</f>
        <v>173.87380855449405</v>
      </c>
      <c r="G31" s="527">
        <f>FCF!G18</f>
        <v>228.58852267348817</v>
      </c>
      <c r="H31" s="527">
        <f>FCF!H18</f>
        <v>314.85830379705141</v>
      </c>
      <c r="I31" s="527">
        <f>FCF!I18</f>
        <v>424.89465375987743</v>
      </c>
      <c r="J31" s="527">
        <f>FCF!J18</f>
        <v>558.59320362138226</v>
      </c>
      <c r="K31" s="527">
        <f>FCF!K18</f>
        <v>716.79076385952112</v>
      </c>
      <c r="L31" s="527">
        <f>FCF!L18</f>
        <v>897.59553875077063</v>
      </c>
    </row>
    <row r="32" spans="1:12" ht="15.75" customHeight="1" thickBot="1" x14ac:dyDescent="0.25">
      <c r="A32" s="28"/>
      <c r="B32" s="28"/>
      <c r="C32" s="294"/>
      <c r="D32" s="294"/>
      <c r="E32" s="294"/>
      <c r="F32" s="294"/>
      <c r="G32" s="294"/>
      <c r="H32" s="294"/>
      <c r="I32" s="294"/>
      <c r="J32" s="294"/>
      <c r="K32" s="294"/>
      <c r="L32" s="294"/>
    </row>
    <row r="33" spans="1:12" ht="15.75" customHeight="1" thickBot="1" x14ac:dyDescent="0.25">
      <c r="A33" s="595" t="s">
        <v>651</v>
      </c>
      <c r="B33" s="616" t="s">
        <v>486</v>
      </c>
      <c r="C33" s="596"/>
      <c r="D33" s="596">
        <f>D29+D30+D31</f>
        <v>321.53609589041093</v>
      </c>
      <c r="E33" s="596">
        <f>E29+E30+E31</f>
        <v>1008.2225677195346</v>
      </c>
      <c r="F33" s="596">
        <f>F29+F30+F31</f>
        <v>1182.0963762740287</v>
      </c>
      <c r="G33" s="596">
        <f>G29+G30+G31</f>
        <v>1410.6848989475168</v>
      </c>
      <c r="H33" s="596">
        <f>H29+H30+H31</f>
        <v>1725.5432027445681</v>
      </c>
      <c r="I33" s="596">
        <f>I29+I30+I31</f>
        <v>2150.4378565044453</v>
      </c>
      <c r="J33" s="596">
        <f>J29+J30+J31</f>
        <v>2709.0310601258275</v>
      </c>
      <c r="K33" s="596">
        <f>K29+K30+K31</f>
        <v>3425.8218239853486</v>
      </c>
      <c r="L33" s="596">
        <f>L29+L30+L31</f>
        <v>4323.4173627361197</v>
      </c>
    </row>
    <row r="34" spans="1:12" ht="15.75" customHeight="1" thickTop="1" x14ac:dyDescent="0.2"/>
    <row r="35" spans="1:12" ht="15.75" customHeight="1" x14ac:dyDescent="0.2"/>
    <row r="36" spans="1:12" ht="15.75" customHeight="1" x14ac:dyDescent="0.2"/>
    <row r="37" spans="1:12" ht="15.75" customHeight="1" x14ac:dyDescent="0.2"/>
    <row r="38" spans="1:12" ht="15.75" customHeight="1" x14ac:dyDescent="0.2"/>
    <row r="39" spans="1:12" ht="15.75" customHeight="1" x14ac:dyDescent="0.2"/>
    <row r="40" spans="1:12" ht="15.75" customHeight="1" x14ac:dyDescent="0.2">
      <c r="A40" s="415"/>
      <c r="B40" s="415"/>
      <c r="C40" s="415"/>
      <c r="D40" s="372"/>
      <c r="E40" s="372"/>
      <c r="F40" s="372"/>
      <c r="G40" s="372"/>
      <c r="H40" s="372"/>
      <c r="I40" s="372"/>
      <c r="J40" s="372"/>
      <c r="K40" s="372"/>
      <c r="L40" s="372"/>
    </row>
    <row r="41" spans="1:12" ht="15.75" customHeight="1" x14ac:dyDescent="0.2">
      <c r="A41" s="415"/>
      <c r="B41" s="415"/>
      <c r="C41" s="415"/>
      <c r="D41" s="372"/>
      <c r="E41" s="372"/>
      <c r="F41" s="415"/>
      <c r="G41" s="415"/>
      <c r="H41" s="415"/>
      <c r="I41" s="415"/>
      <c r="J41" s="415"/>
      <c r="K41" s="415"/>
      <c r="L41" s="415"/>
    </row>
    <row r="42" spans="1:12" ht="15.75" customHeight="1" x14ac:dyDescent="0.2">
      <c r="A42" s="415"/>
      <c r="B42" s="415"/>
      <c r="C42" s="415"/>
      <c r="D42" s="372"/>
      <c r="E42" s="372"/>
      <c r="F42" s="372"/>
      <c r="G42" s="372"/>
      <c r="H42" s="372"/>
      <c r="I42" s="372"/>
      <c r="J42" s="372"/>
      <c r="K42" s="372"/>
      <c r="L42" s="372"/>
    </row>
    <row r="43" spans="1:12" ht="15.75" customHeight="1" x14ac:dyDescent="0.2">
      <c r="A43" s="415"/>
      <c r="B43" s="415"/>
      <c r="C43" s="415"/>
      <c r="D43" s="415"/>
      <c r="E43" s="415"/>
      <c r="F43" s="415"/>
      <c r="G43" s="415"/>
      <c r="H43" s="415"/>
      <c r="I43" s="415"/>
      <c r="J43" s="415"/>
      <c r="K43" s="415"/>
      <c r="L43" s="415"/>
    </row>
    <row r="44" spans="1:12" ht="15.75" customHeight="1" x14ac:dyDescent="0.2">
      <c r="A44" s="451"/>
      <c r="B44" s="415"/>
      <c r="C44" s="415"/>
      <c r="D44" s="617"/>
      <c r="E44" s="617"/>
      <c r="F44" s="617"/>
      <c r="G44" s="617"/>
      <c r="H44" s="617"/>
      <c r="I44" s="617"/>
      <c r="J44" s="617"/>
      <c r="K44" s="617"/>
      <c r="L44" s="617"/>
    </row>
    <row r="45" spans="1:12" ht="15.75" customHeight="1" x14ac:dyDescent="0.2"/>
    <row r="46" spans="1:12" ht="15.75" customHeight="1" x14ac:dyDescent="0.2"/>
    <row r="47" spans="1:12" ht="15.75" customHeight="1" x14ac:dyDescent="0.2"/>
    <row r="48" spans="1:12" ht="15.75" customHeight="1" x14ac:dyDescent="0.2"/>
    <row r="49" ht="15.75" customHeight="1" x14ac:dyDescent="0.2"/>
    <row r="50" ht="15.75" customHeight="1" x14ac:dyDescent="0.2"/>
    <row r="51" ht="15.75" customHeight="1" x14ac:dyDescent="0.2"/>
  </sheetData>
  <mergeCells count="7">
    <mergeCell ref="A28:L28"/>
    <mergeCell ref="A1:N1"/>
    <mergeCell ref="A2:N2"/>
    <mergeCell ref="A3:L3"/>
    <mergeCell ref="A7:L7"/>
    <mergeCell ref="A15:L15"/>
    <mergeCell ref="A21:L2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M54"/>
  <sheetViews>
    <sheetView showGridLines="0" topLeftCell="A17" zoomScaleNormal="100" workbookViewId="0">
      <selection activeCell="C48" sqref="C48"/>
    </sheetView>
  </sheetViews>
  <sheetFormatPr baseColWidth="10" defaultColWidth="8.83203125" defaultRowHeight="15" x14ac:dyDescent="0.2"/>
  <cols>
    <col min="1" max="1" width="46.6640625" customWidth="1"/>
    <col min="2" max="2" width="8.33203125" customWidth="1"/>
    <col min="3" max="11" width="12.5" customWidth="1"/>
    <col min="12" max="13" width="36.6640625" customWidth="1"/>
  </cols>
  <sheetData>
    <row r="1" spans="1:13" ht="28" customHeight="1" x14ac:dyDescent="0.25">
      <c r="A1" s="889" t="s">
        <v>652</v>
      </c>
      <c r="B1" s="890"/>
      <c r="C1" s="890"/>
      <c r="D1" s="890"/>
      <c r="E1" s="890"/>
      <c r="F1" s="890"/>
      <c r="G1" s="890"/>
      <c r="H1" s="890"/>
      <c r="I1" s="890"/>
      <c r="J1" s="890"/>
      <c r="K1" s="890"/>
      <c r="L1" s="890"/>
      <c r="M1" s="890"/>
    </row>
    <row r="2" spans="1:13" ht="15.75" customHeight="1" x14ac:dyDescent="0.2">
      <c r="A2" s="891" t="s">
        <v>653</v>
      </c>
      <c r="B2" s="892"/>
      <c r="C2" s="892"/>
      <c r="D2" s="892"/>
      <c r="E2" s="892"/>
      <c r="F2" s="892"/>
      <c r="G2" s="892"/>
      <c r="H2" s="892"/>
      <c r="I2" s="892"/>
      <c r="J2" s="892"/>
      <c r="K2" s="892"/>
      <c r="L2" s="892"/>
      <c r="M2" s="892"/>
    </row>
    <row r="3" spans="1:13" ht="15.75" customHeight="1" x14ac:dyDescent="0.2">
      <c r="A3" s="876" t="s">
        <v>1587</v>
      </c>
      <c r="B3" s="893"/>
      <c r="C3" s="893"/>
      <c r="D3" s="893"/>
      <c r="E3" s="893"/>
      <c r="F3" s="893"/>
      <c r="G3" s="893"/>
      <c r="H3" s="893"/>
      <c r="I3" s="893"/>
      <c r="J3" s="893"/>
      <c r="K3" s="893"/>
      <c r="L3" s="893"/>
      <c r="M3" s="893"/>
    </row>
    <row r="4" spans="1:13" ht="15.75" customHeight="1" x14ac:dyDescent="0.2"/>
    <row r="5" spans="1:13" ht="15.75" customHeight="1" x14ac:dyDescent="0.2">
      <c r="A5" s="373"/>
      <c r="B5" s="373" t="s">
        <v>445</v>
      </c>
      <c r="C5" s="373" t="s">
        <v>533</v>
      </c>
      <c r="D5" s="373" t="s">
        <v>534</v>
      </c>
      <c r="E5" s="373" t="s">
        <v>535</v>
      </c>
      <c r="F5" s="373" t="s">
        <v>536</v>
      </c>
      <c r="G5" s="373" t="s">
        <v>537</v>
      </c>
      <c r="H5" s="373" t="s">
        <v>538</v>
      </c>
      <c r="I5" s="373" t="s">
        <v>539</v>
      </c>
      <c r="J5" s="373" t="s">
        <v>540</v>
      </c>
      <c r="K5" s="373" t="s">
        <v>541</v>
      </c>
      <c r="L5" s="51"/>
    </row>
    <row r="6" spans="1:13" ht="15.75" customHeight="1" x14ac:dyDescent="0.2"/>
    <row r="7" spans="1:13" ht="22" customHeight="1" x14ac:dyDescent="0.2">
      <c r="A7" s="836" t="s">
        <v>654</v>
      </c>
      <c r="B7" s="887"/>
      <c r="C7" s="887"/>
      <c r="D7" s="887"/>
      <c r="E7" s="887"/>
      <c r="F7" s="887"/>
      <c r="G7" s="887"/>
      <c r="H7" s="887"/>
      <c r="I7" s="887"/>
      <c r="J7" s="887"/>
      <c r="K7" s="887"/>
      <c r="L7" s="887"/>
      <c r="M7" s="887"/>
    </row>
    <row r="8" spans="1:13" ht="15.75" customHeight="1" x14ac:dyDescent="0.2">
      <c r="A8" s="40" t="s">
        <v>655</v>
      </c>
      <c r="B8" s="375" t="s">
        <v>486</v>
      </c>
      <c r="C8" s="97">
        <f>'P&amp;L'!D8</f>
        <v>579.5</v>
      </c>
      <c r="D8" s="97">
        <f>'P&amp;L'!E8</f>
        <v>870.18903399999999</v>
      </c>
      <c r="E8" s="97">
        <f>'P&amp;L'!F8</f>
        <v>1100.8364857735128</v>
      </c>
      <c r="F8" s="97">
        <f>'P&amp;L'!G8</f>
        <v>1391.090875855956</v>
      </c>
      <c r="G8" s="97">
        <f>'P&amp;L'!H8</f>
        <v>1714.839342287444</v>
      </c>
      <c r="H8" s="97">
        <f>'P&amp;L'!I8</f>
        <v>2071.1084279055872</v>
      </c>
      <c r="I8" s="97">
        <f>'P&amp;L'!J8</f>
        <v>2454.458017336472</v>
      </c>
      <c r="J8" s="97">
        <f>'P&amp;L'!K8</f>
        <v>2857.7444156975312</v>
      </c>
      <c r="K8" s="97">
        <f>'P&amp;L'!L8</f>
        <v>3272.3497458816287</v>
      </c>
      <c r="L8" s="421"/>
      <c r="M8" s="415" t="s">
        <v>656</v>
      </c>
    </row>
    <row r="9" spans="1:13" ht="15.75" customHeight="1" x14ac:dyDescent="0.2">
      <c r="A9" s="376" t="s">
        <v>617</v>
      </c>
      <c r="B9" s="377" t="s">
        <v>486</v>
      </c>
      <c r="C9" s="378">
        <f>FCF!D18</f>
        <v>246.53609589041096</v>
      </c>
      <c r="D9" s="378">
        <f>FCF!E18</f>
        <v>111.68647182912366</v>
      </c>
      <c r="E9" s="378">
        <f>FCF!F18</f>
        <v>173.87380855449405</v>
      </c>
      <c r="F9" s="378">
        <f>FCF!G18</f>
        <v>228.58852267348817</v>
      </c>
      <c r="G9" s="378">
        <f>FCF!H18</f>
        <v>314.85830379705141</v>
      </c>
      <c r="H9" s="378">
        <f>FCF!I18</f>
        <v>424.89465375987743</v>
      </c>
      <c r="I9" s="378">
        <f>FCF!J18</f>
        <v>558.59320362138226</v>
      </c>
      <c r="J9" s="378">
        <f>FCF!K18</f>
        <v>716.79076385952112</v>
      </c>
      <c r="K9" s="378">
        <f>FCF!L18</f>
        <v>897.59553875077063</v>
      </c>
      <c r="L9" s="416"/>
      <c r="M9" s="416" t="s">
        <v>657</v>
      </c>
    </row>
    <row r="10" spans="1:13" ht="15.75" customHeight="1" x14ac:dyDescent="0.2">
      <c r="A10" s="40" t="s">
        <v>620</v>
      </c>
      <c r="B10" s="375" t="s">
        <v>458</v>
      </c>
      <c r="C10" s="374">
        <f t="shared" ref="C10:K10" si="0">IFERROR(C9/C8,0)</f>
        <v>0.42542898341744773</v>
      </c>
      <c r="D10" s="374">
        <f t="shared" si="0"/>
        <v>0.12834736760096158</v>
      </c>
      <c r="E10" s="374">
        <f t="shared" si="0"/>
        <v>0.15794698922276365</v>
      </c>
      <c r="F10" s="374">
        <f t="shared" si="0"/>
        <v>0.16432321327162377</v>
      </c>
      <c r="G10" s="374">
        <f t="shared" si="0"/>
        <v>0.18360804772361841</v>
      </c>
      <c r="H10" s="374">
        <f t="shared" si="0"/>
        <v>0.20515326384411126</v>
      </c>
      <c r="I10" s="374">
        <f t="shared" si="0"/>
        <v>0.22758311597749642</v>
      </c>
      <c r="J10" s="374">
        <f t="shared" si="0"/>
        <v>0.25082395749676012</v>
      </c>
      <c r="K10" s="374">
        <f t="shared" si="0"/>
        <v>0.27429694514787956</v>
      </c>
      <c r="L10" s="415"/>
      <c r="M10" s="415"/>
    </row>
    <row r="11" spans="1:13" ht="15.75" customHeight="1" x14ac:dyDescent="0.2">
      <c r="A11" s="3"/>
      <c r="B11" s="375"/>
      <c r="C11" s="13"/>
      <c r="D11" s="13"/>
      <c r="E11" s="13"/>
      <c r="F11" s="13"/>
      <c r="G11" s="13"/>
      <c r="H11" s="13"/>
      <c r="I11" s="13"/>
      <c r="J11" s="13"/>
      <c r="K11" s="13"/>
      <c r="L11" s="415"/>
      <c r="M11" s="415"/>
    </row>
    <row r="12" spans="1:13" ht="15.75" customHeight="1" x14ac:dyDescent="0.2">
      <c r="A12" s="40" t="s">
        <v>658</v>
      </c>
      <c r="B12" s="375" t="s">
        <v>458</v>
      </c>
      <c r="C12" s="47" t="s">
        <v>491</v>
      </c>
      <c r="D12" s="48">
        <f>Assumptions!$F$74</f>
        <v>0.10844999999999999</v>
      </c>
      <c r="E12" s="48">
        <f>Assumptions!$F$74</f>
        <v>0.10844999999999999</v>
      </c>
      <c r="F12" s="48">
        <f>Assumptions!$F$74</f>
        <v>0.10844999999999999</v>
      </c>
      <c r="G12" s="48">
        <f>Assumptions!$F$74</f>
        <v>0.10844999999999999</v>
      </c>
      <c r="H12" s="48">
        <f>Assumptions!$F$74</f>
        <v>0.10844999999999999</v>
      </c>
      <c r="I12" s="48">
        <f>Assumptions!$F$74</f>
        <v>0.10844999999999999</v>
      </c>
      <c r="J12" s="48">
        <f>Assumptions!$F$74</f>
        <v>0.10844999999999999</v>
      </c>
      <c r="K12" s="48">
        <f>Assumptions!$F$74</f>
        <v>0.10844999999999999</v>
      </c>
      <c r="L12" s="415"/>
      <c r="M12" s="415" t="s">
        <v>659</v>
      </c>
    </row>
    <row r="13" spans="1:13" ht="15.75" customHeight="1" x14ac:dyDescent="0.2">
      <c r="A13" s="40" t="s">
        <v>660</v>
      </c>
      <c r="B13" s="375" t="s">
        <v>661</v>
      </c>
      <c r="C13" s="47" t="s">
        <v>491</v>
      </c>
      <c r="D13" s="9">
        <v>0.5</v>
      </c>
      <c r="E13" s="9">
        <v>1.5</v>
      </c>
      <c r="F13" s="9">
        <v>2.5</v>
      </c>
      <c r="G13" s="9">
        <v>3.5</v>
      </c>
      <c r="H13" s="9">
        <v>4.5</v>
      </c>
      <c r="I13" s="9">
        <v>5.5</v>
      </c>
      <c r="J13" s="9">
        <v>6.5</v>
      </c>
      <c r="K13" s="9">
        <v>7.5</v>
      </c>
      <c r="L13" s="415"/>
      <c r="M13" s="415" t="s">
        <v>662</v>
      </c>
    </row>
    <row r="14" spans="1:13" ht="15.75" customHeight="1" x14ac:dyDescent="0.2">
      <c r="A14" s="379" t="s">
        <v>663</v>
      </c>
      <c r="B14" s="377" t="s">
        <v>556</v>
      </c>
      <c r="C14" s="380" t="s">
        <v>491</v>
      </c>
      <c r="D14" s="381">
        <f t="shared" ref="D14:K14" si="1">1/(1+D12)^D13</f>
        <v>0.94982139100790142</v>
      </c>
      <c r="E14" s="381">
        <f t="shared" si="1"/>
        <v>0.85689150706653572</v>
      </c>
      <c r="F14" s="381">
        <f t="shared" si="1"/>
        <v>0.77305382025940339</v>
      </c>
      <c r="G14" s="381">
        <f t="shared" si="1"/>
        <v>0.69741875615445303</v>
      </c>
      <c r="H14" s="381">
        <f t="shared" si="1"/>
        <v>0.62918377568176564</v>
      </c>
      <c r="I14" s="381">
        <f t="shared" si="1"/>
        <v>0.56762485965245668</v>
      </c>
      <c r="J14" s="381">
        <f t="shared" si="1"/>
        <v>0.51208882642650255</v>
      </c>
      <c r="K14" s="381">
        <f t="shared" si="1"/>
        <v>0.4619864012147617</v>
      </c>
      <c r="L14" s="417"/>
      <c r="M14" s="416"/>
    </row>
    <row r="15" spans="1:13" ht="15.75" customHeight="1" x14ac:dyDescent="0.2">
      <c r="A15" s="1" t="s">
        <v>664</v>
      </c>
      <c r="B15" s="375" t="s">
        <v>486</v>
      </c>
      <c r="C15" s="47" t="s">
        <v>491</v>
      </c>
      <c r="D15" s="88">
        <f t="shared" ref="D15:K15" si="2">D9*D14</f>
        <v>106.08220002950303</v>
      </c>
      <c r="E15" s="88">
        <f t="shared" si="2"/>
        <v>148.99098985165872</v>
      </c>
      <c r="F15" s="88">
        <f t="shared" si="2"/>
        <v>176.71123072019327</v>
      </c>
      <c r="G15" s="88">
        <f t="shared" si="2"/>
        <v>219.58808659904048</v>
      </c>
      <c r="H15" s="88">
        <f t="shared" si="2"/>
        <v>267.3368225196362</v>
      </c>
      <c r="I15" s="88">
        <f t="shared" si="2"/>
        <v>317.07138880840324</v>
      </c>
      <c r="J15" s="88">
        <f t="shared" si="2"/>
        <v>367.0605410581785</v>
      </c>
      <c r="K15" s="88">
        <f t="shared" si="2"/>
        <v>414.67693269389372</v>
      </c>
      <c r="L15" s="415"/>
      <c r="M15" s="418" t="s">
        <v>665</v>
      </c>
    </row>
    <row r="16" spans="1:13" ht="15.75" customHeight="1" x14ac:dyDescent="0.2">
      <c r="L16" s="415"/>
      <c r="M16" s="415"/>
    </row>
    <row r="17" spans="1:13" ht="15.75" customHeight="1" x14ac:dyDescent="0.2">
      <c r="A17" s="836" t="s">
        <v>666</v>
      </c>
      <c r="B17" s="887"/>
      <c r="C17" s="887"/>
      <c r="D17" s="887"/>
      <c r="E17" s="887"/>
      <c r="F17" s="887"/>
      <c r="G17" s="887"/>
      <c r="H17" s="887"/>
      <c r="I17" s="887"/>
      <c r="J17" s="887"/>
      <c r="K17" s="887"/>
      <c r="L17" s="888"/>
      <c r="M17" s="888"/>
    </row>
    <row r="18" spans="1:13" ht="15.75" customHeight="1" x14ac:dyDescent="0.2">
      <c r="A18" s="3" t="s">
        <v>667</v>
      </c>
      <c r="B18" s="375" t="s">
        <v>486</v>
      </c>
      <c r="C18" s="97">
        <f>K8</f>
        <v>3272.3497458816287</v>
      </c>
      <c r="D18" s="14"/>
      <c r="E18" s="14"/>
      <c r="F18" s="14"/>
      <c r="G18" s="14"/>
      <c r="H18" s="14"/>
      <c r="I18" s="14"/>
      <c r="J18" s="14"/>
      <c r="K18" s="14"/>
      <c r="L18" s="415"/>
      <c r="M18" s="415"/>
    </row>
    <row r="19" spans="1:13" ht="15.75" customHeight="1" x14ac:dyDescent="0.2">
      <c r="A19" s="262" t="s">
        <v>668</v>
      </c>
      <c r="B19" s="377" t="s">
        <v>486</v>
      </c>
      <c r="C19" s="378">
        <f>'P&amp;L'!L32</f>
        <v>1224.0974237935484</v>
      </c>
      <c r="D19" s="387"/>
      <c r="E19" s="387"/>
      <c r="F19" s="387"/>
      <c r="G19" s="387"/>
      <c r="H19" s="387"/>
      <c r="I19" s="387"/>
      <c r="J19" s="387"/>
      <c r="K19" s="387"/>
      <c r="L19" s="416"/>
      <c r="M19" s="416"/>
    </row>
    <row r="20" spans="1:13" ht="15.75" customHeight="1" x14ac:dyDescent="0.2">
      <c r="A20" s="3" t="s">
        <v>669</v>
      </c>
      <c r="B20" s="375" t="s">
        <v>486</v>
      </c>
      <c r="C20" s="97">
        <f>K9</f>
        <v>897.59553875077063</v>
      </c>
      <c r="D20" s="14"/>
      <c r="E20" s="14"/>
      <c r="F20" s="14"/>
      <c r="G20" s="14"/>
      <c r="H20" s="14"/>
      <c r="I20" s="14"/>
      <c r="J20" s="14"/>
      <c r="K20" s="14"/>
      <c r="L20" s="415"/>
      <c r="M20" s="415"/>
    </row>
    <row r="21" spans="1:13" ht="15.75" customHeight="1" x14ac:dyDescent="0.2">
      <c r="A21" s="262" t="s">
        <v>670</v>
      </c>
      <c r="B21" s="377" t="s">
        <v>556</v>
      </c>
      <c r="C21" s="388">
        <f>Assumptions!$F$78</f>
        <v>3.5</v>
      </c>
      <c r="D21" s="389"/>
      <c r="E21" s="389"/>
      <c r="F21" s="389"/>
      <c r="G21" s="389"/>
      <c r="H21" s="389"/>
      <c r="I21" s="389"/>
      <c r="J21" s="389"/>
      <c r="K21" s="389"/>
      <c r="L21" s="417" t="s">
        <v>671</v>
      </c>
      <c r="M21" s="416"/>
    </row>
    <row r="22" spans="1:13" ht="22" customHeight="1" x14ac:dyDescent="0.2">
      <c r="A22" s="1" t="s">
        <v>672</v>
      </c>
      <c r="B22" s="384" t="s">
        <v>486</v>
      </c>
      <c r="C22" s="88">
        <f>C18*C21</f>
        <v>11453.224110585701</v>
      </c>
      <c r="D22" s="385"/>
      <c r="E22" s="385"/>
      <c r="F22" s="385"/>
      <c r="G22" s="385"/>
      <c r="H22" s="385"/>
      <c r="I22" s="385"/>
      <c r="J22" s="385"/>
      <c r="K22" s="385"/>
      <c r="L22" s="451"/>
      <c r="M22" s="451"/>
    </row>
    <row r="23" spans="1:13" ht="15.75" customHeight="1" x14ac:dyDescent="0.2">
      <c r="A23" s="376" t="s">
        <v>673</v>
      </c>
      <c r="B23" s="377" t="s">
        <v>486</v>
      </c>
      <c r="C23" s="390">
        <f>C20*(1+Assumptions!$F$80)/(D12-Assumptions!$F$80)</f>
        <v>11784.874504949572</v>
      </c>
      <c r="D23" s="391"/>
      <c r="E23" s="391"/>
      <c r="F23" s="391"/>
      <c r="G23" s="391"/>
      <c r="H23" s="391"/>
      <c r="I23" s="391"/>
      <c r="J23" s="391"/>
      <c r="K23" s="391"/>
      <c r="L23" s="417" t="s">
        <v>674</v>
      </c>
      <c r="M23" s="416"/>
    </row>
    <row r="24" spans="1:13" ht="15.75" customHeight="1" x14ac:dyDescent="0.2">
      <c r="A24" s="40" t="s">
        <v>675</v>
      </c>
      <c r="B24" s="375" t="s">
        <v>458</v>
      </c>
      <c r="C24" s="382">
        <f>ABS(C22-C23)/((C22+C23)/2)</f>
        <v>2.8543677333579605E-2</v>
      </c>
      <c r="D24" s="10"/>
      <c r="E24" s="10"/>
      <c r="F24" s="10"/>
      <c r="G24" s="10"/>
      <c r="H24" s="10"/>
      <c r="I24" s="10"/>
      <c r="J24" s="10"/>
      <c r="K24" s="10"/>
      <c r="L24" s="421" t="s">
        <v>676</v>
      </c>
      <c r="M24" s="415"/>
    </row>
    <row r="25" spans="1:13" ht="15.75" customHeight="1" x14ac:dyDescent="0.2">
      <c r="A25" s="1" t="s">
        <v>677</v>
      </c>
      <c r="B25" s="384" t="s">
        <v>486</v>
      </c>
      <c r="C25" s="383">
        <f>C22</f>
        <v>11453.224110585701</v>
      </c>
      <c r="D25" s="386"/>
      <c r="E25" s="386"/>
      <c r="F25" s="386"/>
      <c r="G25" s="386"/>
      <c r="H25" s="386"/>
      <c r="I25" s="386"/>
      <c r="J25" s="386"/>
      <c r="K25" s="386"/>
      <c r="L25" s="451"/>
      <c r="M25" s="451"/>
    </row>
    <row r="26" spans="1:13" ht="15.75" customHeight="1" x14ac:dyDescent="0.2">
      <c r="A26" s="376" t="s">
        <v>678</v>
      </c>
      <c r="B26" s="377" t="s">
        <v>486</v>
      </c>
      <c r="C26" s="390">
        <f>C25*K14</f>
        <v>5291.2337891556281</v>
      </c>
      <c r="D26" s="391"/>
      <c r="E26" s="391"/>
      <c r="F26" s="391"/>
      <c r="G26" s="391"/>
      <c r="H26" s="391"/>
      <c r="I26" s="391"/>
      <c r="J26" s="391"/>
      <c r="K26" s="391"/>
      <c r="L26" s="416"/>
      <c r="M26" s="416"/>
    </row>
    <row r="27" spans="1:13" ht="15.75" customHeight="1" x14ac:dyDescent="0.2">
      <c r="A27" s="40" t="s">
        <v>679</v>
      </c>
      <c r="B27" s="375" t="s">
        <v>458</v>
      </c>
      <c r="C27" s="382">
        <f>C26/(C26+SUM(D15:K15))</f>
        <v>0.72395859137033214</v>
      </c>
      <c r="D27" s="10"/>
      <c r="E27" s="10"/>
      <c r="F27" s="10"/>
      <c r="G27" s="10"/>
      <c r="H27" s="10"/>
      <c r="I27" s="10"/>
      <c r="J27" s="10"/>
      <c r="K27" s="10"/>
      <c r="L27" s="421" t="s">
        <v>680</v>
      </c>
      <c r="M27" s="415"/>
    </row>
    <row r="28" spans="1:13" ht="15.75" customHeight="1" x14ac:dyDescent="0.2">
      <c r="L28" s="415"/>
      <c r="M28" s="415"/>
    </row>
    <row r="29" spans="1:13" ht="15.75" customHeight="1" thickBot="1" x14ac:dyDescent="0.25">
      <c r="A29" s="836" t="s">
        <v>681</v>
      </c>
      <c r="B29" s="887"/>
      <c r="C29" s="887"/>
      <c r="D29" s="887"/>
      <c r="E29" s="887"/>
      <c r="F29" s="887"/>
      <c r="G29" s="887"/>
      <c r="H29" s="887"/>
      <c r="I29" s="887"/>
      <c r="J29" s="887"/>
      <c r="K29" s="887"/>
      <c r="L29" s="888"/>
      <c r="M29" s="888"/>
    </row>
    <row r="30" spans="1:13" ht="15.75" customHeight="1" x14ac:dyDescent="0.2">
      <c r="A30" s="398" t="s">
        <v>682</v>
      </c>
      <c r="B30" s="399" t="s">
        <v>486</v>
      </c>
      <c r="C30" s="400">
        <f>SUM(D15:K15)</f>
        <v>2017.5181922805073</v>
      </c>
      <c r="D30" s="401"/>
      <c r="E30" s="401"/>
      <c r="F30" s="401"/>
      <c r="G30" s="401"/>
      <c r="H30" s="401"/>
      <c r="I30" s="401"/>
      <c r="J30" s="401"/>
      <c r="K30" s="401"/>
      <c r="L30" s="419"/>
      <c r="M30" s="419"/>
    </row>
    <row r="31" spans="1:13" ht="15.75" customHeight="1" x14ac:dyDescent="0.2">
      <c r="A31" s="3" t="s">
        <v>678</v>
      </c>
      <c r="B31" s="7" t="s">
        <v>486</v>
      </c>
      <c r="C31" s="397">
        <f>C26</f>
        <v>5291.2337891556281</v>
      </c>
      <c r="D31" s="13"/>
      <c r="E31" s="13"/>
      <c r="F31" s="13"/>
      <c r="G31" s="13"/>
      <c r="H31" s="13"/>
      <c r="I31" s="13"/>
      <c r="J31" s="13"/>
      <c r="K31" s="13"/>
      <c r="L31" s="415"/>
      <c r="M31" s="415"/>
    </row>
    <row r="32" spans="1:13" ht="15.75" customHeight="1" thickBot="1" x14ac:dyDescent="0.25">
      <c r="A32" s="402" t="s">
        <v>683</v>
      </c>
      <c r="B32" s="403" t="s">
        <v>486</v>
      </c>
      <c r="C32" s="404">
        <f>C30+C31</f>
        <v>7308.7519814361349</v>
      </c>
      <c r="D32" s="405"/>
      <c r="E32" s="405"/>
      <c r="F32" s="405"/>
      <c r="G32" s="405"/>
      <c r="H32" s="405"/>
      <c r="I32" s="405"/>
      <c r="J32" s="405"/>
      <c r="K32" s="405"/>
      <c r="L32" s="420"/>
      <c r="M32" s="420"/>
    </row>
    <row r="33" spans="1:13" ht="15.75" customHeight="1" x14ac:dyDescent="0.2">
      <c r="L33" s="415"/>
      <c r="M33" s="415"/>
    </row>
    <row r="34" spans="1:13" ht="22" customHeight="1" thickBot="1" x14ac:dyDescent="0.25">
      <c r="A34" s="836" t="s">
        <v>684</v>
      </c>
      <c r="B34" s="887"/>
      <c r="C34" s="887"/>
      <c r="D34" s="887"/>
      <c r="E34" s="887"/>
      <c r="F34" s="887"/>
      <c r="G34" s="887"/>
      <c r="H34" s="887"/>
      <c r="I34" s="887"/>
      <c r="J34" s="887"/>
      <c r="K34" s="887"/>
      <c r="L34" s="888"/>
      <c r="M34" s="888"/>
    </row>
    <row r="35" spans="1:13" ht="15.75" customHeight="1" x14ac:dyDescent="0.2">
      <c r="A35" s="398" t="s">
        <v>685</v>
      </c>
      <c r="B35" s="399" t="s">
        <v>486</v>
      </c>
      <c r="C35" s="406">
        <f>C32</f>
        <v>7308.7519814361349</v>
      </c>
      <c r="D35" s="401"/>
      <c r="E35" s="401"/>
      <c r="F35" s="401"/>
      <c r="G35" s="401"/>
      <c r="H35" s="401"/>
      <c r="I35" s="401"/>
      <c r="J35" s="401"/>
      <c r="K35" s="401"/>
      <c r="L35" s="419"/>
      <c r="M35" s="419"/>
    </row>
    <row r="36" spans="1:13" ht="15.75" customHeight="1" x14ac:dyDescent="0.2">
      <c r="A36" s="3" t="s">
        <v>686</v>
      </c>
      <c r="B36" s="7" t="s">
        <v>486</v>
      </c>
      <c r="C36" s="97">
        <f>-Assumptions!$F$62</f>
        <v>-10</v>
      </c>
      <c r="D36" s="8"/>
      <c r="E36" s="8"/>
      <c r="F36" s="8"/>
      <c r="G36" s="8"/>
      <c r="H36" s="8"/>
      <c r="I36" s="8"/>
      <c r="J36" s="8"/>
      <c r="K36" s="8"/>
      <c r="L36" s="421" t="s">
        <v>687</v>
      </c>
      <c r="M36" s="415"/>
    </row>
    <row r="37" spans="1:13" ht="15.75" customHeight="1" x14ac:dyDescent="0.2">
      <c r="A37" s="3" t="s">
        <v>688</v>
      </c>
      <c r="B37" s="7" t="s">
        <v>486</v>
      </c>
      <c r="C37" s="97">
        <f>'WC &amp; Cash'!E33</f>
        <v>1008.2225677195346</v>
      </c>
      <c r="D37" s="8"/>
      <c r="E37" s="8"/>
      <c r="F37" s="8"/>
      <c r="G37" s="8"/>
      <c r="H37" s="8"/>
      <c r="I37" s="8"/>
      <c r="J37" s="8"/>
      <c r="K37" s="8"/>
      <c r="L37" s="421" t="s">
        <v>689</v>
      </c>
      <c r="M37" s="415"/>
    </row>
    <row r="38" spans="1:13" ht="15.75" customHeight="1" x14ac:dyDescent="0.2">
      <c r="A38" s="392" t="s">
        <v>690</v>
      </c>
      <c r="B38" s="395" t="s">
        <v>486</v>
      </c>
      <c r="C38" s="393">
        <f>C35+C36+C37</f>
        <v>8306.9745491556696</v>
      </c>
      <c r="D38" s="396"/>
      <c r="E38" s="396"/>
      <c r="F38" s="396"/>
      <c r="G38" s="396"/>
      <c r="H38" s="396"/>
      <c r="I38" s="396"/>
      <c r="J38" s="396"/>
      <c r="K38" s="396"/>
      <c r="L38" s="422"/>
      <c r="M38" s="422"/>
    </row>
    <row r="39" spans="1:13" ht="22" customHeight="1" x14ac:dyDescent="0.2">
      <c r="A39" s="3" t="s">
        <v>691</v>
      </c>
      <c r="B39" s="7" t="s">
        <v>452</v>
      </c>
      <c r="C39" s="14">
        <f>Assumptions!$F$55</f>
        <v>410</v>
      </c>
      <c r="D39" s="2"/>
      <c r="E39" s="2"/>
      <c r="F39" s="2"/>
      <c r="G39" s="2"/>
      <c r="H39" s="2"/>
      <c r="I39" s="2"/>
      <c r="J39" s="2"/>
      <c r="K39" s="2"/>
      <c r="L39" s="421" t="s">
        <v>692</v>
      </c>
      <c r="M39" s="415"/>
    </row>
    <row r="40" spans="1:13" ht="15.75" customHeight="1" thickBot="1" x14ac:dyDescent="0.25">
      <c r="A40" s="402" t="s">
        <v>693</v>
      </c>
      <c r="B40" s="403" t="s">
        <v>694</v>
      </c>
      <c r="C40" s="407">
        <f>C38/C39</f>
        <v>20.260913534526022</v>
      </c>
      <c r="D40" s="408"/>
      <c r="E40" s="408"/>
      <c r="F40" s="408"/>
      <c r="G40" s="408"/>
      <c r="H40" s="408"/>
      <c r="I40" s="408"/>
      <c r="J40" s="408"/>
      <c r="K40" s="408"/>
      <c r="L40" s="420"/>
      <c r="M40" s="420"/>
    </row>
    <row r="41" spans="1:13" ht="15.75" customHeight="1" x14ac:dyDescent="0.2">
      <c r="L41" s="415"/>
      <c r="M41" s="415"/>
    </row>
    <row r="42" spans="1:13" ht="15.75" customHeight="1" x14ac:dyDescent="0.2">
      <c r="A42" s="836" t="s">
        <v>695</v>
      </c>
      <c r="B42" s="887"/>
      <c r="C42" s="887"/>
      <c r="D42" s="887"/>
      <c r="E42" s="887"/>
      <c r="F42" s="887"/>
      <c r="G42" s="887"/>
      <c r="H42" s="887"/>
      <c r="I42" s="887"/>
      <c r="J42" s="887"/>
      <c r="K42" s="887"/>
      <c r="L42" s="888"/>
      <c r="M42" s="888"/>
    </row>
    <row r="43" spans="1:13" ht="15.75" customHeight="1" x14ac:dyDescent="0.2">
      <c r="A43" s="410" t="s">
        <v>696</v>
      </c>
      <c r="B43" s="410" t="s">
        <v>486</v>
      </c>
      <c r="C43" s="411">
        <f>RealOptions!B31</f>
        <v>179.17884783202757</v>
      </c>
      <c r="D43" s="412"/>
      <c r="E43" s="412"/>
      <c r="F43" s="412"/>
      <c r="G43" s="412"/>
      <c r="H43" s="412"/>
      <c r="I43" s="412"/>
      <c r="J43" s="412"/>
      <c r="K43" s="412"/>
      <c r="L43" s="421" t="s">
        <v>697</v>
      </c>
      <c r="M43" s="415"/>
    </row>
    <row r="44" spans="1:13" ht="15.75" customHeight="1" x14ac:dyDescent="0.2">
      <c r="A44" s="410" t="s">
        <v>698</v>
      </c>
      <c r="B44" s="410" t="s">
        <v>486</v>
      </c>
      <c r="C44" s="411">
        <f>RealOptions!D31</f>
        <v>1281.1334369374558</v>
      </c>
      <c r="D44" s="412"/>
      <c r="E44" s="412"/>
      <c r="F44" s="412"/>
      <c r="G44" s="412"/>
      <c r="H44" s="412"/>
      <c r="I44" s="412"/>
      <c r="J44" s="412"/>
      <c r="K44" s="412"/>
      <c r="L44" s="415"/>
      <c r="M44" s="415"/>
    </row>
    <row r="45" spans="1:13" ht="15.75" customHeight="1" x14ac:dyDescent="0.2">
      <c r="A45" s="1" t="s">
        <v>699</v>
      </c>
      <c r="B45" s="7" t="s">
        <v>486</v>
      </c>
      <c r="C45" s="98">
        <f>RealOptions!B36</f>
        <v>704.48043032202577</v>
      </c>
      <c r="D45" s="13"/>
      <c r="E45" s="13"/>
      <c r="F45" s="13"/>
      <c r="G45" s="13"/>
      <c r="H45" s="13"/>
      <c r="I45" s="13"/>
      <c r="J45" s="13"/>
      <c r="K45" s="13"/>
      <c r="L45" s="415"/>
      <c r="M45" s="415"/>
    </row>
    <row r="46" spans="1:13" ht="15.75" customHeight="1" x14ac:dyDescent="0.2">
      <c r="A46" s="1" t="s">
        <v>700</v>
      </c>
      <c r="B46" s="409" t="s">
        <v>486</v>
      </c>
      <c r="C46" s="88">
        <f>C45</f>
        <v>704.48043032202577</v>
      </c>
      <c r="D46" s="385"/>
      <c r="E46" s="385"/>
      <c r="F46" s="385"/>
      <c r="G46" s="385"/>
      <c r="H46" s="385"/>
      <c r="I46" s="385"/>
      <c r="J46" s="385"/>
      <c r="K46" s="385"/>
      <c r="L46" s="451"/>
      <c r="M46" s="451"/>
    </row>
    <row r="47" spans="1:13" ht="22" customHeight="1" x14ac:dyDescent="0.2">
      <c r="A47" s="392" t="s">
        <v>701</v>
      </c>
      <c r="B47" s="395" t="s">
        <v>486</v>
      </c>
      <c r="C47" s="393">
        <f>C32+C46</f>
        <v>8013.2324117581611</v>
      </c>
      <c r="D47" s="396"/>
      <c r="E47" s="396"/>
      <c r="F47" s="396"/>
      <c r="G47" s="396"/>
      <c r="H47" s="396"/>
      <c r="I47" s="396"/>
      <c r="J47" s="396"/>
      <c r="K47" s="396"/>
      <c r="L47" s="422"/>
      <c r="M47" s="422"/>
    </row>
    <row r="48" spans="1:13" ht="15.75" customHeight="1" x14ac:dyDescent="0.2">
      <c r="L48" s="415"/>
      <c r="M48" s="415"/>
    </row>
    <row r="49" spans="1:13" ht="15.75" customHeight="1" x14ac:dyDescent="0.2">
      <c r="A49" s="836" t="s">
        <v>702</v>
      </c>
      <c r="B49" s="887"/>
      <c r="C49" s="887"/>
      <c r="D49" s="887"/>
      <c r="E49" s="887"/>
      <c r="F49" s="887"/>
      <c r="G49" s="887"/>
      <c r="H49" s="887"/>
      <c r="I49" s="887"/>
      <c r="J49" s="887"/>
      <c r="K49" s="887"/>
      <c r="L49" s="888"/>
      <c r="M49" s="888"/>
    </row>
    <row r="50" spans="1:13" x14ac:dyDescent="0.2">
      <c r="A50" s="1" t="s">
        <v>703</v>
      </c>
      <c r="B50" s="384" t="s">
        <v>486</v>
      </c>
      <c r="C50" s="88">
        <f>C38</f>
        <v>8306.9745491556696</v>
      </c>
      <c r="D50" s="385"/>
      <c r="E50" s="385"/>
      <c r="F50" s="385"/>
      <c r="G50" s="385"/>
      <c r="H50" s="385"/>
      <c r="I50" s="385"/>
      <c r="J50" s="385"/>
      <c r="K50" s="385"/>
      <c r="L50" s="451"/>
      <c r="M50" s="451"/>
    </row>
    <row r="51" spans="1:13" x14ac:dyDescent="0.2">
      <c r="A51" s="1" t="s">
        <v>704</v>
      </c>
      <c r="B51" s="384" t="s">
        <v>486</v>
      </c>
      <c r="C51" s="88">
        <f>C38+C46</f>
        <v>9011.4549794776958</v>
      </c>
      <c r="D51" s="385"/>
      <c r="E51" s="385"/>
      <c r="F51" s="385"/>
      <c r="G51" s="385"/>
      <c r="H51" s="385"/>
      <c r="I51" s="385"/>
      <c r="J51" s="385"/>
      <c r="K51" s="385"/>
      <c r="L51" s="451"/>
      <c r="M51" s="451"/>
    </row>
    <row r="52" spans="1:13" x14ac:dyDescent="0.2">
      <c r="A52" s="3" t="s">
        <v>38</v>
      </c>
      <c r="B52" s="375" t="s">
        <v>486</v>
      </c>
      <c r="C52" s="87">
        <v>10100</v>
      </c>
      <c r="D52" s="8"/>
      <c r="E52" s="8"/>
      <c r="F52" s="8"/>
      <c r="G52" s="8"/>
      <c r="H52" s="8"/>
      <c r="I52" s="8"/>
      <c r="J52" s="8"/>
      <c r="K52" s="8"/>
      <c r="L52" s="421"/>
      <c r="M52" s="415"/>
    </row>
    <row r="53" spans="1:13" x14ac:dyDescent="0.2">
      <c r="A53" s="1" t="s">
        <v>705</v>
      </c>
      <c r="B53" s="375" t="s">
        <v>458</v>
      </c>
      <c r="C53" s="89">
        <f>C50/C52-1</f>
        <v>-0.17752727236082477</v>
      </c>
      <c r="D53" s="10"/>
      <c r="E53" s="10"/>
      <c r="F53" s="10"/>
      <c r="G53" s="10"/>
      <c r="H53" s="10"/>
      <c r="I53" s="10"/>
      <c r="J53" s="10"/>
      <c r="K53" s="10"/>
      <c r="L53" s="415"/>
      <c r="M53" s="415" t="s">
        <v>706</v>
      </c>
    </row>
    <row r="54" spans="1:13" ht="22" customHeight="1" x14ac:dyDescent="0.2">
      <c r="A54" s="32" t="s">
        <v>707</v>
      </c>
      <c r="B54" s="86" t="s">
        <v>458</v>
      </c>
      <c r="C54" s="413">
        <f>C51/C52-1</f>
        <v>-0.10777673470517868</v>
      </c>
      <c r="D54" s="28"/>
      <c r="E54" s="28"/>
      <c r="F54" s="28"/>
      <c r="G54" s="28"/>
      <c r="H54" s="28"/>
      <c r="I54" s="28"/>
      <c r="J54" s="28"/>
      <c r="K54" s="28"/>
      <c r="L54" s="415"/>
      <c r="M54" s="415" t="s">
        <v>708</v>
      </c>
    </row>
  </sheetData>
  <mergeCells count="9">
    <mergeCell ref="A29:M29"/>
    <mergeCell ref="A34:M34"/>
    <mergeCell ref="A42:M42"/>
    <mergeCell ref="A49:M49"/>
    <mergeCell ref="A1:M1"/>
    <mergeCell ref="A2:M2"/>
    <mergeCell ref="A3:M3"/>
    <mergeCell ref="A7:M7"/>
    <mergeCell ref="A17:M17"/>
  </mergeCells>
  <pageMargins left="0.75" right="0.75" top="1" bottom="1" header="0.5" footer="0.5"/>
  <pageSetup orientation="portrait" horizontalDpi="0" verticalDpi="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FB1E-221E-419A-9BFA-131F37C5155F}">
  <dimension ref="A1:N138"/>
  <sheetViews>
    <sheetView showGridLines="0" topLeftCell="A12" workbookViewId="0">
      <selection activeCell="I101" sqref="I101"/>
    </sheetView>
  </sheetViews>
  <sheetFormatPr baseColWidth="10" defaultColWidth="8.83203125" defaultRowHeight="15" x14ac:dyDescent="0.2"/>
  <cols>
    <col min="1" max="1" width="45.6640625" customWidth="1"/>
    <col min="2" max="2" width="21" customWidth="1"/>
    <col min="3" max="14" width="15.33203125" customWidth="1"/>
  </cols>
  <sheetData>
    <row r="1" spans="1:14" ht="21" x14ac:dyDescent="0.25">
      <c r="A1" s="746" t="s">
        <v>709</v>
      </c>
    </row>
    <row r="2" spans="1:14" x14ac:dyDescent="0.2">
      <c r="A2" s="747" t="s">
        <v>710</v>
      </c>
    </row>
    <row r="3" spans="1:14" x14ac:dyDescent="0.2">
      <c r="A3" s="747" t="s">
        <v>711</v>
      </c>
    </row>
    <row r="5" spans="1:14" ht="16" x14ac:dyDescent="0.2">
      <c r="A5" s="748" t="s">
        <v>712</v>
      </c>
    </row>
    <row r="6" spans="1:14" x14ac:dyDescent="0.2">
      <c r="A6" t="s">
        <v>713</v>
      </c>
    </row>
    <row r="7" spans="1:14" x14ac:dyDescent="0.2">
      <c r="A7" t="s">
        <v>714</v>
      </c>
    </row>
    <row r="8" spans="1:14" x14ac:dyDescent="0.2">
      <c r="A8" t="s">
        <v>715</v>
      </c>
    </row>
    <row r="9" spans="1:14" x14ac:dyDescent="0.2">
      <c r="A9" t="s">
        <v>716</v>
      </c>
    </row>
    <row r="10" spans="1:14" x14ac:dyDescent="0.2">
      <c r="A10" t="s">
        <v>717</v>
      </c>
    </row>
    <row r="13" spans="1:14" ht="16" x14ac:dyDescent="0.2">
      <c r="A13" s="748" t="s">
        <v>718</v>
      </c>
    </row>
    <row r="14" spans="1:14" x14ac:dyDescent="0.2">
      <c r="A14" s="747" t="s">
        <v>719</v>
      </c>
    </row>
    <row r="16" spans="1:14" x14ac:dyDescent="0.2">
      <c r="A16" s="751" t="s">
        <v>720</v>
      </c>
      <c r="B16" s="752" t="s">
        <v>721</v>
      </c>
      <c r="C16" s="753" t="s">
        <v>722</v>
      </c>
      <c r="D16" s="753" t="s">
        <v>723</v>
      </c>
      <c r="E16" s="753" t="s">
        <v>724</v>
      </c>
      <c r="F16" s="753" t="s">
        <v>725</v>
      </c>
      <c r="G16" s="753" t="s">
        <v>726</v>
      </c>
      <c r="H16" s="753" t="s">
        <v>727</v>
      </c>
      <c r="I16" s="753" t="s">
        <v>728</v>
      </c>
      <c r="J16" s="753" t="s">
        <v>729</v>
      </c>
      <c r="K16" s="753" t="s">
        <v>730</v>
      </c>
      <c r="L16" s="753" t="s">
        <v>731</v>
      </c>
      <c r="M16" s="754" t="s">
        <v>732</v>
      </c>
      <c r="N16" s="755" t="s">
        <v>733</v>
      </c>
    </row>
    <row r="17" spans="1:14" x14ac:dyDescent="0.2">
      <c r="A17" s="756" t="s">
        <v>734</v>
      </c>
      <c r="B17" s="757" t="s">
        <v>735</v>
      </c>
      <c r="C17" s="758">
        <v>1.0289999999999999</v>
      </c>
      <c r="D17" s="758">
        <v>1.0189999999999999</v>
      </c>
      <c r="E17" s="758">
        <v>0.216</v>
      </c>
      <c r="F17" s="759">
        <v>45250</v>
      </c>
      <c r="G17" s="759">
        <v>216</v>
      </c>
      <c r="H17" s="759">
        <v>2700</v>
      </c>
      <c r="I17" s="760">
        <f t="shared" ref="I17:I23" si="0">G17/F17</f>
        <v>4.7734806629834252E-3</v>
      </c>
      <c r="J17" s="761">
        <v>0.111</v>
      </c>
      <c r="K17" s="761">
        <v>0.21</v>
      </c>
      <c r="L17" s="762">
        <f>J17</f>
        <v>0.111</v>
      </c>
      <c r="M17" s="763">
        <f t="shared" ref="M17:M23" si="1">D17/(1+(1-L17)*I17)</f>
        <v>1.0146940197910199</v>
      </c>
      <c r="N17" s="764">
        <f t="shared" ref="N17:N23" si="2">C17/(1+(1-L17)*I17)</f>
        <v>1.0246517628704215</v>
      </c>
    </row>
    <row r="18" spans="1:14" x14ac:dyDescent="0.2">
      <c r="A18" s="756" t="s">
        <v>736</v>
      </c>
      <c r="B18" s="757" t="s">
        <v>737</v>
      </c>
      <c r="C18" s="758">
        <v>2.2829999999999999</v>
      </c>
      <c r="D18" s="758">
        <v>1.855</v>
      </c>
      <c r="E18" s="758">
        <v>0.185</v>
      </c>
      <c r="F18" s="759">
        <v>2200</v>
      </c>
      <c r="G18" s="759">
        <v>1950</v>
      </c>
      <c r="H18" s="759">
        <v>1180</v>
      </c>
      <c r="I18" s="760">
        <f t="shared" si="0"/>
        <v>0.88636363636363635</v>
      </c>
      <c r="J18" s="765" t="s">
        <v>738</v>
      </c>
      <c r="K18" s="761">
        <v>0.25</v>
      </c>
      <c r="L18" s="762">
        <f>K18</f>
        <v>0.25</v>
      </c>
      <c r="M18" s="763">
        <f t="shared" si="1"/>
        <v>1.1142662116040956</v>
      </c>
      <c r="N18" s="764">
        <f t="shared" si="2"/>
        <v>1.371358361774744</v>
      </c>
    </row>
    <row r="19" spans="1:14" x14ac:dyDescent="0.2">
      <c r="A19" s="756" t="s">
        <v>739</v>
      </c>
      <c r="B19" s="757" t="s">
        <v>740</v>
      </c>
      <c r="C19" s="758">
        <v>1.014</v>
      </c>
      <c r="D19" s="758">
        <v>1.01</v>
      </c>
      <c r="E19" s="758">
        <v>0.13400000000000001</v>
      </c>
      <c r="F19" s="759">
        <v>86260</v>
      </c>
      <c r="G19" s="759">
        <v>549</v>
      </c>
      <c r="H19" s="759">
        <v>7260</v>
      </c>
      <c r="I19" s="760">
        <f t="shared" si="0"/>
        <v>6.3644794806399256E-3</v>
      </c>
      <c r="J19" s="761">
        <v>7.9000000000000001E-2</v>
      </c>
      <c r="K19" s="761">
        <v>0.25</v>
      </c>
      <c r="L19" s="762">
        <f>J19</f>
        <v>7.9000000000000001E-2</v>
      </c>
      <c r="M19" s="763">
        <f t="shared" si="1"/>
        <v>1.0041141982616182</v>
      </c>
      <c r="N19" s="764">
        <f t="shared" si="2"/>
        <v>1.0080908881557236</v>
      </c>
    </row>
    <row r="20" spans="1:14" x14ac:dyDescent="0.2">
      <c r="A20" s="756" t="s">
        <v>741</v>
      </c>
      <c r="B20" s="757" t="s">
        <v>742</v>
      </c>
      <c r="C20" s="758">
        <v>1.08</v>
      </c>
      <c r="D20" s="758">
        <v>1.054</v>
      </c>
      <c r="E20" s="758">
        <v>0.11899999999999999</v>
      </c>
      <c r="F20" s="759">
        <v>22950</v>
      </c>
      <c r="G20" s="759">
        <v>1380</v>
      </c>
      <c r="H20" s="759">
        <v>2420</v>
      </c>
      <c r="I20" s="760">
        <f t="shared" si="0"/>
        <v>6.0130718954248367E-2</v>
      </c>
      <c r="J20" s="761">
        <v>0.221</v>
      </c>
      <c r="K20" s="761">
        <v>0.25</v>
      </c>
      <c r="L20" s="762">
        <f>J20</f>
        <v>0.221</v>
      </c>
      <c r="M20" s="763">
        <f t="shared" si="1"/>
        <v>1.0068378715189417</v>
      </c>
      <c r="N20" s="764">
        <f t="shared" si="2"/>
        <v>1.0316744793552721</v>
      </c>
    </row>
    <row r="21" spans="1:14" x14ac:dyDescent="0.2">
      <c r="A21" s="756" t="s">
        <v>743</v>
      </c>
      <c r="B21" s="757" t="s">
        <v>742</v>
      </c>
      <c r="C21" s="758">
        <v>0.96199999999999997</v>
      </c>
      <c r="D21" s="758">
        <v>0.97399999999999998</v>
      </c>
      <c r="E21" s="758">
        <v>0.18099999999999999</v>
      </c>
      <c r="F21" s="759">
        <v>30150</v>
      </c>
      <c r="G21" s="759">
        <v>843</v>
      </c>
      <c r="H21" s="759">
        <v>1660</v>
      </c>
      <c r="I21" s="760">
        <f t="shared" si="0"/>
        <v>2.7960199004975126E-2</v>
      </c>
      <c r="J21" s="761">
        <v>0.17899999999999999</v>
      </c>
      <c r="K21" s="761">
        <v>0.27</v>
      </c>
      <c r="L21" s="762">
        <f>J21</f>
        <v>0.17899999999999999</v>
      </c>
      <c r="M21" s="763">
        <f t="shared" si="1"/>
        <v>0.95214324392859973</v>
      </c>
      <c r="N21" s="764">
        <f t="shared" si="2"/>
        <v>0.94041252634426387</v>
      </c>
    </row>
    <row r="22" spans="1:14" x14ac:dyDescent="0.2">
      <c r="A22" s="756" t="s">
        <v>744</v>
      </c>
      <c r="B22" s="757" t="s">
        <v>742</v>
      </c>
      <c r="C22" s="758">
        <v>0.88500000000000001</v>
      </c>
      <c r="D22" s="758">
        <v>0.92400000000000004</v>
      </c>
      <c r="E22" s="758">
        <v>0.09</v>
      </c>
      <c r="F22" s="759">
        <v>9310</v>
      </c>
      <c r="G22" s="759">
        <v>559</v>
      </c>
      <c r="H22" s="759">
        <v>152</v>
      </c>
      <c r="I22" s="760">
        <f t="shared" si="0"/>
        <v>6.0042964554242753E-2</v>
      </c>
      <c r="J22" s="765" t="s">
        <v>738</v>
      </c>
      <c r="K22" s="761">
        <v>0.25</v>
      </c>
      <c r="L22" s="762">
        <f>K22</f>
        <v>0.25</v>
      </c>
      <c r="M22" s="763">
        <f t="shared" si="1"/>
        <v>0.88418326181360329</v>
      </c>
      <c r="N22" s="764">
        <f t="shared" si="2"/>
        <v>0.84686383842536672</v>
      </c>
    </row>
    <row r="23" spans="1:14" x14ac:dyDescent="0.2">
      <c r="A23" s="766" t="s">
        <v>745</v>
      </c>
      <c r="B23" s="767" t="s">
        <v>742</v>
      </c>
      <c r="C23" s="768">
        <v>0.81599999999999995</v>
      </c>
      <c r="D23" s="768">
        <v>0.877</v>
      </c>
      <c r="E23" s="768">
        <v>5.7000000000000002E-2</v>
      </c>
      <c r="F23" s="769">
        <v>4090</v>
      </c>
      <c r="G23" s="769">
        <v>729</v>
      </c>
      <c r="H23" s="769">
        <v>550</v>
      </c>
      <c r="I23" s="770">
        <f t="shared" si="0"/>
        <v>0.178239608801956</v>
      </c>
      <c r="J23" s="771" t="s">
        <v>738</v>
      </c>
      <c r="K23" s="772">
        <v>0.25</v>
      </c>
      <c r="L23" s="773">
        <f>K23</f>
        <v>0.25</v>
      </c>
      <c r="M23" s="774">
        <f t="shared" si="1"/>
        <v>0.77358710303553135</v>
      </c>
      <c r="N23" s="775">
        <f t="shared" si="2"/>
        <v>0.7197800183318056</v>
      </c>
    </row>
    <row r="24" spans="1:14" x14ac:dyDescent="0.2">
      <c r="A24" s="747" t="s">
        <v>746</v>
      </c>
    </row>
    <row r="27" spans="1:14" ht="16" x14ac:dyDescent="0.2">
      <c r="A27" s="748" t="s">
        <v>747</v>
      </c>
    </row>
    <row r="29" spans="1:14" ht="32" x14ac:dyDescent="0.2">
      <c r="A29" s="751" t="s">
        <v>721</v>
      </c>
      <c r="B29" s="752" t="s">
        <v>748</v>
      </c>
      <c r="C29" s="776" t="s">
        <v>749</v>
      </c>
      <c r="D29" s="777" t="s">
        <v>750</v>
      </c>
      <c r="E29" s="753" t="s">
        <v>751</v>
      </c>
      <c r="F29" s="753" t="s">
        <v>752</v>
      </c>
      <c r="G29" s="755" t="s">
        <v>753</v>
      </c>
    </row>
    <row r="30" spans="1:14" x14ac:dyDescent="0.2">
      <c r="A30" s="756" t="s">
        <v>735</v>
      </c>
      <c r="B30" s="757" t="s">
        <v>754</v>
      </c>
      <c r="C30" s="760">
        <f>MEDIAN(M17)</f>
        <v>1.0146940197910199</v>
      </c>
      <c r="D30" s="763">
        <f>MEDIAN(M17)</f>
        <v>1.0146940197910199</v>
      </c>
      <c r="E30" s="760">
        <f>MIN(M17)</f>
        <v>1.0146940197910199</v>
      </c>
      <c r="F30" s="760">
        <f>MAX(M17)</f>
        <v>1.0146940197910199</v>
      </c>
      <c r="G30" s="764">
        <f>F30-E30</f>
        <v>0</v>
      </c>
    </row>
    <row r="31" spans="1:14" x14ac:dyDescent="0.2">
      <c r="A31" s="756" t="s">
        <v>755</v>
      </c>
      <c r="B31" s="757" t="s">
        <v>756</v>
      </c>
      <c r="C31" s="760">
        <f>MEDIAN(M18:M19)</f>
        <v>1.059190204932857</v>
      </c>
      <c r="D31" s="763">
        <f>MEDIAN(M19)</f>
        <v>1.0041141982616182</v>
      </c>
      <c r="E31" s="760">
        <f>MIN(M18:M19)</f>
        <v>1.0041141982616182</v>
      </c>
      <c r="F31" s="760">
        <f>MAX(M18:M19)</f>
        <v>1.1142662116040956</v>
      </c>
      <c r="G31" s="764">
        <f>F31-E31</f>
        <v>0.11015201334247737</v>
      </c>
    </row>
    <row r="32" spans="1:14" x14ac:dyDescent="0.2">
      <c r="A32" s="766" t="s">
        <v>742</v>
      </c>
      <c r="B32" s="767" t="s">
        <v>757</v>
      </c>
      <c r="C32" s="770">
        <f>MEDIAN(M20:M23)</f>
        <v>0.91816325287110145</v>
      </c>
      <c r="D32" s="774">
        <f>MEDIAN(M20:M23)</f>
        <v>0.91816325287110145</v>
      </c>
      <c r="E32" s="770">
        <f>MIN(M20:M23)</f>
        <v>0.77358710303553135</v>
      </c>
      <c r="F32" s="770">
        <f>MAX(M20:M23)</f>
        <v>1.0068378715189417</v>
      </c>
      <c r="G32" s="775">
        <f>F32-E32</f>
        <v>0.23325076848341031</v>
      </c>
    </row>
    <row r="33" spans="1:7" x14ac:dyDescent="0.2">
      <c r="A33" s="747" t="s">
        <v>758</v>
      </c>
    </row>
    <row r="34" spans="1:7" x14ac:dyDescent="0.2">
      <c r="A34" s="747" t="s">
        <v>759</v>
      </c>
    </row>
    <row r="35" spans="1:7" x14ac:dyDescent="0.2">
      <c r="A35" s="747" t="s">
        <v>760</v>
      </c>
    </row>
    <row r="37" spans="1:7" ht="16" x14ac:dyDescent="0.2">
      <c r="A37" s="748" t="s">
        <v>761</v>
      </c>
    </row>
    <row r="39" spans="1:7" ht="32" x14ac:dyDescent="0.2">
      <c r="A39" s="751" t="s">
        <v>721</v>
      </c>
      <c r="B39" s="753" t="s">
        <v>762</v>
      </c>
      <c r="C39" s="778" t="s">
        <v>763</v>
      </c>
      <c r="D39" s="753" t="s">
        <v>764</v>
      </c>
      <c r="E39" s="753" t="s">
        <v>765</v>
      </c>
      <c r="F39" s="753" t="s">
        <v>766</v>
      </c>
      <c r="G39" s="779" t="s">
        <v>767</v>
      </c>
    </row>
    <row r="40" spans="1:7" x14ac:dyDescent="0.2">
      <c r="A40" s="756" t="s">
        <v>735</v>
      </c>
      <c r="B40" s="760">
        <f>D30</f>
        <v>1.0146940197910199</v>
      </c>
      <c r="C40" s="757" t="s">
        <v>768</v>
      </c>
      <c r="D40" s="758">
        <v>0.83</v>
      </c>
      <c r="E40" s="765">
        <v>8</v>
      </c>
      <c r="F40" s="780">
        <f>B40-D40</f>
        <v>0.18469401979101996</v>
      </c>
      <c r="G40" s="781">
        <v>0.4</v>
      </c>
    </row>
    <row r="41" spans="1:7" x14ac:dyDescent="0.2">
      <c r="A41" s="756" t="s">
        <v>755</v>
      </c>
      <c r="B41" s="760">
        <f>D31</f>
        <v>1.0041141982616182</v>
      </c>
      <c r="C41" s="757" t="s">
        <v>769</v>
      </c>
      <c r="D41" s="758">
        <v>1.01</v>
      </c>
      <c r="E41" s="765">
        <v>77</v>
      </c>
      <c r="F41" s="780">
        <f>B41-D41</f>
        <v>-5.885801738381824E-3</v>
      </c>
      <c r="G41" s="781">
        <v>0.43</v>
      </c>
    </row>
    <row r="42" spans="1:7" x14ac:dyDescent="0.2">
      <c r="A42" s="766" t="s">
        <v>742</v>
      </c>
      <c r="B42" s="770">
        <f>D32</f>
        <v>0.91816325287110145</v>
      </c>
      <c r="C42" s="767" t="s">
        <v>770</v>
      </c>
      <c r="D42" s="768">
        <v>0.99</v>
      </c>
      <c r="E42" s="771">
        <v>115</v>
      </c>
      <c r="F42" s="782">
        <f>B42-D42</f>
        <v>-7.1836747128898537E-2</v>
      </c>
      <c r="G42" s="783">
        <v>0.39</v>
      </c>
    </row>
    <row r="43" spans="1:7" x14ac:dyDescent="0.2">
      <c r="A43" s="747" t="s">
        <v>771</v>
      </c>
    </row>
    <row r="46" spans="1:7" ht="16" x14ac:dyDescent="0.2">
      <c r="A46" s="748" t="s">
        <v>772</v>
      </c>
    </row>
    <row r="47" spans="1:7" x14ac:dyDescent="0.2">
      <c r="A47" s="747" t="s">
        <v>773</v>
      </c>
    </row>
    <row r="49" spans="1:11" ht="32" x14ac:dyDescent="0.2">
      <c r="A49" s="751" t="s">
        <v>774</v>
      </c>
      <c r="B49" s="753" t="s">
        <v>775</v>
      </c>
      <c r="C49" s="753" t="s">
        <v>776</v>
      </c>
      <c r="D49" s="753" t="s">
        <v>777</v>
      </c>
      <c r="E49" s="753" t="s">
        <v>778</v>
      </c>
      <c r="F49" s="753" t="s">
        <v>779</v>
      </c>
      <c r="G49" s="753" t="s">
        <v>780</v>
      </c>
      <c r="H49" s="754" t="s">
        <v>781</v>
      </c>
      <c r="I49" s="753" t="s">
        <v>782</v>
      </c>
      <c r="J49" s="753" t="s">
        <v>766</v>
      </c>
      <c r="K49" s="779" t="s">
        <v>783</v>
      </c>
    </row>
    <row r="50" spans="1:11" x14ac:dyDescent="0.2">
      <c r="A50" s="784" t="s">
        <v>784</v>
      </c>
      <c r="B50" s="785">
        <f>Assumptions!C84</f>
        <v>0.4</v>
      </c>
      <c r="C50" s="785">
        <f>Assumptions!C85</f>
        <v>0.4</v>
      </c>
      <c r="D50" s="785">
        <f>Assumptions!C86</f>
        <v>0.2</v>
      </c>
      <c r="E50" s="760">
        <f>$D$30</f>
        <v>1.0146940197910199</v>
      </c>
      <c r="F50" s="760">
        <f>$D$31</f>
        <v>1.0041141982616182</v>
      </c>
      <c r="G50" s="760">
        <f>$D$32</f>
        <v>0.91816325287110145</v>
      </c>
      <c r="H50" s="763">
        <f>B50*E50+C50*F50+D50*G50</f>
        <v>0.99115593779527555</v>
      </c>
      <c r="I50" s="786">
        <f>Assumptions!C71</f>
        <v>0.85</v>
      </c>
      <c r="J50" s="787">
        <f>H50-I50</f>
        <v>0.14115593779527558</v>
      </c>
      <c r="K50" s="764">
        <f>B50*$C$30+C50*$C$31+D50*$C$32</f>
        <v>1.0131863404637711</v>
      </c>
    </row>
    <row r="51" spans="1:11" x14ac:dyDescent="0.2">
      <c r="A51" s="784" t="s">
        <v>785</v>
      </c>
      <c r="B51" s="785">
        <f>Assumptions!D84</f>
        <v>0.2</v>
      </c>
      <c r="C51" s="785">
        <f>Assumptions!D85</f>
        <v>0.4</v>
      </c>
      <c r="D51" s="785">
        <f>Assumptions!D86</f>
        <v>0.4</v>
      </c>
      <c r="E51" s="760">
        <f>$D$30</f>
        <v>1.0146940197910199</v>
      </c>
      <c r="F51" s="760">
        <f>$D$31</f>
        <v>1.0041141982616182</v>
      </c>
      <c r="G51" s="760">
        <f>$D$32</f>
        <v>0.91816325287110145</v>
      </c>
      <c r="H51" s="763">
        <f>B51*E51+C51*F51+D51*G51</f>
        <v>0.97184978441129188</v>
      </c>
      <c r="I51" s="786">
        <f>Assumptions!D71</f>
        <v>0.83</v>
      </c>
      <c r="J51" s="787">
        <f>H51-I51</f>
        <v>0.14184978441129192</v>
      </c>
      <c r="K51" s="764">
        <f>B51*$C$30+C51*$C$31+D51*$C$32</f>
        <v>0.99388018707978742</v>
      </c>
    </row>
    <row r="52" spans="1:11" x14ac:dyDescent="0.2">
      <c r="A52" s="788" t="s">
        <v>786</v>
      </c>
      <c r="B52" s="789">
        <f>Assumptions!E84</f>
        <v>0.1</v>
      </c>
      <c r="C52" s="789">
        <f>Assumptions!E85</f>
        <v>0.3</v>
      </c>
      <c r="D52" s="789">
        <f>Assumptions!E86</f>
        <v>0.6</v>
      </c>
      <c r="E52" s="770">
        <f>$D$30</f>
        <v>1.0146940197910199</v>
      </c>
      <c r="F52" s="770">
        <f>$D$31</f>
        <v>1.0041141982616182</v>
      </c>
      <c r="G52" s="770">
        <f>$D$32</f>
        <v>0.91816325287110145</v>
      </c>
      <c r="H52" s="774">
        <f>B52*E52+C52*F52+D52*G52</f>
        <v>0.95360161318024828</v>
      </c>
      <c r="I52" s="790">
        <f>Assumptions!E71</f>
        <v>0.81</v>
      </c>
      <c r="J52" s="791">
        <f>H52-I52</f>
        <v>0.14360161318024822</v>
      </c>
      <c r="K52" s="775">
        <f>B52*$C$30+C52*$C$31+D52*$C$32</f>
        <v>0.97012441518161996</v>
      </c>
    </row>
    <row r="53" spans="1:11" x14ac:dyDescent="0.2">
      <c r="A53" s="747" t="s">
        <v>787</v>
      </c>
    </row>
    <row r="54" spans="1:11" x14ac:dyDescent="0.2">
      <c r="A54" s="747" t="s">
        <v>788</v>
      </c>
    </row>
    <row r="57" spans="1:11" ht="16" x14ac:dyDescent="0.2">
      <c r="A57" s="748" t="s">
        <v>789</v>
      </c>
    </row>
    <row r="58" spans="1:11" x14ac:dyDescent="0.2">
      <c r="A58" s="747" t="s">
        <v>790</v>
      </c>
    </row>
    <row r="60" spans="1:11" x14ac:dyDescent="0.2">
      <c r="A60" s="751" t="s">
        <v>791</v>
      </c>
      <c r="B60" s="792"/>
      <c r="C60" s="755" t="s">
        <v>792</v>
      </c>
    </row>
    <row r="61" spans="1:11" x14ac:dyDescent="0.2">
      <c r="A61" s="756" t="s">
        <v>793</v>
      </c>
      <c r="B61" s="757"/>
      <c r="C61" s="793">
        <v>4.4600000000000001E-2</v>
      </c>
    </row>
    <row r="62" spans="1:11" x14ac:dyDescent="0.2">
      <c r="A62" s="756" t="s">
        <v>794</v>
      </c>
      <c r="B62" s="757"/>
      <c r="C62" s="793">
        <v>4.5999999999999999E-2</v>
      </c>
    </row>
    <row r="63" spans="1:11" x14ac:dyDescent="0.2">
      <c r="A63" s="756" t="s">
        <v>795</v>
      </c>
      <c r="B63" s="757"/>
      <c r="C63" s="793">
        <v>4.53E-2</v>
      </c>
    </row>
    <row r="64" spans="1:11" x14ac:dyDescent="0.2">
      <c r="A64" s="756" t="s">
        <v>796</v>
      </c>
      <c r="B64" s="757"/>
      <c r="C64" s="793">
        <v>5.7000000000000002E-2</v>
      </c>
    </row>
    <row r="65" spans="1:5" x14ac:dyDescent="0.2">
      <c r="A65" s="756"/>
      <c r="B65" s="757"/>
      <c r="C65" s="794"/>
    </row>
    <row r="66" spans="1:5" x14ac:dyDescent="0.2">
      <c r="A66" s="788" t="s">
        <v>797</v>
      </c>
      <c r="B66" s="767"/>
      <c r="C66" s="795">
        <f>0.5*C62+0.3*C63+0.2*C64</f>
        <v>4.7989999999999998E-2</v>
      </c>
    </row>
    <row r="68" spans="1:5" x14ac:dyDescent="0.2">
      <c r="A68" s="751" t="s">
        <v>798</v>
      </c>
      <c r="B68" s="753" t="s">
        <v>799</v>
      </c>
      <c r="C68" s="753" t="s">
        <v>800</v>
      </c>
      <c r="D68" s="753" t="s">
        <v>801</v>
      </c>
      <c r="E68" s="796" t="s">
        <v>802</v>
      </c>
    </row>
    <row r="69" spans="1:5" x14ac:dyDescent="0.2">
      <c r="A69" s="756" t="s">
        <v>803</v>
      </c>
      <c r="B69" s="797">
        <v>0.35</v>
      </c>
      <c r="C69" s="798">
        <f>(1-B69)*$C$61</f>
        <v>2.8990000000000002E-2</v>
      </c>
      <c r="D69" s="798">
        <f>B69*$C$66</f>
        <v>1.6796499999999999E-2</v>
      </c>
      <c r="E69" s="799">
        <f>C69+D69</f>
        <v>4.5786500000000001E-2</v>
      </c>
    </row>
    <row r="70" spans="1:5" x14ac:dyDescent="0.2">
      <c r="A70" s="784" t="s">
        <v>804</v>
      </c>
      <c r="B70" s="800">
        <v>0.42</v>
      </c>
      <c r="C70" s="798">
        <f>(1-B70)*$C$61</f>
        <v>2.5868000000000002E-2</v>
      </c>
      <c r="D70" s="798">
        <f>B70*$C$66</f>
        <v>2.0155799999999998E-2</v>
      </c>
      <c r="E70" s="801">
        <f>C70+D70</f>
        <v>4.6023800000000004E-2</v>
      </c>
    </row>
    <row r="71" spans="1:5" x14ac:dyDescent="0.2">
      <c r="A71" s="766" t="s">
        <v>805</v>
      </c>
      <c r="B71" s="802">
        <v>0.5</v>
      </c>
      <c r="C71" s="803">
        <f>(1-B71)*$C$61</f>
        <v>2.23E-2</v>
      </c>
      <c r="D71" s="803">
        <f>B71*$C$66</f>
        <v>2.3994999999999999E-2</v>
      </c>
      <c r="E71" s="804">
        <f>C71+D71</f>
        <v>4.6295000000000003E-2</v>
      </c>
    </row>
    <row r="72" spans="1:5" x14ac:dyDescent="0.2">
      <c r="A72" s="747" t="s">
        <v>806</v>
      </c>
    </row>
    <row r="75" spans="1:5" ht="16" x14ac:dyDescent="0.2">
      <c r="A75" s="748" t="s">
        <v>807</v>
      </c>
    </row>
    <row r="76" spans="1:5" x14ac:dyDescent="0.2">
      <c r="A76" s="747" t="s">
        <v>808</v>
      </c>
    </row>
    <row r="78" spans="1:5" x14ac:dyDescent="0.2">
      <c r="A78" s="751" t="s">
        <v>809</v>
      </c>
      <c r="B78" s="792"/>
      <c r="C78" s="805"/>
    </row>
    <row r="79" spans="1:5" x14ac:dyDescent="0.2">
      <c r="A79" s="756" t="s">
        <v>810</v>
      </c>
      <c r="B79" s="757"/>
      <c r="C79" s="806">
        <f>Assumptions!D74-Assumptions!D73</f>
        <v>8.8449999999999987E-2</v>
      </c>
    </row>
    <row r="80" spans="1:5" x14ac:dyDescent="0.2">
      <c r="A80" s="756" t="s">
        <v>811</v>
      </c>
      <c r="B80" s="757"/>
      <c r="C80" s="806">
        <f>Assumptions!D80</f>
        <v>0.03</v>
      </c>
    </row>
    <row r="81" spans="1:6" x14ac:dyDescent="0.2">
      <c r="A81" s="766" t="s">
        <v>812</v>
      </c>
      <c r="B81" s="767"/>
      <c r="C81" s="804">
        <f>C79-C80</f>
        <v>5.8449999999999988E-2</v>
      </c>
    </row>
    <row r="83" spans="1:6" x14ac:dyDescent="0.2">
      <c r="A83" s="751" t="s">
        <v>813</v>
      </c>
      <c r="B83" s="753" t="s">
        <v>814</v>
      </c>
      <c r="C83" s="753" t="s">
        <v>815</v>
      </c>
      <c r="D83" s="753" t="s">
        <v>816</v>
      </c>
      <c r="E83" s="753" t="s">
        <v>817</v>
      </c>
      <c r="F83" s="796" t="s">
        <v>818</v>
      </c>
    </row>
    <row r="84" spans="1:6" x14ac:dyDescent="0.2">
      <c r="A84" s="756" t="s">
        <v>819</v>
      </c>
      <c r="B84" s="797">
        <v>0.15</v>
      </c>
      <c r="C84" s="807">
        <f>-B84</f>
        <v>-0.15</v>
      </c>
      <c r="D84" s="760">
        <f>1/(1-B84)</f>
        <v>1.1764705882352942</v>
      </c>
      <c r="E84" s="798">
        <f>$C$81*D84</f>
        <v>6.8764705882352936E-2</v>
      </c>
      <c r="F84" s="799">
        <f>E84-$C$81</f>
        <v>1.0314705882352948E-2</v>
      </c>
    </row>
    <row r="85" spans="1:6" x14ac:dyDescent="0.2">
      <c r="A85" s="784" t="s">
        <v>820</v>
      </c>
      <c r="B85" s="800">
        <v>0.25</v>
      </c>
      <c r="C85" s="807">
        <f>-B85</f>
        <v>-0.25</v>
      </c>
      <c r="D85" s="760">
        <f>1/(1-B85)</f>
        <v>1.3333333333333333</v>
      </c>
      <c r="E85" s="798">
        <f>$C$81*D85</f>
        <v>7.7933333333333313E-2</v>
      </c>
      <c r="F85" s="801">
        <f>E85-$C$81</f>
        <v>1.9483333333333325E-2</v>
      </c>
    </row>
    <row r="86" spans="1:6" x14ac:dyDescent="0.2">
      <c r="A86" s="766" t="s">
        <v>821</v>
      </c>
      <c r="B86" s="802">
        <v>0.35</v>
      </c>
      <c r="C86" s="808">
        <f>-B86</f>
        <v>-0.35</v>
      </c>
      <c r="D86" s="770">
        <f>1/(1-B86)</f>
        <v>1.5384615384615383</v>
      </c>
      <c r="E86" s="803">
        <f>$C$81*D86</f>
        <v>8.9923076923076897E-2</v>
      </c>
      <c r="F86" s="804">
        <f>E86-$C$81</f>
        <v>3.1473076923076909E-2</v>
      </c>
    </row>
    <row r="88" spans="1:6" x14ac:dyDescent="0.2">
      <c r="A88" s="751" t="s">
        <v>822</v>
      </c>
      <c r="B88" s="753" t="s">
        <v>58</v>
      </c>
      <c r="C88" s="754" t="s">
        <v>54</v>
      </c>
      <c r="D88" s="755" t="s">
        <v>59</v>
      </c>
    </row>
    <row r="89" spans="1:6" x14ac:dyDescent="0.2">
      <c r="A89" s="756" t="s">
        <v>823</v>
      </c>
      <c r="B89" s="761">
        <v>2.5000000000000001E-2</v>
      </c>
      <c r="C89" s="809">
        <v>0.02</v>
      </c>
      <c r="D89" s="810">
        <v>1.4999999999999999E-2</v>
      </c>
    </row>
    <row r="90" spans="1:6" x14ac:dyDescent="0.2">
      <c r="A90" s="766" t="s">
        <v>824</v>
      </c>
      <c r="B90" s="811">
        <f>Assumptions!C73</f>
        <v>0.03</v>
      </c>
      <c r="C90" s="811">
        <f>Assumptions!D73</f>
        <v>0.02</v>
      </c>
      <c r="D90" s="812">
        <f>Assumptions!E73</f>
        <v>0.01</v>
      </c>
    </row>
    <row r="91" spans="1:6" x14ac:dyDescent="0.2">
      <c r="A91" s="747" t="s">
        <v>825</v>
      </c>
    </row>
    <row r="92" spans="1:6" x14ac:dyDescent="0.2">
      <c r="A92" s="747" t="s">
        <v>826</v>
      </c>
    </row>
    <row r="95" spans="1:6" ht="16" x14ac:dyDescent="0.2">
      <c r="A95" s="748" t="s">
        <v>827</v>
      </c>
    </row>
    <row r="96" spans="1:6" x14ac:dyDescent="0.2">
      <c r="A96" s="747" t="s">
        <v>828</v>
      </c>
    </row>
    <row r="98" spans="1:8" ht="32" x14ac:dyDescent="0.2">
      <c r="A98" s="751" t="s">
        <v>829</v>
      </c>
      <c r="B98" s="776" t="s">
        <v>830</v>
      </c>
      <c r="C98" s="753"/>
      <c r="D98" s="753"/>
      <c r="E98" s="754" t="s">
        <v>831</v>
      </c>
      <c r="F98" s="754"/>
      <c r="G98" s="754"/>
      <c r="H98" s="755" t="s">
        <v>832</v>
      </c>
    </row>
    <row r="99" spans="1:8" x14ac:dyDescent="0.2">
      <c r="A99" s="784"/>
      <c r="B99" s="813" t="s">
        <v>58</v>
      </c>
      <c r="C99" s="813" t="s">
        <v>54</v>
      </c>
      <c r="D99" s="813" t="s">
        <v>59</v>
      </c>
      <c r="E99" s="814" t="s">
        <v>58</v>
      </c>
      <c r="F99" s="814" t="s">
        <v>54</v>
      </c>
      <c r="G99" s="814" t="s">
        <v>59</v>
      </c>
      <c r="H99" s="794"/>
    </row>
    <row r="100" spans="1:8" x14ac:dyDescent="0.2">
      <c r="A100" s="756" t="s">
        <v>833</v>
      </c>
      <c r="B100" s="815">
        <f>Assumptions!C69</f>
        <v>4.2999999999999997E-2</v>
      </c>
      <c r="C100" s="815">
        <f>Assumptions!D69</f>
        <v>4.2999999999999997E-2</v>
      </c>
      <c r="D100" s="815">
        <f>Assumptions!E69</f>
        <v>4.2999999999999997E-2</v>
      </c>
      <c r="E100" s="815">
        <f>Assumptions!C69</f>
        <v>4.2999999999999997E-2</v>
      </c>
      <c r="F100" s="815">
        <f>Assumptions!D69</f>
        <v>4.2999999999999997E-2</v>
      </c>
      <c r="G100" s="815">
        <f>Assumptions!E69</f>
        <v>4.2999999999999997E-2</v>
      </c>
      <c r="H100" s="816">
        <f>F100-C100</f>
        <v>0</v>
      </c>
    </row>
    <row r="101" spans="1:8" x14ac:dyDescent="0.2">
      <c r="A101" s="756" t="s">
        <v>252</v>
      </c>
      <c r="B101" s="815">
        <f>Assumptions!C70</f>
        <v>4.4999999999999998E-2</v>
      </c>
      <c r="C101" s="815">
        <f>Assumptions!D70</f>
        <v>4.4999999999999998E-2</v>
      </c>
      <c r="D101" s="815">
        <f>Assumptions!E70</f>
        <v>4.4999999999999998E-2</v>
      </c>
      <c r="E101" s="798">
        <f>$E$70</f>
        <v>4.6023800000000004E-2</v>
      </c>
      <c r="F101" s="798">
        <f>$E$70</f>
        <v>4.6023800000000004E-2</v>
      </c>
      <c r="G101" s="798">
        <f>$E$70</f>
        <v>4.6023800000000004E-2</v>
      </c>
      <c r="H101" s="816">
        <f>F101-C101</f>
        <v>1.0238000000000053E-3</v>
      </c>
    </row>
    <row r="102" spans="1:8" x14ac:dyDescent="0.2">
      <c r="A102" s="756" t="s">
        <v>834</v>
      </c>
      <c r="B102" s="786">
        <f>Assumptions!C71</f>
        <v>0.85</v>
      </c>
      <c r="C102" s="786">
        <f>Assumptions!D71</f>
        <v>0.83</v>
      </c>
      <c r="D102" s="786">
        <f>Assumptions!E71</f>
        <v>0.81</v>
      </c>
      <c r="E102" s="760">
        <f>$H$50</f>
        <v>0.99115593779527555</v>
      </c>
      <c r="F102" s="760">
        <f>$H$51</f>
        <v>0.97184978441129188</v>
      </c>
      <c r="G102" s="760">
        <f>$H$52</f>
        <v>0.95360161318024828</v>
      </c>
      <c r="H102" s="817">
        <f>F102-C102</f>
        <v>0.14184978441129192</v>
      </c>
    </row>
    <row r="103" spans="1:8" x14ac:dyDescent="0.2">
      <c r="A103" s="756" t="s">
        <v>835</v>
      </c>
      <c r="B103" s="815">
        <f>Assumptions!C72</f>
        <v>8.0999999999999996E-3</v>
      </c>
      <c r="C103" s="815">
        <f>Assumptions!D72</f>
        <v>8.0999999999999996E-3</v>
      </c>
      <c r="D103" s="815">
        <f>Assumptions!E72</f>
        <v>8.0999999999999996E-3</v>
      </c>
      <c r="E103" s="815">
        <f>Assumptions!C72</f>
        <v>8.0999999999999996E-3</v>
      </c>
      <c r="F103" s="815">
        <f>Assumptions!D72</f>
        <v>8.0999999999999996E-3</v>
      </c>
      <c r="G103" s="815">
        <f>Assumptions!E72</f>
        <v>8.0999999999999996E-3</v>
      </c>
      <c r="H103" s="816">
        <f>F103-C103</f>
        <v>0</v>
      </c>
    </row>
    <row r="104" spans="1:8" x14ac:dyDescent="0.2">
      <c r="A104" s="756" t="s">
        <v>836</v>
      </c>
      <c r="B104" s="815">
        <f>Assumptions!C73</f>
        <v>0.03</v>
      </c>
      <c r="C104" s="815">
        <f>Assumptions!D73</f>
        <v>0.02</v>
      </c>
      <c r="D104" s="815">
        <f>Assumptions!E73</f>
        <v>0.01</v>
      </c>
      <c r="E104" s="798">
        <f>$B$89</f>
        <v>2.5000000000000001E-2</v>
      </c>
      <c r="F104" s="798">
        <f>$C$89</f>
        <v>0.02</v>
      </c>
      <c r="G104" s="798">
        <f>$D$89</f>
        <v>1.4999999999999999E-2</v>
      </c>
      <c r="H104" s="816">
        <f>F104-C104</f>
        <v>0</v>
      </c>
    </row>
    <row r="105" spans="1:8" x14ac:dyDescent="0.2">
      <c r="A105" s="756"/>
      <c r="B105" s="757"/>
      <c r="C105" s="757"/>
      <c r="D105" s="757"/>
      <c r="E105" s="757"/>
      <c r="F105" s="757"/>
      <c r="G105" s="757"/>
      <c r="H105" s="794"/>
    </row>
    <row r="106" spans="1:8" x14ac:dyDescent="0.2">
      <c r="A106" s="788" t="s">
        <v>837</v>
      </c>
      <c r="B106" s="818">
        <f t="shared" ref="B106:G106" si="3">B100+B101*B102+B103+B104</f>
        <v>0.11934999999999998</v>
      </c>
      <c r="C106" s="818">
        <f t="shared" si="3"/>
        <v>0.10844999999999999</v>
      </c>
      <c r="D106" s="818">
        <f t="shared" si="3"/>
        <v>9.7549999999999984E-2</v>
      </c>
      <c r="E106" s="819">
        <f t="shared" si="3"/>
        <v>0.12171676264990219</v>
      </c>
      <c r="F106" s="819">
        <f t="shared" si="3"/>
        <v>0.11582822010778841</v>
      </c>
      <c r="G106" s="819">
        <f t="shared" si="3"/>
        <v>0.10998836992468511</v>
      </c>
      <c r="H106" s="820">
        <f>F106-C106</f>
        <v>7.3782201077884219E-3</v>
      </c>
    </row>
    <row r="108" spans="1:8" x14ac:dyDescent="0.2">
      <c r="A108" s="751" t="s">
        <v>838</v>
      </c>
      <c r="B108" s="792"/>
      <c r="C108" s="755" t="s">
        <v>839</v>
      </c>
    </row>
    <row r="109" spans="1:8" x14ac:dyDescent="0.2">
      <c r="A109" s="756" t="s">
        <v>840</v>
      </c>
      <c r="B109" s="757"/>
      <c r="C109" s="816">
        <f>(F102-C102)*F101</f>
        <v>6.5284661077884181E-3</v>
      </c>
    </row>
    <row r="110" spans="1:8" x14ac:dyDescent="0.2">
      <c r="A110" s="756" t="s">
        <v>841</v>
      </c>
      <c r="B110" s="757"/>
      <c r="C110" s="816">
        <f>(F101-C101)*C102</f>
        <v>8.4975400000000432E-4</v>
      </c>
    </row>
    <row r="111" spans="1:8" x14ac:dyDescent="0.2">
      <c r="A111" s="756" t="s">
        <v>842</v>
      </c>
      <c r="B111" s="757"/>
      <c r="C111" s="816">
        <f>F104-C104</f>
        <v>0</v>
      </c>
    </row>
    <row r="112" spans="1:8" x14ac:dyDescent="0.2">
      <c r="A112" s="788" t="s">
        <v>843</v>
      </c>
      <c r="B112" s="767"/>
      <c r="C112" s="820">
        <f>SUM(C109:C111)</f>
        <v>7.3782201077884227E-3</v>
      </c>
    </row>
    <row r="114" spans="1:7" x14ac:dyDescent="0.2">
      <c r="A114" s="747" t="s">
        <v>844</v>
      </c>
    </row>
    <row r="115" spans="1:7" x14ac:dyDescent="0.2">
      <c r="A115" s="749" t="s">
        <v>845</v>
      </c>
    </row>
    <row r="118" spans="1:7" ht="16" x14ac:dyDescent="0.2">
      <c r="A118" s="748" t="s">
        <v>846</v>
      </c>
    </row>
    <row r="120" spans="1:7" x14ac:dyDescent="0.2">
      <c r="A120" s="821" t="s">
        <v>483</v>
      </c>
      <c r="B120" s="752" t="s">
        <v>847</v>
      </c>
      <c r="C120" s="792"/>
      <c r="D120" s="752" t="s">
        <v>848</v>
      </c>
      <c r="E120" s="792"/>
      <c r="F120" s="792"/>
      <c r="G120" s="805"/>
    </row>
    <row r="121" spans="1:7" x14ac:dyDescent="0.2">
      <c r="A121" s="822">
        <v>1</v>
      </c>
      <c r="B121" s="826" t="s">
        <v>849</v>
      </c>
      <c r="C121" s="826"/>
      <c r="D121" s="826" t="s">
        <v>850</v>
      </c>
      <c r="E121" s="826"/>
      <c r="F121" s="826"/>
      <c r="G121" s="827"/>
    </row>
    <row r="122" spans="1:7" x14ac:dyDescent="0.2">
      <c r="A122" s="822">
        <v>2</v>
      </c>
      <c r="B122" s="826" t="s">
        <v>851</v>
      </c>
      <c r="C122" s="826"/>
      <c r="D122" s="826" t="s">
        <v>852</v>
      </c>
      <c r="E122" s="826"/>
      <c r="F122" s="826"/>
      <c r="G122" s="827"/>
    </row>
    <row r="123" spans="1:7" x14ac:dyDescent="0.2">
      <c r="A123" s="822">
        <v>3</v>
      </c>
      <c r="B123" s="826" t="s">
        <v>853</v>
      </c>
      <c r="C123" s="826"/>
      <c r="D123" s="826" t="s">
        <v>854</v>
      </c>
      <c r="E123" s="826"/>
      <c r="F123" s="826"/>
      <c r="G123" s="827"/>
    </row>
    <row r="124" spans="1:7" x14ac:dyDescent="0.2">
      <c r="A124" s="822">
        <v>4</v>
      </c>
      <c r="B124" s="826" t="s">
        <v>855</v>
      </c>
      <c r="C124" s="826"/>
      <c r="D124" s="826" t="s">
        <v>856</v>
      </c>
      <c r="E124" s="826"/>
      <c r="F124" s="826"/>
      <c r="G124" s="827"/>
    </row>
    <row r="125" spans="1:7" x14ac:dyDescent="0.2">
      <c r="A125" s="822">
        <v>5</v>
      </c>
      <c r="B125" s="826" t="s">
        <v>857</v>
      </c>
      <c r="C125" s="826"/>
      <c r="D125" s="826" t="s">
        <v>858</v>
      </c>
      <c r="E125" s="826"/>
      <c r="F125" s="826"/>
      <c r="G125" s="827"/>
    </row>
    <row r="126" spans="1:7" x14ac:dyDescent="0.2">
      <c r="A126" s="822">
        <v>6</v>
      </c>
      <c r="B126" s="826" t="s">
        <v>859</v>
      </c>
      <c r="C126" s="826"/>
      <c r="D126" s="826" t="s">
        <v>860</v>
      </c>
      <c r="E126" s="826"/>
      <c r="F126" s="826"/>
      <c r="G126" s="827"/>
    </row>
    <row r="127" spans="1:7" x14ac:dyDescent="0.2">
      <c r="A127" s="822">
        <v>7</v>
      </c>
      <c r="B127" s="826" t="s">
        <v>861</v>
      </c>
      <c r="C127" s="826"/>
      <c r="D127" s="826" t="s">
        <v>862</v>
      </c>
      <c r="E127" s="826"/>
      <c r="F127" s="826"/>
      <c r="G127" s="827"/>
    </row>
    <row r="128" spans="1:7" x14ac:dyDescent="0.2">
      <c r="A128" s="822">
        <v>8</v>
      </c>
      <c r="B128" s="826" t="s">
        <v>863</v>
      </c>
      <c r="C128" s="826"/>
      <c r="D128" s="826" t="s">
        <v>864</v>
      </c>
      <c r="E128" s="826"/>
      <c r="F128" s="826"/>
      <c r="G128" s="827"/>
    </row>
    <row r="129" spans="1:7" x14ac:dyDescent="0.2">
      <c r="A129" s="822">
        <v>9</v>
      </c>
      <c r="B129" s="826" t="s">
        <v>865</v>
      </c>
      <c r="C129" s="826"/>
      <c r="D129" s="826" t="s">
        <v>866</v>
      </c>
      <c r="E129" s="826"/>
      <c r="F129" s="826"/>
      <c r="G129" s="827"/>
    </row>
    <row r="130" spans="1:7" x14ac:dyDescent="0.2">
      <c r="A130" s="823">
        <v>10</v>
      </c>
      <c r="B130" s="824" t="s">
        <v>867</v>
      </c>
      <c r="C130" s="824"/>
      <c r="D130" s="824" t="s">
        <v>868</v>
      </c>
      <c r="E130" s="824"/>
      <c r="F130" s="824"/>
      <c r="G130" s="825"/>
    </row>
    <row r="132" spans="1:7" x14ac:dyDescent="0.2">
      <c r="A132" s="750" t="s">
        <v>869</v>
      </c>
    </row>
    <row r="133" spans="1:7" x14ac:dyDescent="0.2">
      <c r="A133" t="s">
        <v>870</v>
      </c>
    </row>
    <row r="134" spans="1:7" x14ac:dyDescent="0.2">
      <c r="A134" t="s">
        <v>871</v>
      </c>
    </row>
    <row r="135" spans="1:7" x14ac:dyDescent="0.2">
      <c r="A135" t="s">
        <v>872</v>
      </c>
    </row>
    <row r="136" spans="1:7" x14ac:dyDescent="0.2">
      <c r="A136" t="s">
        <v>873</v>
      </c>
    </row>
    <row r="137" spans="1:7" x14ac:dyDescent="0.2">
      <c r="A137" t="s">
        <v>874</v>
      </c>
    </row>
    <row r="138" spans="1:7" x14ac:dyDescent="0.2">
      <c r="A138" t="s">
        <v>875</v>
      </c>
    </row>
  </sheetData>
  <mergeCells count="20">
    <mergeCell ref="B121:C121"/>
    <mergeCell ref="D121:G121"/>
    <mergeCell ref="B122:C122"/>
    <mergeCell ref="D122:G122"/>
    <mergeCell ref="B123:C123"/>
    <mergeCell ref="D123:G123"/>
    <mergeCell ref="B124:C124"/>
    <mergeCell ref="D124:G124"/>
    <mergeCell ref="B125:C125"/>
    <mergeCell ref="D125:G125"/>
    <mergeCell ref="B126:C126"/>
    <mergeCell ref="D126:G126"/>
    <mergeCell ref="B130:C130"/>
    <mergeCell ref="D130:G130"/>
    <mergeCell ref="B127:C127"/>
    <mergeCell ref="D127:G127"/>
    <mergeCell ref="B128:C128"/>
    <mergeCell ref="D128:G128"/>
    <mergeCell ref="B129:C129"/>
    <mergeCell ref="D129:G129"/>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D78"/>
  <sheetViews>
    <sheetView showGridLines="0" zoomScale="119" workbookViewId="0">
      <selection activeCell="B54" sqref="B54"/>
    </sheetView>
  </sheetViews>
  <sheetFormatPr baseColWidth="10" defaultColWidth="8.83203125" defaultRowHeight="15" x14ac:dyDescent="0.2"/>
  <cols>
    <col min="1" max="1" width="60" customWidth="1"/>
    <col min="2" max="4" width="18.33203125" customWidth="1"/>
    <col min="5" max="5" width="16" customWidth="1"/>
  </cols>
  <sheetData>
    <row r="1" spans="1:4" ht="28" customHeight="1" x14ac:dyDescent="0.25">
      <c r="A1" s="895" t="s">
        <v>876</v>
      </c>
      <c r="B1" s="896"/>
      <c r="C1" s="896"/>
      <c r="D1" s="896"/>
    </row>
    <row r="2" spans="1:4" ht="36" customHeight="1" x14ac:dyDescent="0.2">
      <c r="A2" s="897" t="s">
        <v>877</v>
      </c>
      <c r="B2" s="858"/>
      <c r="C2" s="858"/>
      <c r="D2" s="858"/>
    </row>
    <row r="4" spans="1:4" ht="22" customHeight="1" x14ac:dyDescent="0.2">
      <c r="A4" s="842" t="s">
        <v>878</v>
      </c>
      <c r="B4" s="894"/>
      <c r="C4" s="894"/>
      <c r="D4" s="894"/>
    </row>
    <row r="5" spans="1:4" x14ac:dyDescent="0.2">
      <c r="A5" t="s">
        <v>879</v>
      </c>
    </row>
    <row r="6" spans="1:4" x14ac:dyDescent="0.2">
      <c r="B6" s="171" t="s">
        <v>58</v>
      </c>
      <c r="C6" s="171" t="s">
        <v>54</v>
      </c>
      <c r="D6" s="171" t="s">
        <v>59</v>
      </c>
    </row>
    <row r="7" spans="1:4" x14ac:dyDescent="0.2">
      <c r="A7" t="s">
        <v>880</v>
      </c>
      <c r="B7" s="423">
        <f>Assumptions!$C$156</f>
        <v>0.15</v>
      </c>
      <c r="C7" s="423">
        <f>Assumptions!$D$156</f>
        <v>0.2</v>
      </c>
      <c r="D7" s="423">
        <f>Assumptions!$E$156</f>
        <v>0.25</v>
      </c>
    </row>
    <row r="8" spans="1:4" x14ac:dyDescent="0.2">
      <c r="A8" t="s">
        <v>881</v>
      </c>
      <c r="B8" s="423">
        <f>1-B7</f>
        <v>0.85</v>
      </c>
      <c r="C8" s="423">
        <f>1-C7</f>
        <v>0.8</v>
      </c>
      <c r="D8" s="423">
        <f>1-D7</f>
        <v>0.75</v>
      </c>
    </row>
    <row r="10" spans="1:4" ht="22" customHeight="1" x14ac:dyDescent="0.2">
      <c r="A10" s="842" t="s">
        <v>882</v>
      </c>
      <c r="B10" s="894"/>
      <c r="C10" s="894"/>
      <c r="D10" s="894"/>
    </row>
    <row r="11" spans="1:4" ht="20" customHeight="1" x14ac:dyDescent="0.2">
      <c r="A11" s="90" t="s">
        <v>883</v>
      </c>
    </row>
    <row r="13" spans="1:4" x14ac:dyDescent="0.2">
      <c r="A13" s="82" t="s">
        <v>884</v>
      </c>
      <c r="B13" s="116">
        <f>Members!L34</f>
        <v>8.1862872557629895</v>
      </c>
      <c r="C13" s="116">
        <f>Members!L34</f>
        <v>8.1862872557629895</v>
      </c>
      <c r="D13" s="116">
        <f>Members!L34</f>
        <v>8.1862872557629895</v>
      </c>
    </row>
    <row r="14" spans="1:4" x14ac:dyDescent="0.2">
      <c r="A14" t="s">
        <v>885</v>
      </c>
      <c r="B14" s="423">
        <f>Assumptions!$C$157</f>
        <v>0.3</v>
      </c>
      <c r="C14" s="423">
        <f>Assumptions!$D$157</f>
        <v>0.4</v>
      </c>
      <c r="D14" s="423">
        <f>Assumptions!$E$157</f>
        <v>0.45</v>
      </c>
    </row>
    <row r="15" spans="1:4" x14ac:dyDescent="0.2">
      <c r="A15" s="50" t="s">
        <v>886</v>
      </c>
      <c r="B15" s="91">
        <f>B13*B14</f>
        <v>2.4558861767288969</v>
      </c>
      <c r="C15" s="91">
        <f>C13*C14</f>
        <v>3.2745149023051958</v>
      </c>
      <c r="D15" s="91">
        <f>D13*D14</f>
        <v>3.6838292650933453</v>
      </c>
    </row>
    <row r="17" spans="1:4" x14ac:dyDescent="0.2">
      <c r="A17" s="82" t="s">
        <v>887</v>
      </c>
      <c r="B17" s="426">
        <f>Assumptions!$C$158</f>
        <v>200</v>
      </c>
      <c r="C17" s="426">
        <f>Assumptions!$D$158</f>
        <v>300</v>
      </c>
      <c r="D17" s="426">
        <f>Assumptions!$E$158</f>
        <v>350</v>
      </c>
    </row>
    <row r="18" spans="1:4" x14ac:dyDescent="0.2">
      <c r="A18" s="50" t="s">
        <v>888</v>
      </c>
      <c r="B18" s="38">
        <f>B15*B17</f>
        <v>491.17723534577937</v>
      </c>
      <c r="C18" s="38">
        <f>C15*C17</f>
        <v>982.35447069155873</v>
      </c>
      <c r="D18" s="38">
        <f>D15*D17</f>
        <v>1289.3402427826709</v>
      </c>
    </row>
    <row r="20" spans="1:4" x14ac:dyDescent="0.2">
      <c r="A20" t="s">
        <v>889</v>
      </c>
      <c r="B20" s="99">
        <f>Assumptions!$C$159</f>
        <v>5</v>
      </c>
      <c r="C20" s="99">
        <f>Assumptions!$D$159</f>
        <v>6</v>
      </c>
      <c r="D20" s="99">
        <f>Assumptions!$E$159</f>
        <v>6</v>
      </c>
    </row>
    <row r="21" spans="1:4" x14ac:dyDescent="0.2">
      <c r="A21" s="50" t="s">
        <v>890</v>
      </c>
      <c r="B21" s="38">
        <f>B18*B20</f>
        <v>2455.8861767288968</v>
      </c>
      <c r="C21" s="38">
        <f>C18*C20</f>
        <v>5894.1268241493526</v>
      </c>
      <c r="D21" s="38">
        <f>D18*D20</f>
        <v>7736.0414566960253</v>
      </c>
    </row>
    <row r="24" spans="1:4" ht="22" customHeight="1" x14ac:dyDescent="0.2">
      <c r="A24" s="842" t="s">
        <v>891</v>
      </c>
      <c r="B24" s="894"/>
      <c r="C24" s="894"/>
      <c r="D24" s="894"/>
    </row>
    <row r="25" spans="1:4" x14ac:dyDescent="0.2">
      <c r="A25" s="82" t="s">
        <v>892</v>
      </c>
      <c r="B25" s="427">
        <f>Assumptions!$C$160</f>
        <v>7</v>
      </c>
      <c r="C25" s="427">
        <f>Assumptions!$D$160</f>
        <v>5</v>
      </c>
      <c r="D25" s="427">
        <f>Assumptions!$E$160</f>
        <v>4</v>
      </c>
    </row>
    <row r="26" spans="1:4" x14ac:dyDescent="0.2">
      <c r="A26" t="s">
        <v>658</v>
      </c>
      <c r="B26" s="424">
        <f>Assumptions!$F$74</f>
        <v>0.10844999999999999</v>
      </c>
      <c r="C26" s="424">
        <f>Assumptions!$F$74</f>
        <v>0.10844999999999999</v>
      </c>
      <c r="D26" s="424">
        <f>Assumptions!$F$74</f>
        <v>0.10844999999999999</v>
      </c>
    </row>
    <row r="27" spans="1:4" x14ac:dyDescent="0.2">
      <c r="A27" t="s">
        <v>893</v>
      </c>
      <c r="B27" s="425">
        <f>1/(1+B26)^B25</f>
        <v>0.48639292143602458</v>
      </c>
      <c r="C27" s="425">
        <f>1/(1+C26)^C25</f>
        <v>0.5976122090176581</v>
      </c>
      <c r="D27" s="425">
        <f>1/(1+D26)^D25</f>
        <v>0.66242325308562311</v>
      </c>
    </row>
    <row r="28" spans="1:4" x14ac:dyDescent="0.2">
      <c r="A28" s="556" t="s">
        <v>894</v>
      </c>
      <c r="B28" s="39">
        <f>B21*B27</f>
        <v>1194.5256522135171</v>
      </c>
      <c r="C28" s="39">
        <f>C21*C27</f>
        <v>3522.4021516101284</v>
      </c>
      <c r="D28" s="39">
        <f>D21*D27</f>
        <v>5124.5337477498233</v>
      </c>
    </row>
    <row r="30" spans="1:4" x14ac:dyDescent="0.2">
      <c r="A30" s="82" t="s">
        <v>895</v>
      </c>
      <c r="B30" s="428">
        <f>B7</f>
        <v>0.15</v>
      </c>
      <c r="C30" s="428">
        <f>C7</f>
        <v>0.2</v>
      </c>
      <c r="D30" s="428">
        <f>D7</f>
        <v>0.25</v>
      </c>
    </row>
    <row r="31" spans="1:4" x14ac:dyDescent="0.2">
      <c r="A31" s="93" t="s">
        <v>896</v>
      </c>
      <c r="B31" s="94">
        <f>B28*B30</f>
        <v>179.17884783202757</v>
      </c>
      <c r="C31" s="94">
        <f>C28*C30</f>
        <v>704.48043032202577</v>
      </c>
      <c r="D31" s="94">
        <f>D28*D30</f>
        <v>1281.1334369374558</v>
      </c>
    </row>
    <row r="32" spans="1:4" x14ac:dyDescent="0.2">
      <c r="A32" s="93" t="s">
        <v>897</v>
      </c>
      <c r="B32" s="95">
        <f>B31/1000</f>
        <v>0.17917884783202756</v>
      </c>
      <c r="C32" s="95">
        <f>C31/1000</f>
        <v>0.70448043032202579</v>
      </c>
      <c r="D32" s="95">
        <f>D31/1000</f>
        <v>1.2811334369374558</v>
      </c>
    </row>
    <row r="34" spans="1:4" ht="22" customHeight="1" x14ac:dyDescent="0.2">
      <c r="A34" s="842" t="s">
        <v>898</v>
      </c>
      <c r="B34" s="894"/>
      <c r="C34" s="894"/>
      <c r="D34" s="894"/>
    </row>
    <row r="35" spans="1:4" x14ac:dyDescent="0.2">
      <c r="A35" s="394" t="s">
        <v>899</v>
      </c>
      <c r="B35" s="96" t="str">
        <f>Assumptions!$B$3</f>
        <v>Base</v>
      </c>
    </row>
    <row r="36" spans="1:4" x14ac:dyDescent="0.2">
      <c r="A36" s="96" t="s">
        <v>900</v>
      </c>
      <c r="B36" s="94">
        <f>IF($B$35="Bear",B31,IF($B$35="Bull",D31,C31))</f>
        <v>704.48043032202577</v>
      </c>
    </row>
    <row r="37" spans="1:4" x14ac:dyDescent="0.2">
      <c r="A37" s="96" t="s">
        <v>901</v>
      </c>
      <c r="B37" s="95">
        <f>B36/1000</f>
        <v>0.70448043032202579</v>
      </c>
    </row>
    <row r="40" spans="1:4" ht="22" customHeight="1" x14ac:dyDescent="0.2">
      <c r="A40" s="842" t="s">
        <v>902</v>
      </c>
      <c r="B40" s="894"/>
      <c r="C40" s="894"/>
      <c r="D40" s="894"/>
    </row>
    <row r="41" spans="1:4" x14ac:dyDescent="0.2">
      <c r="A41" s="429" t="s">
        <v>903</v>
      </c>
      <c r="B41" s="28"/>
      <c r="C41" s="28"/>
      <c r="D41" s="28"/>
    </row>
    <row r="42" spans="1:4" x14ac:dyDescent="0.2">
      <c r="A42" s="253"/>
      <c r="B42" s="28"/>
      <c r="C42" s="28"/>
      <c r="D42" s="28"/>
    </row>
    <row r="43" spans="1:4" x14ac:dyDescent="0.2">
      <c r="A43" s="252" t="s">
        <v>904</v>
      </c>
      <c r="B43" s="28"/>
      <c r="C43" s="28"/>
      <c r="D43" s="28"/>
    </row>
    <row r="44" spans="1:4" x14ac:dyDescent="0.2">
      <c r="A44" s="253" t="s">
        <v>905</v>
      </c>
      <c r="B44" s="28"/>
      <c r="C44" s="28"/>
      <c r="D44" s="28"/>
    </row>
    <row r="45" spans="1:4" x14ac:dyDescent="0.2">
      <c r="A45" s="253" t="s">
        <v>906</v>
      </c>
      <c r="B45" s="28"/>
      <c r="C45" s="28"/>
      <c r="D45" s="28"/>
    </row>
    <row r="46" spans="1:4" x14ac:dyDescent="0.2">
      <c r="A46" s="253" t="s">
        <v>907</v>
      </c>
      <c r="B46" s="28"/>
      <c r="C46" s="28"/>
      <c r="D46" s="28"/>
    </row>
    <row r="47" spans="1:4" x14ac:dyDescent="0.2">
      <c r="A47" s="253" t="s">
        <v>908</v>
      </c>
      <c r="B47" s="28"/>
      <c r="C47" s="28"/>
      <c r="D47" s="28"/>
    </row>
    <row r="48" spans="1:4" x14ac:dyDescent="0.2">
      <c r="A48" s="253" t="s">
        <v>909</v>
      </c>
      <c r="B48" s="28"/>
      <c r="C48" s="28"/>
      <c r="D48" s="28"/>
    </row>
    <row r="49" spans="1:4" x14ac:dyDescent="0.2">
      <c r="A49" s="253"/>
      <c r="B49" s="28"/>
      <c r="C49" s="28"/>
      <c r="D49" s="28"/>
    </row>
    <row r="50" spans="1:4" x14ac:dyDescent="0.2">
      <c r="A50" s="252" t="s">
        <v>910</v>
      </c>
      <c r="B50" s="28"/>
      <c r="C50" s="28"/>
      <c r="D50" s="28"/>
    </row>
    <row r="51" spans="1:4" x14ac:dyDescent="0.2">
      <c r="A51" s="253" t="s">
        <v>911</v>
      </c>
      <c r="B51" s="28"/>
      <c r="C51" s="28"/>
      <c r="D51" s="28"/>
    </row>
    <row r="52" spans="1:4" x14ac:dyDescent="0.2">
      <c r="A52" s="253" t="s">
        <v>912</v>
      </c>
      <c r="B52" s="28"/>
      <c r="C52" s="28"/>
      <c r="D52" s="28"/>
    </row>
    <row r="53" spans="1:4" x14ac:dyDescent="0.2">
      <c r="A53" s="253" t="s">
        <v>913</v>
      </c>
      <c r="B53" s="28"/>
      <c r="C53" s="28"/>
      <c r="D53" s="28"/>
    </row>
    <row r="54" spans="1:4" x14ac:dyDescent="0.2">
      <c r="A54" s="253"/>
      <c r="B54" s="28"/>
      <c r="C54" s="28"/>
      <c r="D54" s="28"/>
    </row>
    <row r="55" spans="1:4" x14ac:dyDescent="0.2">
      <c r="A55" s="252" t="s">
        <v>914</v>
      </c>
      <c r="B55" s="28"/>
      <c r="C55" s="28"/>
      <c r="D55" s="28"/>
    </row>
    <row r="56" spans="1:4" x14ac:dyDescent="0.2">
      <c r="A56" s="253" t="s">
        <v>915</v>
      </c>
      <c r="B56" s="28"/>
      <c r="C56" s="28"/>
      <c r="D56" s="28"/>
    </row>
    <row r="57" spans="1:4" x14ac:dyDescent="0.2">
      <c r="A57" s="253" t="s">
        <v>916</v>
      </c>
      <c r="B57" s="28"/>
      <c r="C57" s="28"/>
      <c r="D57" s="28"/>
    </row>
    <row r="58" spans="1:4" x14ac:dyDescent="0.2">
      <c r="A58" s="253" t="s">
        <v>917</v>
      </c>
      <c r="B58" s="28"/>
      <c r="C58" s="28"/>
      <c r="D58" s="28"/>
    </row>
    <row r="59" spans="1:4" x14ac:dyDescent="0.2">
      <c r="A59" s="253"/>
      <c r="B59" s="28"/>
      <c r="C59" s="28"/>
      <c r="D59" s="28"/>
    </row>
    <row r="60" spans="1:4" x14ac:dyDescent="0.2">
      <c r="A60" s="252" t="s">
        <v>918</v>
      </c>
      <c r="B60" s="28"/>
      <c r="C60" s="28"/>
      <c r="D60" s="28"/>
    </row>
    <row r="61" spans="1:4" x14ac:dyDescent="0.2">
      <c r="A61" s="253" t="s">
        <v>919</v>
      </c>
      <c r="B61" s="28"/>
      <c r="C61" s="28"/>
      <c r="D61" s="28"/>
    </row>
    <row r="62" spans="1:4" x14ac:dyDescent="0.2">
      <c r="A62" s="253" t="s">
        <v>920</v>
      </c>
      <c r="B62" s="28"/>
      <c r="C62" s="28"/>
      <c r="D62" s="28"/>
    </row>
    <row r="63" spans="1:4" x14ac:dyDescent="0.2">
      <c r="A63" s="253"/>
      <c r="B63" s="28"/>
      <c r="C63" s="28"/>
      <c r="D63" s="28"/>
    </row>
    <row r="64" spans="1:4" x14ac:dyDescent="0.2">
      <c r="A64" s="252" t="s">
        <v>921</v>
      </c>
      <c r="B64" s="28"/>
      <c r="C64" s="28"/>
      <c r="D64" s="28"/>
    </row>
    <row r="65" spans="1:4" x14ac:dyDescent="0.2">
      <c r="A65" s="253" t="s">
        <v>922</v>
      </c>
      <c r="B65" s="28"/>
      <c r="C65" s="28"/>
      <c r="D65" s="28"/>
    </row>
    <row r="66" spans="1:4" x14ac:dyDescent="0.2">
      <c r="A66" s="253" t="s">
        <v>923</v>
      </c>
      <c r="B66" s="28"/>
      <c r="C66" s="28"/>
      <c r="D66" s="28"/>
    </row>
    <row r="67" spans="1:4" x14ac:dyDescent="0.2">
      <c r="A67" s="253" t="s">
        <v>924</v>
      </c>
      <c r="B67" s="28"/>
      <c r="C67" s="28"/>
      <c r="D67" s="28"/>
    </row>
    <row r="70" spans="1:4" ht="22" customHeight="1" x14ac:dyDescent="0.2">
      <c r="A70" s="842" t="s">
        <v>925</v>
      </c>
      <c r="B70" s="894"/>
      <c r="C70" s="894"/>
      <c r="D70" s="894"/>
    </row>
    <row r="71" spans="1:4" x14ac:dyDescent="0.2">
      <c r="A71" s="429" t="s">
        <v>926</v>
      </c>
      <c r="B71" s="28"/>
      <c r="C71" s="28"/>
      <c r="D71" s="28"/>
    </row>
    <row r="72" spans="1:4" x14ac:dyDescent="0.2">
      <c r="A72" s="253"/>
      <c r="B72" s="28"/>
      <c r="C72" s="28"/>
      <c r="D72" s="28"/>
    </row>
    <row r="73" spans="1:4" x14ac:dyDescent="0.2">
      <c r="A73" s="253" t="s">
        <v>927</v>
      </c>
      <c r="B73" s="28"/>
      <c r="C73" s="28"/>
      <c r="D73" s="28"/>
    </row>
    <row r="74" spans="1:4" x14ac:dyDescent="0.2">
      <c r="A74" s="253" t="s">
        <v>928</v>
      </c>
      <c r="B74" s="28"/>
      <c r="C74" s="28"/>
      <c r="D74" s="28"/>
    </row>
    <row r="75" spans="1:4" x14ac:dyDescent="0.2">
      <c r="A75" s="253" t="s">
        <v>929</v>
      </c>
      <c r="B75" s="28"/>
      <c r="C75" s="28"/>
      <c r="D75" s="28"/>
    </row>
    <row r="76" spans="1:4" x14ac:dyDescent="0.2">
      <c r="A76" s="253" t="s">
        <v>930</v>
      </c>
      <c r="B76" s="28"/>
      <c r="C76" s="28"/>
      <c r="D76" s="28"/>
    </row>
    <row r="77" spans="1:4" x14ac:dyDescent="0.2">
      <c r="A77" s="253"/>
      <c r="B77" s="28"/>
      <c r="C77" s="28"/>
      <c r="D77" s="28"/>
    </row>
    <row r="78" spans="1:4" x14ac:dyDescent="0.2">
      <c r="A78" s="253" t="s">
        <v>931</v>
      </c>
      <c r="B78" s="28"/>
      <c r="C78" s="28"/>
      <c r="D78" s="28"/>
    </row>
  </sheetData>
  <mergeCells count="8">
    <mergeCell ref="A24:D24"/>
    <mergeCell ref="A34:D34"/>
    <mergeCell ref="A40:D40"/>
    <mergeCell ref="A70:D70"/>
    <mergeCell ref="A1:D1"/>
    <mergeCell ref="A2:D2"/>
    <mergeCell ref="A4:D4"/>
    <mergeCell ref="A10:D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J136"/>
  <sheetViews>
    <sheetView showGridLines="0" topLeftCell="A74" workbookViewId="0">
      <selection activeCell="D123" sqref="D123"/>
    </sheetView>
  </sheetViews>
  <sheetFormatPr baseColWidth="10" defaultColWidth="8.83203125" defaultRowHeight="15" x14ac:dyDescent="0.2"/>
  <cols>
    <col min="1" max="1" width="53.33203125" customWidth="1"/>
    <col min="2" max="6" width="15.83203125" customWidth="1"/>
    <col min="7" max="8" width="12.5" customWidth="1"/>
    <col min="9" max="9" width="15" customWidth="1"/>
    <col min="10" max="10" width="63.33203125" customWidth="1"/>
    <col min="11" max="14" width="12.5" customWidth="1"/>
  </cols>
  <sheetData>
    <row r="1" spans="1:6" ht="28" customHeight="1" x14ac:dyDescent="0.2">
      <c r="A1" s="898" t="s">
        <v>932</v>
      </c>
      <c r="B1" s="898"/>
      <c r="C1" s="898"/>
      <c r="D1" s="898"/>
      <c r="E1" s="898"/>
      <c r="F1" s="898"/>
    </row>
    <row r="2" spans="1:6" ht="36" customHeight="1" x14ac:dyDescent="0.2">
      <c r="A2" s="897" t="s">
        <v>933</v>
      </c>
      <c r="B2" s="897"/>
      <c r="C2" s="897"/>
      <c r="D2" s="897"/>
      <c r="E2" s="897"/>
      <c r="F2" s="897"/>
    </row>
    <row r="4" spans="1:6" ht="22" customHeight="1" x14ac:dyDescent="0.2">
      <c r="A4" s="899" t="s">
        <v>934</v>
      </c>
      <c r="B4" s="899"/>
      <c r="C4" s="899"/>
      <c r="D4" s="899"/>
      <c r="E4" s="899"/>
      <c r="F4" s="899"/>
    </row>
    <row r="6" spans="1:6" x14ac:dyDescent="0.2">
      <c r="A6" s="106" t="s">
        <v>935</v>
      </c>
      <c r="B6" s="109">
        <f>'Revenue Build'!D20</f>
        <v>579.5</v>
      </c>
    </row>
    <row r="7" spans="1:6" x14ac:dyDescent="0.2">
      <c r="A7" s="107" t="s">
        <v>936</v>
      </c>
      <c r="B7" s="110">
        <v>1100</v>
      </c>
    </row>
    <row r="8" spans="1:6" x14ac:dyDescent="0.2">
      <c r="A8" s="107" t="s">
        <v>937</v>
      </c>
      <c r="B8" s="111">
        <f>'P&amp;L'!E16</f>
        <v>0.75</v>
      </c>
    </row>
    <row r="9" spans="1:6" x14ac:dyDescent="0.2">
      <c r="A9" s="107" t="s">
        <v>938</v>
      </c>
      <c r="B9" s="112">
        <f>B6*B8</f>
        <v>434.625</v>
      </c>
    </row>
    <row r="10" spans="1:6" x14ac:dyDescent="0.2">
      <c r="A10" s="107" t="s">
        <v>939</v>
      </c>
      <c r="B10" s="112">
        <f>B7*B8</f>
        <v>825</v>
      </c>
    </row>
    <row r="11" spans="1:6" x14ac:dyDescent="0.2">
      <c r="A11" s="107" t="s">
        <v>940</v>
      </c>
      <c r="B11" s="113">
        <v>1.03</v>
      </c>
    </row>
    <row r="12" spans="1:6" x14ac:dyDescent="0.2">
      <c r="A12" s="107" t="s">
        <v>941</v>
      </c>
      <c r="B12" s="113">
        <v>0.7</v>
      </c>
    </row>
    <row r="13" spans="1:6" x14ac:dyDescent="0.2">
      <c r="A13" s="108" t="s">
        <v>942</v>
      </c>
      <c r="B13" s="114">
        <v>10100</v>
      </c>
    </row>
    <row r="15" spans="1:6" ht="22" customHeight="1" x14ac:dyDescent="0.2">
      <c r="A15" s="899" t="s">
        <v>943</v>
      </c>
      <c r="B15" s="899"/>
      <c r="C15" s="899"/>
      <c r="D15" s="899"/>
      <c r="E15" s="899"/>
      <c r="F15" s="899"/>
    </row>
    <row r="16" spans="1:6" ht="30" customHeight="1" x14ac:dyDescent="0.2">
      <c r="A16" s="897" t="s">
        <v>944</v>
      </c>
      <c r="B16" s="897"/>
      <c r="C16" s="897"/>
      <c r="D16" s="897"/>
      <c r="E16" s="897"/>
      <c r="F16" s="897"/>
    </row>
    <row r="17" spans="1:10" ht="16" thickBot="1" x14ac:dyDescent="0.25"/>
    <row r="18" spans="1:10" ht="22" customHeight="1" x14ac:dyDescent="0.2">
      <c r="A18" s="121" t="s">
        <v>720</v>
      </c>
      <c r="B18" s="122" t="s">
        <v>945</v>
      </c>
      <c r="C18" s="123" t="s">
        <v>61</v>
      </c>
      <c r="D18" s="122" t="s">
        <v>946</v>
      </c>
      <c r="E18" s="123" t="s">
        <v>947</v>
      </c>
      <c r="F18" s="123" t="s">
        <v>948</v>
      </c>
      <c r="G18" s="123" t="s">
        <v>949</v>
      </c>
      <c r="H18" s="123" t="s">
        <v>570</v>
      </c>
      <c r="I18" s="123" t="s">
        <v>950</v>
      </c>
      <c r="J18" s="124" t="s">
        <v>63</v>
      </c>
    </row>
    <row r="19" spans="1:10" x14ac:dyDescent="0.2">
      <c r="A19" s="119" t="s">
        <v>951</v>
      </c>
      <c r="B19" s="117" t="s">
        <v>952</v>
      </c>
      <c r="C19" s="136" t="s">
        <v>953</v>
      </c>
      <c r="D19" s="117" t="s">
        <v>954</v>
      </c>
      <c r="E19" s="142">
        <v>1.22</v>
      </c>
      <c r="F19" s="143">
        <v>2.9</v>
      </c>
      <c r="G19" s="144">
        <v>-0.05</v>
      </c>
      <c r="H19" s="144">
        <v>0.42</v>
      </c>
      <c r="I19" s="145">
        <f t="shared" ref="I19:I29" si="0">IFERROR(E19/(G19*100),"n/m")</f>
        <v>-0.24399999999999999</v>
      </c>
      <c r="J19" s="165" t="s">
        <v>955</v>
      </c>
    </row>
    <row r="20" spans="1:10" x14ac:dyDescent="0.2">
      <c r="A20" s="120" t="s">
        <v>956</v>
      </c>
      <c r="B20" s="28" t="s">
        <v>957</v>
      </c>
      <c r="C20" s="137" t="s">
        <v>953</v>
      </c>
      <c r="D20" s="28" t="s">
        <v>954</v>
      </c>
      <c r="E20" s="146">
        <v>1.07</v>
      </c>
      <c r="F20" s="147">
        <v>2.4</v>
      </c>
      <c r="G20" s="148">
        <v>-0.02</v>
      </c>
      <c r="H20" s="148">
        <v>0.45</v>
      </c>
      <c r="I20" s="149">
        <f t="shared" si="0"/>
        <v>-0.53500000000000003</v>
      </c>
      <c r="J20" s="166" t="s">
        <v>958</v>
      </c>
    </row>
    <row r="21" spans="1:10" x14ac:dyDescent="0.2">
      <c r="A21" s="128" t="s">
        <v>959</v>
      </c>
      <c r="B21" s="129" t="s">
        <v>960</v>
      </c>
      <c r="C21" s="138" t="s">
        <v>953</v>
      </c>
      <c r="D21" s="129" t="s">
        <v>954</v>
      </c>
      <c r="E21" s="150">
        <v>0.4</v>
      </c>
      <c r="F21" s="151">
        <v>1.2</v>
      </c>
      <c r="G21" s="152">
        <v>-0.08</v>
      </c>
      <c r="H21" s="152">
        <v>0.33</v>
      </c>
      <c r="I21" s="153">
        <f t="shared" si="0"/>
        <v>-0.05</v>
      </c>
      <c r="J21" s="167" t="s">
        <v>961</v>
      </c>
    </row>
    <row r="22" spans="1:10" x14ac:dyDescent="0.2">
      <c r="A22" s="120" t="s">
        <v>962</v>
      </c>
      <c r="B22" s="28" t="s">
        <v>963</v>
      </c>
      <c r="C22" s="137" t="s">
        <v>964</v>
      </c>
      <c r="D22" s="28" t="s">
        <v>965</v>
      </c>
      <c r="E22" s="146">
        <v>3.66</v>
      </c>
      <c r="F22" s="147">
        <v>11.4</v>
      </c>
      <c r="G22" s="148">
        <v>0.13</v>
      </c>
      <c r="H22" s="148">
        <v>0.32</v>
      </c>
      <c r="I22" s="149">
        <f t="shared" si="0"/>
        <v>0.28153846153846157</v>
      </c>
      <c r="J22" s="166" t="s">
        <v>966</v>
      </c>
    </row>
    <row r="23" spans="1:10" x14ac:dyDescent="0.2">
      <c r="A23" s="128" t="s">
        <v>967</v>
      </c>
      <c r="B23" s="129" t="s">
        <v>968</v>
      </c>
      <c r="C23" s="138" t="s">
        <v>964</v>
      </c>
      <c r="D23" s="129" t="s">
        <v>965</v>
      </c>
      <c r="E23" s="150">
        <v>3.02</v>
      </c>
      <c r="F23" s="151">
        <v>6.9</v>
      </c>
      <c r="G23" s="152">
        <v>0.12</v>
      </c>
      <c r="H23" s="152">
        <v>0.44</v>
      </c>
      <c r="I23" s="153">
        <f t="shared" si="0"/>
        <v>0.25166666666666665</v>
      </c>
      <c r="J23" s="167" t="s">
        <v>969</v>
      </c>
    </row>
    <row r="24" spans="1:10" x14ac:dyDescent="0.2">
      <c r="A24" s="120" t="s">
        <v>970</v>
      </c>
      <c r="B24" s="28" t="s">
        <v>971</v>
      </c>
      <c r="C24" s="137" t="s">
        <v>964</v>
      </c>
      <c r="D24" s="28" t="s">
        <v>972</v>
      </c>
      <c r="E24" s="146">
        <v>4.24</v>
      </c>
      <c r="F24" s="147">
        <v>7.1</v>
      </c>
      <c r="G24" s="148">
        <v>0.11</v>
      </c>
      <c r="H24" s="148">
        <v>0.6</v>
      </c>
      <c r="I24" s="149">
        <f t="shared" si="0"/>
        <v>0.38545454545454549</v>
      </c>
      <c r="J24" s="166" t="s">
        <v>973</v>
      </c>
    </row>
    <row r="25" spans="1:10" x14ac:dyDescent="0.2">
      <c r="A25" s="119" t="s">
        <v>974</v>
      </c>
      <c r="B25" s="117" t="s">
        <v>975</v>
      </c>
      <c r="C25" s="136" t="s">
        <v>964</v>
      </c>
      <c r="D25" s="117" t="s">
        <v>972</v>
      </c>
      <c r="E25" s="142">
        <v>4.6500000000000004</v>
      </c>
      <c r="F25" s="143">
        <v>6.5</v>
      </c>
      <c r="G25" s="144">
        <v>0.18</v>
      </c>
      <c r="H25" s="144">
        <v>0.7</v>
      </c>
      <c r="I25" s="145">
        <f t="shared" si="0"/>
        <v>0.25833333333333336</v>
      </c>
      <c r="J25" s="165" t="s">
        <v>976</v>
      </c>
    </row>
    <row r="26" spans="1:10" x14ac:dyDescent="0.2">
      <c r="A26" s="120" t="s">
        <v>977</v>
      </c>
      <c r="B26" s="28" t="s">
        <v>978</v>
      </c>
      <c r="C26" s="137" t="s">
        <v>953</v>
      </c>
      <c r="D26" s="28" t="s">
        <v>972</v>
      </c>
      <c r="E26" s="146">
        <v>5.23</v>
      </c>
      <c r="F26" s="147">
        <v>8.9</v>
      </c>
      <c r="G26" s="148">
        <v>0.08</v>
      </c>
      <c r="H26" s="148">
        <v>0.59</v>
      </c>
      <c r="I26" s="149">
        <f t="shared" si="0"/>
        <v>0.65375000000000005</v>
      </c>
      <c r="J26" s="166" t="s">
        <v>979</v>
      </c>
    </row>
    <row r="27" spans="1:10" x14ac:dyDescent="0.2">
      <c r="A27" s="119" t="s">
        <v>980</v>
      </c>
      <c r="B27" s="117" t="s">
        <v>981</v>
      </c>
      <c r="C27" s="136" t="s">
        <v>953</v>
      </c>
      <c r="D27" s="117" t="s">
        <v>972</v>
      </c>
      <c r="E27" s="142">
        <v>5.96</v>
      </c>
      <c r="F27" s="143">
        <v>9.5</v>
      </c>
      <c r="G27" s="144">
        <v>0.1</v>
      </c>
      <c r="H27" s="144">
        <v>0.63</v>
      </c>
      <c r="I27" s="145">
        <f t="shared" si="0"/>
        <v>0.59599999999999997</v>
      </c>
      <c r="J27" s="165" t="s">
        <v>982</v>
      </c>
    </row>
    <row r="28" spans="1:10" x14ac:dyDescent="0.2">
      <c r="A28" s="130" t="s">
        <v>983</v>
      </c>
      <c r="B28" s="131" t="s">
        <v>754</v>
      </c>
      <c r="C28" s="139" t="s">
        <v>964</v>
      </c>
      <c r="D28" s="132" t="s">
        <v>984</v>
      </c>
      <c r="E28" s="154">
        <v>5.25</v>
      </c>
      <c r="F28" s="155">
        <v>9.8000000000000007</v>
      </c>
      <c r="G28" s="156">
        <v>0.06</v>
      </c>
      <c r="H28" s="156">
        <v>0.59</v>
      </c>
      <c r="I28" s="157">
        <f t="shared" si="0"/>
        <v>0.875</v>
      </c>
      <c r="J28" s="168" t="s">
        <v>985</v>
      </c>
    </row>
    <row r="29" spans="1:10" x14ac:dyDescent="0.2">
      <c r="A29" s="133" t="s">
        <v>986</v>
      </c>
      <c r="B29" s="134" t="s">
        <v>987</v>
      </c>
      <c r="C29" s="140" t="s">
        <v>988</v>
      </c>
      <c r="D29" s="135" t="s">
        <v>989</v>
      </c>
      <c r="E29" s="158">
        <v>13</v>
      </c>
      <c r="F29" s="159">
        <v>26</v>
      </c>
      <c r="G29" s="160">
        <v>1.29</v>
      </c>
      <c r="H29" s="160">
        <v>0.5</v>
      </c>
      <c r="I29" s="161">
        <f t="shared" si="0"/>
        <v>0.10077519379844961</v>
      </c>
      <c r="J29" s="169" t="s">
        <v>990</v>
      </c>
    </row>
    <row r="30" spans="1:10" x14ac:dyDescent="0.2">
      <c r="A30" s="120" t="s">
        <v>991</v>
      </c>
      <c r="B30" s="28" t="s">
        <v>992</v>
      </c>
      <c r="C30" s="137" t="s">
        <v>993</v>
      </c>
      <c r="D30" s="118" t="s">
        <v>994</v>
      </c>
      <c r="E30" s="146">
        <v>2.2000000000000002</v>
      </c>
      <c r="F30" s="162"/>
      <c r="G30" s="162"/>
      <c r="H30" s="162"/>
      <c r="I30" s="162"/>
      <c r="J30" s="166" t="s">
        <v>995</v>
      </c>
    </row>
    <row r="31" spans="1:10" ht="16" thickBot="1" x14ac:dyDescent="0.25">
      <c r="A31" s="125" t="s">
        <v>996</v>
      </c>
      <c r="B31" s="126" t="s">
        <v>992</v>
      </c>
      <c r="C31" s="141" t="s">
        <v>993</v>
      </c>
      <c r="D31" s="127" t="s">
        <v>994</v>
      </c>
      <c r="E31" s="163">
        <v>1.5</v>
      </c>
      <c r="F31" s="164"/>
      <c r="G31" s="164"/>
      <c r="H31" s="164"/>
      <c r="I31" s="164"/>
      <c r="J31" s="170" t="s">
        <v>997</v>
      </c>
    </row>
    <row r="33" spans="1:6" ht="22" customHeight="1" x14ac:dyDescent="0.2">
      <c r="A33" s="899" t="s">
        <v>998</v>
      </c>
      <c r="B33" s="899"/>
      <c r="C33" s="899"/>
      <c r="D33" s="899"/>
      <c r="E33" s="899"/>
      <c r="F33" s="899"/>
    </row>
    <row r="34" spans="1:6" ht="30" customHeight="1" x14ac:dyDescent="0.2">
      <c r="A34" s="897" t="s">
        <v>999</v>
      </c>
      <c r="B34" s="897"/>
      <c r="C34" s="897"/>
      <c r="D34" s="897"/>
      <c r="E34" s="897"/>
      <c r="F34" s="897"/>
    </row>
    <row r="35" spans="1:6" ht="16" thickBot="1" x14ac:dyDescent="0.25"/>
    <row r="36" spans="1:6" ht="22" customHeight="1" thickBot="1" x14ac:dyDescent="0.25">
      <c r="A36" s="901" t="s">
        <v>1000</v>
      </c>
      <c r="B36" s="902"/>
      <c r="C36" s="902"/>
      <c r="D36" s="903"/>
    </row>
    <row r="37" spans="1:6" ht="30" customHeight="1" x14ac:dyDescent="0.2">
      <c r="A37" s="904" t="s">
        <v>1001</v>
      </c>
      <c r="B37" s="905"/>
      <c r="C37" s="905"/>
      <c r="D37" s="906"/>
    </row>
    <row r="38" spans="1:6" x14ac:dyDescent="0.2">
      <c r="A38" s="120"/>
      <c r="B38" s="174" t="s">
        <v>229</v>
      </c>
      <c r="C38" s="174" t="s">
        <v>68</v>
      </c>
      <c r="D38" s="180" t="s">
        <v>1002</v>
      </c>
    </row>
    <row r="39" spans="1:6" x14ac:dyDescent="0.2">
      <c r="A39" s="120" t="s">
        <v>947</v>
      </c>
      <c r="B39" s="175">
        <f>MIN(E19:E21)</f>
        <v>0.4</v>
      </c>
      <c r="C39" s="175">
        <f>MAX(E19:E21)</f>
        <v>1.22</v>
      </c>
      <c r="D39" s="181">
        <f>MEDIAN(E19:E21)</f>
        <v>1.07</v>
      </c>
    </row>
    <row r="40" spans="1:6" x14ac:dyDescent="0.2">
      <c r="A40" s="120" t="s">
        <v>948</v>
      </c>
      <c r="B40" s="176">
        <f>MIN(F19:F21)</f>
        <v>1.2</v>
      </c>
      <c r="C40" s="176">
        <f>MAX(F19:F21)</f>
        <v>2.9</v>
      </c>
      <c r="D40" s="182">
        <f>MEDIAN(F19:F21)</f>
        <v>2.4</v>
      </c>
    </row>
    <row r="41" spans="1:6" x14ac:dyDescent="0.2">
      <c r="A41" s="187" t="s">
        <v>1003</v>
      </c>
      <c r="B41" s="188"/>
      <c r="C41" s="188"/>
      <c r="D41" s="189"/>
    </row>
    <row r="42" spans="1:6" x14ac:dyDescent="0.2">
      <c r="A42" s="120" t="s">
        <v>1004</v>
      </c>
      <c r="B42" s="177">
        <f>B39*$B$6</f>
        <v>231.8</v>
      </c>
      <c r="C42" s="177">
        <f>C39*$B$6</f>
        <v>706.99</v>
      </c>
      <c r="D42" s="183">
        <f>D39*$B$6</f>
        <v>620.06500000000005</v>
      </c>
    </row>
    <row r="43" spans="1:6" x14ac:dyDescent="0.2">
      <c r="A43" s="120" t="s">
        <v>1005</v>
      </c>
      <c r="B43" s="177">
        <f>B39*$B$7</f>
        <v>440</v>
      </c>
      <c r="C43" s="177">
        <f>C39*$B$7</f>
        <v>1342</v>
      </c>
      <c r="D43" s="183">
        <f>D39*$B$7</f>
        <v>1177</v>
      </c>
    </row>
    <row r="44" spans="1:6" x14ac:dyDescent="0.2">
      <c r="A44" s="120" t="s">
        <v>1006</v>
      </c>
      <c r="B44" s="177">
        <f>B40*$B$9</f>
        <v>521.54999999999995</v>
      </c>
      <c r="C44" s="177">
        <f>C40*$B$9</f>
        <v>1260.4124999999999</v>
      </c>
      <c r="D44" s="183">
        <f>D40*$B$9</f>
        <v>1043.0999999999999</v>
      </c>
    </row>
    <row r="45" spans="1:6" ht="16" thickBot="1" x14ac:dyDescent="0.25">
      <c r="A45" s="184" t="s">
        <v>1007</v>
      </c>
      <c r="B45" s="185">
        <f>B40*$B$10</f>
        <v>990</v>
      </c>
      <c r="C45" s="185">
        <f>C40*$B$10</f>
        <v>2392.5</v>
      </c>
      <c r="D45" s="186">
        <f>D40*$B$10</f>
        <v>1980</v>
      </c>
    </row>
    <row r="46" spans="1:6" ht="16" thickBot="1" x14ac:dyDescent="0.25">
      <c r="B46" s="172"/>
      <c r="C46" s="172"/>
      <c r="D46" s="173"/>
    </row>
    <row r="47" spans="1:6" ht="22" customHeight="1" thickBot="1" x14ac:dyDescent="0.25">
      <c r="A47" s="907" t="s">
        <v>1008</v>
      </c>
      <c r="B47" s="908"/>
      <c r="C47" s="908"/>
      <c r="D47" s="909"/>
    </row>
    <row r="48" spans="1:6" ht="30" customHeight="1" x14ac:dyDescent="0.2">
      <c r="A48" s="904" t="s">
        <v>1009</v>
      </c>
      <c r="B48" s="905"/>
      <c r="C48" s="905"/>
      <c r="D48" s="906"/>
    </row>
    <row r="49" spans="1:4" x14ac:dyDescent="0.2">
      <c r="A49" s="120"/>
      <c r="B49" s="174" t="s">
        <v>229</v>
      </c>
      <c r="C49" s="174" t="s">
        <v>68</v>
      </c>
      <c r="D49" s="180" t="s">
        <v>1002</v>
      </c>
    </row>
    <row r="50" spans="1:4" x14ac:dyDescent="0.2">
      <c r="A50" s="120" t="s">
        <v>947</v>
      </c>
      <c r="B50" s="175">
        <f>MIN(E22:E23)</f>
        <v>3.02</v>
      </c>
      <c r="C50" s="175">
        <f>MAX(E22:E23)</f>
        <v>3.66</v>
      </c>
      <c r="D50" s="181">
        <f>MEDIAN(E22:E23)</f>
        <v>3.34</v>
      </c>
    </row>
    <row r="51" spans="1:4" x14ac:dyDescent="0.2">
      <c r="A51" s="120" t="s">
        <v>948</v>
      </c>
      <c r="B51" s="176">
        <f>MIN(F22:F23)</f>
        <v>6.9</v>
      </c>
      <c r="C51" s="176">
        <f>MAX(F22:F23)</f>
        <v>11.4</v>
      </c>
      <c r="D51" s="182">
        <f>MEDIAN(F22:F23)</f>
        <v>9.15</v>
      </c>
    </row>
    <row r="52" spans="1:4" x14ac:dyDescent="0.2">
      <c r="A52" s="187" t="s">
        <v>1003</v>
      </c>
      <c r="B52" s="188"/>
      <c r="C52" s="188"/>
      <c r="D52" s="189"/>
    </row>
    <row r="53" spans="1:4" x14ac:dyDescent="0.2">
      <c r="A53" s="120" t="s">
        <v>1004</v>
      </c>
      <c r="B53" s="177">
        <f>B50*$B$6</f>
        <v>1750.09</v>
      </c>
      <c r="C53" s="177">
        <f>C50*$B$6</f>
        <v>2120.9700000000003</v>
      </c>
      <c r="D53" s="183">
        <f>D50*$B$6</f>
        <v>1935.53</v>
      </c>
    </row>
    <row r="54" spans="1:4" x14ac:dyDescent="0.2">
      <c r="A54" s="120" t="s">
        <v>1005</v>
      </c>
      <c r="B54" s="177">
        <f>B50*$B$7</f>
        <v>3322</v>
      </c>
      <c r="C54" s="177">
        <f>C50*$B$7</f>
        <v>4026</v>
      </c>
      <c r="D54" s="183">
        <f>D50*$B$7</f>
        <v>3674</v>
      </c>
    </row>
    <row r="55" spans="1:4" x14ac:dyDescent="0.2">
      <c r="A55" s="120" t="s">
        <v>1006</v>
      </c>
      <c r="B55" s="177">
        <f>B51*$B$9</f>
        <v>2998.9125000000004</v>
      </c>
      <c r="C55" s="177">
        <f>C51*$B$9</f>
        <v>4954.7250000000004</v>
      </c>
      <c r="D55" s="183">
        <f>D51*$B$9</f>
        <v>3976.8187500000004</v>
      </c>
    </row>
    <row r="56" spans="1:4" ht="16" thickBot="1" x14ac:dyDescent="0.25">
      <c r="A56" s="184" t="s">
        <v>1007</v>
      </c>
      <c r="B56" s="185">
        <f>B51*$B$10</f>
        <v>5692.5</v>
      </c>
      <c r="C56" s="185">
        <f>C51*$B$10</f>
        <v>9405</v>
      </c>
      <c r="D56" s="186">
        <f>D51*$B$10</f>
        <v>7548.75</v>
      </c>
    </row>
    <row r="57" spans="1:4" ht="16" thickBot="1" x14ac:dyDescent="0.25">
      <c r="B57" s="172"/>
      <c r="C57" s="172"/>
      <c r="D57" s="173"/>
    </row>
    <row r="58" spans="1:4" ht="22" customHeight="1" thickBot="1" x14ac:dyDescent="0.25">
      <c r="A58" s="910" t="s">
        <v>1010</v>
      </c>
      <c r="B58" s="911"/>
      <c r="C58" s="911"/>
      <c r="D58" s="912"/>
    </row>
    <row r="59" spans="1:4" ht="30" customHeight="1" x14ac:dyDescent="0.2">
      <c r="A59" s="904" t="s">
        <v>1011</v>
      </c>
      <c r="B59" s="905"/>
      <c r="C59" s="905"/>
      <c r="D59" s="906"/>
    </row>
    <row r="60" spans="1:4" x14ac:dyDescent="0.2">
      <c r="A60" s="120"/>
      <c r="B60" s="174" t="s">
        <v>229</v>
      </c>
      <c r="C60" s="174" t="s">
        <v>68</v>
      </c>
      <c r="D60" s="180" t="s">
        <v>1002</v>
      </c>
    </row>
    <row r="61" spans="1:4" x14ac:dyDescent="0.2">
      <c r="A61" s="120" t="s">
        <v>947</v>
      </c>
      <c r="B61" s="175">
        <f>MIN(E24:E27)</f>
        <v>4.24</v>
      </c>
      <c r="C61" s="175">
        <f>MAX(E24:E27)</f>
        <v>5.96</v>
      </c>
      <c r="D61" s="181">
        <f>MEDIAN(E24:E27)</f>
        <v>4.9400000000000004</v>
      </c>
    </row>
    <row r="62" spans="1:4" x14ac:dyDescent="0.2">
      <c r="A62" s="120" t="s">
        <v>948</v>
      </c>
      <c r="B62" s="176">
        <f>MIN(F24:F27)</f>
        <v>6.5</v>
      </c>
      <c r="C62" s="176">
        <f>MAX(F24:F27)</f>
        <v>9.5</v>
      </c>
      <c r="D62" s="182">
        <f>MEDIAN(F24:F27)</f>
        <v>8</v>
      </c>
    </row>
    <row r="63" spans="1:4" x14ac:dyDescent="0.2">
      <c r="A63" s="187" t="s">
        <v>1003</v>
      </c>
      <c r="B63" s="188"/>
      <c r="C63" s="188"/>
      <c r="D63" s="189"/>
    </row>
    <row r="64" spans="1:4" x14ac:dyDescent="0.2">
      <c r="A64" s="120" t="s">
        <v>1004</v>
      </c>
      <c r="B64" s="177">
        <f>B61*$B$6</f>
        <v>2457.08</v>
      </c>
      <c r="C64" s="177">
        <f>C61*$B$6</f>
        <v>3453.82</v>
      </c>
      <c r="D64" s="183">
        <f>D61*$B$6</f>
        <v>2862.73</v>
      </c>
    </row>
    <row r="65" spans="1:6" x14ac:dyDescent="0.2">
      <c r="A65" s="120" t="s">
        <v>1005</v>
      </c>
      <c r="B65" s="177">
        <f>B61*$B$7</f>
        <v>4664</v>
      </c>
      <c r="C65" s="177">
        <f>C61*$B$7</f>
        <v>6556</v>
      </c>
      <c r="D65" s="183">
        <f>D61*$B$7</f>
        <v>5434</v>
      </c>
    </row>
    <row r="66" spans="1:6" x14ac:dyDescent="0.2">
      <c r="A66" s="120" t="s">
        <v>1006</v>
      </c>
      <c r="B66" s="177">
        <f>B62*$B$9</f>
        <v>2825.0625</v>
      </c>
      <c r="C66" s="177">
        <f>C62*$B$9</f>
        <v>4128.9375</v>
      </c>
      <c r="D66" s="183">
        <f>D62*$B$9</f>
        <v>3477</v>
      </c>
    </row>
    <row r="67" spans="1:6" ht="16" thickBot="1" x14ac:dyDescent="0.25">
      <c r="A67" s="184" t="s">
        <v>1007</v>
      </c>
      <c r="B67" s="185">
        <f>B62*$B$10</f>
        <v>5362.5</v>
      </c>
      <c r="C67" s="185">
        <f>C62*$B$10</f>
        <v>7837.5</v>
      </c>
      <c r="D67" s="186">
        <f>D62*$B$10</f>
        <v>6600</v>
      </c>
    </row>
    <row r="68" spans="1:6" x14ac:dyDescent="0.2">
      <c r="B68" s="172"/>
      <c r="C68" s="172"/>
      <c r="D68" s="173"/>
    </row>
    <row r="69" spans="1:6" ht="22" customHeight="1" x14ac:dyDescent="0.2">
      <c r="A69" s="899" t="s">
        <v>1012</v>
      </c>
      <c r="B69" s="900"/>
      <c r="C69" s="900"/>
      <c r="D69" s="900"/>
      <c r="E69" s="899"/>
      <c r="F69" s="899"/>
    </row>
    <row r="70" spans="1:6" ht="16" thickBot="1" x14ac:dyDescent="0.25"/>
    <row r="71" spans="1:6" x14ac:dyDescent="0.2">
      <c r="A71" s="190" t="s">
        <v>1013</v>
      </c>
      <c r="B71" s="191">
        <f>MIN(B42:B45)</f>
        <v>231.8</v>
      </c>
    </row>
    <row r="72" spans="1:6" ht="16" thickBot="1" x14ac:dyDescent="0.25">
      <c r="A72" s="192" t="s">
        <v>1014</v>
      </c>
      <c r="B72" s="193">
        <f>MAX(C56,C67)</f>
        <v>9405</v>
      </c>
    </row>
    <row r="73" spans="1:6" ht="16" thickBot="1" x14ac:dyDescent="0.25">
      <c r="A73" s="194" t="s">
        <v>1015</v>
      </c>
      <c r="B73" s="195">
        <f>D55</f>
        <v>3976.8187500000004</v>
      </c>
    </row>
    <row r="74" spans="1:6" ht="16" thickBot="1" x14ac:dyDescent="0.25">
      <c r="A74" s="184" t="s">
        <v>1016</v>
      </c>
      <c r="B74" s="186">
        <f>B13</f>
        <v>10100</v>
      </c>
    </row>
    <row r="76" spans="1:6" ht="22" customHeight="1" x14ac:dyDescent="0.2">
      <c r="A76" s="899" t="s">
        <v>1017</v>
      </c>
      <c r="B76" s="899"/>
      <c r="C76" s="899"/>
      <c r="D76" s="899"/>
      <c r="E76" s="899"/>
      <c r="F76" s="899"/>
    </row>
    <row r="77" spans="1:6" ht="30" customHeight="1" x14ac:dyDescent="0.2">
      <c r="A77" s="897" t="s">
        <v>1018</v>
      </c>
      <c r="B77" s="897"/>
      <c r="C77" s="897"/>
      <c r="D77" s="897"/>
      <c r="E77" s="897"/>
      <c r="F77" s="897"/>
    </row>
    <row r="79" spans="1:6" x14ac:dyDescent="0.2">
      <c r="A79" s="104" t="s">
        <v>1019</v>
      </c>
      <c r="B79" s="196">
        <v>12060</v>
      </c>
    </row>
    <row r="80" spans="1:6" x14ac:dyDescent="0.2">
      <c r="A80" s="105" t="s">
        <v>1020</v>
      </c>
      <c r="B80" s="110">
        <v>927</v>
      </c>
    </row>
    <row r="81" spans="1:6" x14ac:dyDescent="0.2">
      <c r="A81" s="105" t="s">
        <v>1021</v>
      </c>
      <c r="B81" s="197">
        <f>B79/B80</f>
        <v>13.009708737864077</v>
      </c>
    </row>
    <row r="82" spans="1:6" x14ac:dyDescent="0.2">
      <c r="A82" s="105" t="s">
        <v>1022</v>
      </c>
      <c r="B82" s="198">
        <f>B79/(B80*0.5)</f>
        <v>26.019417475728154</v>
      </c>
    </row>
    <row r="83" spans="1:6" x14ac:dyDescent="0.2">
      <c r="A83" s="105" t="s">
        <v>1023</v>
      </c>
      <c r="B83" s="197">
        <f>B13/B6</f>
        <v>17.428817946505607</v>
      </c>
    </row>
    <row r="84" spans="1:6" x14ac:dyDescent="0.2">
      <c r="A84" s="105" t="s">
        <v>1024</v>
      </c>
      <c r="B84" s="198">
        <f>B13/B9</f>
        <v>23.238423928674145</v>
      </c>
    </row>
    <row r="85" spans="1:6" ht="92" x14ac:dyDescent="0.2">
      <c r="A85" s="199" t="s">
        <v>1025</v>
      </c>
      <c r="B85" s="200" t="s">
        <v>1026</v>
      </c>
    </row>
    <row r="87" spans="1:6" ht="22" customHeight="1" x14ac:dyDescent="0.2">
      <c r="A87" s="899" t="s">
        <v>1027</v>
      </c>
      <c r="B87" s="899"/>
      <c r="C87" s="899"/>
      <c r="D87" s="899"/>
      <c r="E87" s="899"/>
      <c r="F87" s="899"/>
    </row>
    <row r="88" spans="1:6" ht="30" customHeight="1" thickBot="1" x14ac:dyDescent="0.25">
      <c r="A88" s="897" t="s">
        <v>1028</v>
      </c>
      <c r="B88" s="897"/>
      <c r="C88" s="897"/>
      <c r="D88" s="897"/>
      <c r="E88" s="897"/>
      <c r="F88" s="897"/>
    </row>
    <row r="89" spans="1:6" ht="30" x14ac:dyDescent="0.2">
      <c r="A89" s="201"/>
      <c r="B89" s="202" t="s">
        <v>1029</v>
      </c>
      <c r="C89" s="202" t="s">
        <v>1030</v>
      </c>
      <c r="D89" s="202" t="s">
        <v>1031</v>
      </c>
      <c r="E89" s="202" t="s">
        <v>1032</v>
      </c>
      <c r="F89" s="745" t="s">
        <v>1033</v>
      </c>
    </row>
    <row r="90" spans="1:6" x14ac:dyDescent="0.2">
      <c r="A90" s="105" t="s">
        <v>1034</v>
      </c>
      <c r="B90" s="206">
        <f>$B$13/$B$6</f>
        <v>17.428817946505607</v>
      </c>
      <c r="C90" s="207">
        <f>D39</f>
        <v>1.07</v>
      </c>
      <c r="D90" s="207">
        <f>D50</f>
        <v>3.34</v>
      </c>
      <c r="E90" s="207">
        <f>D61</f>
        <v>4.9400000000000004</v>
      </c>
      <c r="F90" s="208">
        <f>B90/D50-1</f>
        <v>4.2182089660196427</v>
      </c>
    </row>
    <row r="91" spans="1:6" x14ac:dyDescent="0.2">
      <c r="A91" s="209" t="s">
        <v>1035</v>
      </c>
      <c r="B91" s="210">
        <f>$B$13/$B$7</f>
        <v>9.1818181818181817</v>
      </c>
      <c r="C91" s="211">
        <f>D39</f>
        <v>1.07</v>
      </c>
      <c r="D91" s="211">
        <f>D50</f>
        <v>3.34</v>
      </c>
      <c r="E91" s="211">
        <f>D61</f>
        <v>4.9400000000000004</v>
      </c>
      <c r="F91" s="212">
        <f>B91/D50-1</f>
        <v>1.7490473598258029</v>
      </c>
    </row>
    <row r="92" spans="1:6" x14ac:dyDescent="0.2">
      <c r="A92" s="105" t="s">
        <v>1036</v>
      </c>
      <c r="B92" s="206">
        <f>$B$13/$B$9</f>
        <v>23.238423928674145</v>
      </c>
      <c r="C92" s="213">
        <f>D40</f>
        <v>2.4</v>
      </c>
      <c r="D92" s="213">
        <f>D51</f>
        <v>9.15</v>
      </c>
      <c r="E92" s="213">
        <f>D62</f>
        <v>8</v>
      </c>
      <c r="F92" s="208">
        <f>B92/D51-1</f>
        <v>1.5397184621501796</v>
      </c>
    </row>
    <row r="93" spans="1:6" ht="16" thickBot="1" x14ac:dyDescent="0.25">
      <c r="A93" s="214" t="s">
        <v>1037</v>
      </c>
      <c r="B93" s="215">
        <f>$B$13/$B$10</f>
        <v>12.242424242424242</v>
      </c>
      <c r="C93" s="216">
        <f>D40</f>
        <v>2.4</v>
      </c>
      <c r="D93" s="216">
        <f>D51</f>
        <v>9.15</v>
      </c>
      <c r="E93" s="216">
        <f>D62</f>
        <v>8</v>
      </c>
      <c r="F93" s="217">
        <f>B93/D51-1</f>
        <v>0.33796986256002648</v>
      </c>
    </row>
    <row r="95" spans="1:6" ht="22" customHeight="1" x14ac:dyDescent="0.2">
      <c r="A95" s="899" t="s">
        <v>1038</v>
      </c>
      <c r="B95" s="899"/>
      <c r="C95" s="899"/>
      <c r="D95" s="899"/>
      <c r="E95" s="899"/>
      <c r="F95" s="899"/>
    </row>
    <row r="96" spans="1:6" ht="30" customHeight="1" x14ac:dyDescent="0.2">
      <c r="A96" s="897" t="s">
        <v>1039</v>
      </c>
      <c r="B96" s="897"/>
      <c r="C96" s="897"/>
      <c r="D96" s="897"/>
      <c r="E96" s="897"/>
      <c r="F96" s="897"/>
    </row>
    <row r="97" spans="1:6" ht="16" thickBot="1" x14ac:dyDescent="0.25"/>
    <row r="98" spans="1:6" x14ac:dyDescent="0.2">
      <c r="A98" s="218" t="s">
        <v>1040</v>
      </c>
      <c r="B98" s="219">
        <v>46143</v>
      </c>
      <c r="C98" s="219">
        <v>45931</v>
      </c>
      <c r="D98" s="219">
        <v>45748</v>
      </c>
      <c r="E98" s="219">
        <v>45017</v>
      </c>
      <c r="F98" s="220" t="s">
        <v>1041</v>
      </c>
    </row>
    <row r="99" spans="1:6" x14ac:dyDescent="0.2">
      <c r="A99" s="103" t="s">
        <v>983</v>
      </c>
      <c r="B99" s="221">
        <v>5.6</v>
      </c>
      <c r="C99" s="221">
        <v>6.5</v>
      </c>
      <c r="D99" s="221">
        <v>5.5</v>
      </c>
      <c r="E99" s="221">
        <v>3.5</v>
      </c>
      <c r="F99" s="222">
        <f>B99/E99-1</f>
        <v>0.59999999999999987</v>
      </c>
    </row>
    <row r="100" spans="1:6" x14ac:dyDescent="0.2">
      <c r="A100" s="204" t="s">
        <v>962</v>
      </c>
      <c r="B100" s="224">
        <v>4.0999999999999996</v>
      </c>
      <c r="C100" s="224">
        <v>6</v>
      </c>
      <c r="D100" s="224">
        <v>4.9000000000000004</v>
      </c>
      <c r="E100" s="224">
        <v>1.9</v>
      </c>
      <c r="F100" s="225">
        <f>B100/E100-1</f>
        <v>1.1578947368421053</v>
      </c>
    </row>
    <row r="101" spans="1:6" x14ac:dyDescent="0.2">
      <c r="A101" s="103" t="s">
        <v>970</v>
      </c>
      <c r="B101" s="221">
        <v>4.5999999999999996</v>
      </c>
      <c r="C101" s="221">
        <v>5.9</v>
      </c>
      <c r="D101" s="221">
        <v>5.8</v>
      </c>
      <c r="E101" s="221">
        <v>13.8</v>
      </c>
      <c r="F101" s="223">
        <f>B101/E101-1</f>
        <v>-0.66666666666666674</v>
      </c>
    </row>
    <row r="102" spans="1:6" ht="16" thickBot="1" x14ac:dyDescent="0.25">
      <c r="A102" s="205" t="s">
        <v>974</v>
      </c>
      <c r="B102" s="226">
        <v>5.2</v>
      </c>
      <c r="C102" s="226">
        <v>10</v>
      </c>
      <c r="D102" s="226">
        <v>6.9</v>
      </c>
      <c r="E102" s="226">
        <v>10.7</v>
      </c>
      <c r="F102" s="227">
        <f>B102/E102-1</f>
        <v>-0.51401869158878499</v>
      </c>
    </row>
    <row r="104" spans="1:6" ht="22" customHeight="1" x14ac:dyDescent="0.2">
      <c r="A104" s="899" t="s">
        <v>1042</v>
      </c>
      <c r="B104" s="899"/>
      <c r="C104" s="899"/>
      <c r="D104" s="899"/>
      <c r="E104" s="899"/>
      <c r="F104" s="899"/>
    </row>
    <row r="105" spans="1:6" ht="30" customHeight="1" x14ac:dyDescent="0.2">
      <c r="A105" s="897" t="s">
        <v>1043</v>
      </c>
      <c r="B105" s="897"/>
      <c r="C105" s="897"/>
      <c r="D105" s="897"/>
      <c r="E105" s="897"/>
      <c r="F105" s="897"/>
    </row>
    <row r="106" spans="1:6" ht="16" thickBot="1" x14ac:dyDescent="0.25"/>
    <row r="107" spans="1:6" x14ac:dyDescent="0.2">
      <c r="A107" s="201"/>
      <c r="B107" s="202" t="s">
        <v>1044</v>
      </c>
      <c r="C107" s="202" t="s">
        <v>1045</v>
      </c>
      <c r="D107" s="202" t="s">
        <v>61</v>
      </c>
      <c r="E107" s="203" t="s">
        <v>1046</v>
      </c>
    </row>
    <row r="108" spans="1:6" x14ac:dyDescent="0.2">
      <c r="A108" s="204" t="s">
        <v>951</v>
      </c>
      <c r="B108" s="234">
        <f t="shared" ref="B108:B116" si="1">G19</f>
        <v>-0.05</v>
      </c>
      <c r="C108" s="234">
        <f t="shared" ref="C108:C116" si="2">F19</f>
        <v>2.9</v>
      </c>
      <c r="D108" s="235" t="str">
        <f t="shared" ref="D108:D116" si="3">C19</f>
        <v>T3</v>
      </c>
      <c r="E108" s="236" t="s">
        <v>1047</v>
      </c>
    </row>
    <row r="109" spans="1:6" x14ac:dyDescent="0.2">
      <c r="A109" s="103" t="s">
        <v>956</v>
      </c>
      <c r="B109" s="231">
        <f t="shared" si="1"/>
        <v>-0.02</v>
      </c>
      <c r="C109" s="231">
        <f t="shared" si="2"/>
        <v>2.4</v>
      </c>
      <c r="D109" s="232" t="str">
        <f t="shared" si="3"/>
        <v>T3</v>
      </c>
      <c r="E109" s="233" t="s">
        <v>1047</v>
      </c>
    </row>
    <row r="110" spans="1:6" x14ac:dyDescent="0.2">
      <c r="A110" s="204" t="s">
        <v>959</v>
      </c>
      <c r="B110" s="234">
        <f t="shared" si="1"/>
        <v>-0.08</v>
      </c>
      <c r="C110" s="234">
        <f t="shared" si="2"/>
        <v>1.2</v>
      </c>
      <c r="D110" s="235" t="str">
        <f t="shared" si="3"/>
        <v>T3</v>
      </c>
      <c r="E110" s="236" t="s">
        <v>1047</v>
      </c>
    </row>
    <row r="111" spans="1:6" x14ac:dyDescent="0.2">
      <c r="A111" s="103" t="s">
        <v>962</v>
      </c>
      <c r="B111" s="231">
        <f t="shared" si="1"/>
        <v>0.13</v>
      </c>
      <c r="C111" s="231">
        <f t="shared" si="2"/>
        <v>11.4</v>
      </c>
      <c r="D111" s="232" t="str">
        <f t="shared" si="3"/>
        <v>T2</v>
      </c>
      <c r="E111" s="233" t="s">
        <v>1048</v>
      </c>
    </row>
    <row r="112" spans="1:6" x14ac:dyDescent="0.2">
      <c r="A112" s="204" t="s">
        <v>967</v>
      </c>
      <c r="B112" s="234">
        <f t="shared" si="1"/>
        <v>0.12</v>
      </c>
      <c r="C112" s="234">
        <f t="shared" si="2"/>
        <v>6.9</v>
      </c>
      <c r="D112" s="235" t="str">
        <f t="shared" si="3"/>
        <v>T2</v>
      </c>
      <c r="E112" s="236" t="s">
        <v>1048</v>
      </c>
    </row>
    <row r="113" spans="1:6" x14ac:dyDescent="0.2">
      <c r="A113" s="103" t="s">
        <v>970</v>
      </c>
      <c r="B113" s="231">
        <f t="shared" si="1"/>
        <v>0.11</v>
      </c>
      <c r="C113" s="231">
        <f t="shared" si="2"/>
        <v>7.1</v>
      </c>
      <c r="D113" s="232" t="str">
        <f t="shared" si="3"/>
        <v>T2</v>
      </c>
      <c r="E113" s="233" t="s">
        <v>1048</v>
      </c>
    </row>
    <row r="114" spans="1:6" x14ac:dyDescent="0.2">
      <c r="A114" s="204" t="s">
        <v>974</v>
      </c>
      <c r="B114" s="234">
        <f t="shared" si="1"/>
        <v>0.18</v>
      </c>
      <c r="C114" s="234">
        <f t="shared" si="2"/>
        <v>6.5</v>
      </c>
      <c r="D114" s="235" t="str">
        <f t="shared" si="3"/>
        <v>T2</v>
      </c>
      <c r="E114" s="236" t="s">
        <v>1048</v>
      </c>
    </row>
    <row r="115" spans="1:6" x14ac:dyDescent="0.2">
      <c r="A115" s="103" t="s">
        <v>977</v>
      </c>
      <c r="B115" s="231">
        <f t="shared" si="1"/>
        <v>0.08</v>
      </c>
      <c r="C115" s="231">
        <f t="shared" si="2"/>
        <v>8.9</v>
      </c>
      <c r="D115" s="232" t="str">
        <f t="shared" si="3"/>
        <v>T3</v>
      </c>
      <c r="E115" s="233" t="s">
        <v>1047</v>
      </c>
    </row>
    <row r="116" spans="1:6" ht="16" thickBot="1" x14ac:dyDescent="0.25">
      <c r="A116" s="237" t="s">
        <v>980</v>
      </c>
      <c r="B116" s="238">
        <f t="shared" si="1"/>
        <v>0.1</v>
      </c>
      <c r="C116" s="238">
        <f t="shared" si="2"/>
        <v>9.5</v>
      </c>
      <c r="D116" s="239" t="str">
        <f t="shared" si="3"/>
        <v>T3</v>
      </c>
      <c r="E116" s="240" t="s">
        <v>1047</v>
      </c>
    </row>
    <row r="117" spans="1:6" ht="16" thickBot="1" x14ac:dyDescent="0.25">
      <c r="A117" s="241" t="s">
        <v>1049</v>
      </c>
      <c r="B117" s="242">
        <f>B12</f>
        <v>0.7</v>
      </c>
      <c r="C117" s="242">
        <f>B92</f>
        <v>23.238423928674145</v>
      </c>
      <c r="D117" s="243" t="s">
        <v>1050</v>
      </c>
      <c r="E117" s="244" t="s">
        <v>1051</v>
      </c>
    </row>
    <row r="119" spans="1:6" x14ac:dyDescent="0.2">
      <c r="B119" s="245" t="s">
        <v>1052</v>
      </c>
      <c r="C119" s="246"/>
    </row>
    <row r="120" spans="1:6" x14ac:dyDescent="0.2">
      <c r="B120" s="247" t="s">
        <v>1053</v>
      </c>
      <c r="C120" s="249">
        <f>SLOPE(C111:C114,B111:B114)</f>
        <v>-15.689655172413786</v>
      </c>
    </row>
    <row r="121" spans="1:6" x14ac:dyDescent="0.2">
      <c r="B121" s="247" t="s">
        <v>1054</v>
      </c>
      <c r="C121" s="249">
        <f>INTERCEPT(C111:C114,B111:B114)</f>
        <v>10.093103448275862</v>
      </c>
    </row>
    <row r="122" spans="1:6" x14ac:dyDescent="0.2">
      <c r="B122" s="247" t="s">
        <v>1055</v>
      </c>
      <c r="C122" s="250">
        <f>C120*B12+C121</f>
        <v>-0.88965517241378755</v>
      </c>
    </row>
    <row r="123" spans="1:6" x14ac:dyDescent="0.2">
      <c r="B123" s="247" t="s">
        <v>1056</v>
      </c>
      <c r="C123" s="250">
        <f>B92</f>
        <v>23.238423928674145</v>
      </c>
    </row>
    <row r="124" spans="1:6" x14ac:dyDescent="0.2">
      <c r="B124" s="248" t="s">
        <v>1057</v>
      </c>
      <c r="C124" s="251">
        <f>C123-C122</f>
        <v>24.128079101087934</v>
      </c>
    </row>
    <row r="126" spans="1:6" ht="22" customHeight="1" x14ac:dyDescent="0.2">
      <c r="A126" s="899" t="s">
        <v>1058</v>
      </c>
      <c r="B126" s="899"/>
      <c r="C126" s="899"/>
      <c r="D126" s="899"/>
      <c r="E126" s="899"/>
      <c r="F126" s="899"/>
    </row>
    <row r="128" spans="1:6" ht="36" customHeight="1" x14ac:dyDescent="0.2">
      <c r="A128" s="916" t="s">
        <v>1059</v>
      </c>
      <c r="B128" s="914"/>
      <c r="C128" s="914"/>
      <c r="D128" s="914"/>
      <c r="E128" s="914"/>
      <c r="F128" s="914"/>
    </row>
    <row r="129" spans="1:6" ht="36" customHeight="1" x14ac:dyDescent="0.2">
      <c r="A129" s="917" t="s">
        <v>1060</v>
      </c>
      <c r="B129" s="855"/>
      <c r="C129" s="855"/>
      <c r="D129" s="855"/>
      <c r="E129" s="855"/>
      <c r="F129" s="855"/>
    </row>
    <row r="130" spans="1:6" ht="36" customHeight="1" x14ac:dyDescent="0.2">
      <c r="A130" s="917" t="s">
        <v>1061</v>
      </c>
      <c r="B130" s="855"/>
      <c r="C130" s="855"/>
      <c r="D130" s="855"/>
      <c r="E130" s="855"/>
      <c r="F130" s="855"/>
    </row>
    <row r="131" spans="1:6" ht="36" customHeight="1" x14ac:dyDescent="0.2">
      <c r="A131" s="917" t="s">
        <v>1062</v>
      </c>
      <c r="B131" s="855"/>
      <c r="C131" s="855"/>
      <c r="D131" s="855"/>
      <c r="E131" s="855"/>
      <c r="F131" s="855"/>
    </row>
    <row r="132" spans="1:6" ht="36" customHeight="1" x14ac:dyDescent="0.2">
      <c r="A132" s="917" t="s">
        <v>1063</v>
      </c>
      <c r="B132" s="855"/>
      <c r="C132" s="855"/>
      <c r="D132" s="855"/>
      <c r="E132" s="855"/>
      <c r="F132" s="855"/>
    </row>
    <row r="133" spans="1:6" ht="36" customHeight="1" x14ac:dyDescent="0.2">
      <c r="A133" s="917" t="s">
        <v>1064</v>
      </c>
      <c r="B133" s="855"/>
      <c r="C133" s="855"/>
      <c r="D133" s="855"/>
      <c r="E133" s="855"/>
      <c r="F133" s="855"/>
    </row>
    <row r="134" spans="1:6" ht="36" customHeight="1" x14ac:dyDescent="0.2">
      <c r="A134" s="913" t="s">
        <v>1065</v>
      </c>
      <c r="B134" s="914"/>
      <c r="C134" s="914"/>
      <c r="D134" s="914"/>
      <c r="E134" s="914"/>
      <c r="F134" s="914"/>
    </row>
    <row r="136" spans="1:6" x14ac:dyDescent="0.2">
      <c r="A136" s="915" t="s">
        <v>1066</v>
      </c>
      <c r="B136" s="858"/>
      <c r="C136" s="858"/>
      <c r="D136" s="858"/>
      <c r="E136" s="858"/>
      <c r="F136" s="858"/>
    </row>
  </sheetData>
  <mergeCells count="31">
    <mergeCell ref="A95:F95"/>
    <mergeCell ref="A104:F104"/>
    <mergeCell ref="A134:F134"/>
    <mergeCell ref="A136:F136"/>
    <mergeCell ref="A128:F128"/>
    <mergeCell ref="A129:F129"/>
    <mergeCell ref="A130:F130"/>
    <mergeCell ref="A131:F131"/>
    <mergeCell ref="A132:F132"/>
    <mergeCell ref="A133:F133"/>
    <mergeCell ref="A126:F126"/>
    <mergeCell ref="A16:F16"/>
    <mergeCell ref="A34:F34"/>
    <mergeCell ref="A77:F77"/>
    <mergeCell ref="A88:F88"/>
    <mergeCell ref="A96:F96"/>
    <mergeCell ref="A69:F69"/>
    <mergeCell ref="A105:F105"/>
    <mergeCell ref="A36:D36"/>
    <mergeCell ref="A37:D37"/>
    <mergeCell ref="A47:D47"/>
    <mergeCell ref="A48:D48"/>
    <mergeCell ref="A58:D58"/>
    <mergeCell ref="A59:D59"/>
    <mergeCell ref="A76:F76"/>
    <mergeCell ref="A87:F87"/>
    <mergeCell ref="A1:F1"/>
    <mergeCell ref="A2:F2"/>
    <mergeCell ref="A4:F4"/>
    <mergeCell ref="A15:F15"/>
    <mergeCell ref="A33:F33"/>
  </mergeCell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N21"/>
  <sheetViews>
    <sheetView showGridLines="0" workbookViewId="0">
      <selection activeCell="A20" sqref="A20"/>
    </sheetView>
  </sheetViews>
  <sheetFormatPr baseColWidth="10" defaultColWidth="8.83203125" defaultRowHeight="15" x14ac:dyDescent="0.2"/>
  <cols>
    <col min="1" max="1" width="33.33203125" customWidth="1"/>
    <col min="2" max="2" width="15" customWidth="1"/>
    <col min="3" max="5" width="13.33203125" customWidth="1"/>
    <col min="6" max="7" width="15" customWidth="1"/>
    <col min="8" max="8" width="46.6640625" customWidth="1"/>
  </cols>
  <sheetData>
    <row r="1" spans="1:14" ht="28" customHeight="1" x14ac:dyDescent="0.25">
      <c r="A1" s="874" t="s">
        <v>1067</v>
      </c>
      <c r="B1" s="874"/>
      <c r="C1" s="874"/>
      <c r="D1" s="874"/>
      <c r="E1" s="874"/>
      <c r="F1" s="874"/>
      <c r="G1" s="874"/>
      <c r="H1" s="874"/>
      <c r="I1" s="874"/>
      <c r="J1" s="874"/>
      <c r="K1" s="874"/>
      <c r="L1" s="874"/>
      <c r="M1" s="874"/>
      <c r="N1" s="874"/>
    </row>
    <row r="2" spans="1:14" x14ac:dyDescent="0.2">
      <c r="A2" s="875" t="s">
        <v>1068</v>
      </c>
      <c r="B2" s="875"/>
      <c r="C2" s="875"/>
      <c r="D2" s="875"/>
      <c r="E2" s="875"/>
      <c r="F2" s="875"/>
      <c r="G2" s="875"/>
      <c r="H2" s="875"/>
      <c r="I2" s="875"/>
      <c r="J2" s="875"/>
      <c r="K2" s="875"/>
      <c r="L2" s="875"/>
      <c r="M2" s="875"/>
      <c r="N2" s="875"/>
    </row>
    <row r="4" spans="1:14" ht="22" customHeight="1" thickBot="1" x14ac:dyDescent="0.25">
      <c r="A4" s="671" t="s">
        <v>1069</v>
      </c>
      <c r="B4" s="663" t="s">
        <v>1070</v>
      </c>
      <c r="C4" s="663" t="s">
        <v>1071</v>
      </c>
      <c r="D4" s="663" t="s">
        <v>1072</v>
      </c>
      <c r="E4" s="663" t="s">
        <v>1073</v>
      </c>
      <c r="F4" s="663" t="s">
        <v>1074</v>
      </c>
      <c r="G4" s="663" t="s">
        <v>721</v>
      </c>
      <c r="H4" s="674" t="s">
        <v>1075</v>
      </c>
    </row>
    <row r="5" spans="1:14" x14ac:dyDescent="0.2">
      <c r="A5" s="672" t="s">
        <v>1076</v>
      </c>
      <c r="B5" s="2" t="s">
        <v>1077</v>
      </c>
      <c r="C5" s="664">
        <v>2.1</v>
      </c>
      <c r="D5" s="664">
        <v>1.43</v>
      </c>
      <c r="E5" s="732">
        <v>1.5</v>
      </c>
      <c r="F5" s="733" t="s">
        <v>1078</v>
      </c>
      <c r="G5" s="733" t="s">
        <v>1079</v>
      </c>
      <c r="H5" s="706" t="s">
        <v>1080</v>
      </c>
    </row>
    <row r="6" spans="1:14" x14ac:dyDescent="0.2">
      <c r="A6" s="673" t="s">
        <v>1081</v>
      </c>
      <c r="B6" s="662" t="s">
        <v>1082</v>
      </c>
      <c r="C6" s="668">
        <v>0.5</v>
      </c>
      <c r="D6" s="668">
        <v>0.17</v>
      </c>
      <c r="E6" s="734">
        <v>2.9</v>
      </c>
      <c r="F6" s="735" t="s">
        <v>1078</v>
      </c>
      <c r="G6" s="735" t="s">
        <v>1083</v>
      </c>
      <c r="H6" s="707" t="s">
        <v>1084</v>
      </c>
    </row>
    <row r="7" spans="1:14" x14ac:dyDescent="0.2">
      <c r="A7" s="672" t="s">
        <v>1085</v>
      </c>
      <c r="B7" s="2" t="s">
        <v>1086</v>
      </c>
      <c r="C7" s="664">
        <v>18.5</v>
      </c>
      <c r="D7" s="664">
        <v>0.28999999999999998</v>
      </c>
      <c r="E7" s="732">
        <v>63.8</v>
      </c>
      <c r="F7" s="733" t="s">
        <v>1078</v>
      </c>
      <c r="G7" s="733" t="s">
        <v>1087</v>
      </c>
      <c r="H7" s="706" t="s">
        <v>1088</v>
      </c>
    </row>
    <row r="8" spans="1:14" x14ac:dyDescent="0.2">
      <c r="A8" s="673" t="s">
        <v>1089</v>
      </c>
      <c r="B8" s="662" t="s">
        <v>1090</v>
      </c>
      <c r="C8" s="668">
        <v>19.7</v>
      </c>
      <c r="D8" s="668">
        <v>1.48</v>
      </c>
      <c r="E8" s="734">
        <v>13.3</v>
      </c>
      <c r="F8" s="735" t="s">
        <v>1091</v>
      </c>
      <c r="G8" s="735" t="s">
        <v>1087</v>
      </c>
      <c r="H8" s="707" t="s">
        <v>1092</v>
      </c>
    </row>
    <row r="9" spans="1:14" x14ac:dyDescent="0.2">
      <c r="A9" s="672" t="s">
        <v>1093</v>
      </c>
      <c r="B9" s="2" t="s">
        <v>1094</v>
      </c>
      <c r="C9" s="664">
        <v>1.03</v>
      </c>
      <c r="D9" s="664">
        <v>0.9</v>
      </c>
      <c r="E9" s="732">
        <v>1.1000000000000001</v>
      </c>
      <c r="F9" s="733" t="s">
        <v>1091</v>
      </c>
      <c r="G9" s="733" t="s">
        <v>1079</v>
      </c>
      <c r="H9" s="706" t="s">
        <v>1095</v>
      </c>
    </row>
    <row r="10" spans="1:14" x14ac:dyDescent="0.2">
      <c r="A10" s="673" t="s">
        <v>1096</v>
      </c>
      <c r="B10" s="662" t="s">
        <v>1097</v>
      </c>
      <c r="C10" s="668">
        <v>8</v>
      </c>
      <c r="D10" s="668">
        <v>0.77</v>
      </c>
      <c r="E10" s="734">
        <v>10.4</v>
      </c>
      <c r="F10" s="735" t="s">
        <v>1091</v>
      </c>
      <c r="G10" s="735" t="s">
        <v>1098</v>
      </c>
      <c r="H10" s="707" t="s">
        <v>1099</v>
      </c>
    </row>
    <row r="11" spans="1:14" x14ac:dyDescent="0.2">
      <c r="A11" s="672" t="s">
        <v>1100</v>
      </c>
      <c r="B11" s="2" t="s">
        <v>1101</v>
      </c>
      <c r="C11" s="664">
        <v>3.9</v>
      </c>
      <c r="D11" s="664">
        <v>1.1000000000000001</v>
      </c>
      <c r="E11" s="732">
        <v>3.5</v>
      </c>
      <c r="F11" s="733" t="s">
        <v>1091</v>
      </c>
      <c r="G11" s="733" t="s">
        <v>1087</v>
      </c>
      <c r="H11" s="706" t="s">
        <v>1102</v>
      </c>
    </row>
    <row r="12" spans="1:14" x14ac:dyDescent="0.2">
      <c r="A12" s="673" t="s">
        <v>1103</v>
      </c>
      <c r="B12" s="662" t="s">
        <v>1104</v>
      </c>
      <c r="C12" s="668">
        <v>13.1</v>
      </c>
      <c r="D12" s="668">
        <v>0.73</v>
      </c>
      <c r="E12" s="734">
        <v>17.899999999999999</v>
      </c>
      <c r="F12" s="735" t="s">
        <v>1105</v>
      </c>
      <c r="G12" s="735" t="s">
        <v>1098</v>
      </c>
      <c r="H12" s="707" t="s">
        <v>1106</v>
      </c>
    </row>
    <row r="13" spans="1:14" x14ac:dyDescent="0.2">
      <c r="A13" s="672" t="s">
        <v>1107</v>
      </c>
      <c r="B13" s="2" t="s">
        <v>1108</v>
      </c>
      <c r="C13" s="664">
        <v>3.7</v>
      </c>
      <c r="D13" s="664">
        <v>0.37</v>
      </c>
      <c r="E13" s="732">
        <v>10.1</v>
      </c>
      <c r="F13" s="733" t="s">
        <v>1105</v>
      </c>
      <c r="G13" s="733" t="s">
        <v>1098</v>
      </c>
      <c r="H13" s="706" t="s">
        <v>1109</v>
      </c>
    </row>
    <row r="14" spans="1:14" x14ac:dyDescent="0.2">
      <c r="A14" s="673" t="s">
        <v>1110</v>
      </c>
      <c r="B14" s="662" t="s">
        <v>1111</v>
      </c>
      <c r="C14" s="668">
        <v>4.9000000000000004</v>
      </c>
      <c r="D14" s="668">
        <v>0.6</v>
      </c>
      <c r="E14" s="734">
        <v>8.1</v>
      </c>
      <c r="F14" s="735" t="s">
        <v>1105</v>
      </c>
      <c r="G14" s="735" t="s">
        <v>1098</v>
      </c>
      <c r="H14" s="707" t="s">
        <v>1112</v>
      </c>
    </row>
    <row r="15" spans="1:14" ht="16" thickBot="1" x14ac:dyDescent="0.25">
      <c r="A15" s="676" t="s">
        <v>1113</v>
      </c>
      <c r="B15" s="677" t="s">
        <v>1114</v>
      </c>
      <c r="C15" s="679">
        <v>9.9</v>
      </c>
      <c r="D15" s="679">
        <v>1.51</v>
      </c>
      <c r="E15" s="736">
        <v>6.6</v>
      </c>
      <c r="F15" s="737" t="s">
        <v>1105</v>
      </c>
      <c r="G15" s="737" t="s">
        <v>1098</v>
      </c>
      <c r="H15" s="738" t="s">
        <v>1115</v>
      </c>
    </row>
    <row r="18" spans="1:8" ht="22" customHeight="1" x14ac:dyDescent="0.2">
      <c r="A18" s="836" t="s">
        <v>1116</v>
      </c>
      <c r="B18" s="878"/>
      <c r="C18" s="878"/>
      <c r="D18" s="878"/>
      <c r="E18" s="878"/>
      <c r="F18" s="878"/>
      <c r="G18" s="878"/>
      <c r="H18" s="878"/>
    </row>
    <row r="19" spans="1:8" x14ac:dyDescent="0.2">
      <c r="A19" s="739" t="s">
        <v>1117</v>
      </c>
      <c r="B19" s="28"/>
      <c r="C19" s="28"/>
      <c r="D19" s="28"/>
      <c r="E19" s="28"/>
      <c r="F19" s="28"/>
      <c r="G19" s="28"/>
      <c r="H19" s="28"/>
    </row>
    <row r="20" spans="1:8" x14ac:dyDescent="0.2">
      <c r="A20" s="740" t="s">
        <v>1118</v>
      </c>
      <c r="B20" s="28"/>
      <c r="C20" s="28"/>
      <c r="D20" s="28"/>
      <c r="E20" s="28"/>
      <c r="F20" s="28"/>
      <c r="G20" s="28"/>
      <c r="H20" s="28"/>
    </row>
    <row r="21" spans="1:8" x14ac:dyDescent="0.2">
      <c r="A21" s="3" t="s">
        <v>1119</v>
      </c>
    </row>
  </sheetData>
  <mergeCells count="3">
    <mergeCell ref="A1:N1"/>
    <mergeCell ref="A2:N2"/>
    <mergeCell ref="A18:H1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N35"/>
  <sheetViews>
    <sheetView showGridLines="0" workbookViewId="0">
      <selection activeCell="I41" sqref="I41"/>
    </sheetView>
  </sheetViews>
  <sheetFormatPr baseColWidth="10" defaultColWidth="8.83203125" defaultRowHeight="15" x14ac:dyDescent="0.2"/>
  <cols>
    <col min="1" max="1" width="33.33203125" customWidth="1"/>
    <col min="2" max="7" width="15" customWidth="1"/>
    <col min="8" max="8" width="18.33203125" customWidth="1"/>
    <col min="9" max="9" width="40" customWidth="1"/>
  </cols>
  <sheetData>
    <row r="1" spans="1:14" ht="28" customHeight="1" x14ac:dyDescent="0.25">
      <c r="A1" s="874" t="s">
        <v>1120</v>
      </c>
      <c r="B1" s="874"/>
      <c r="C1" s="874"/>
      <c r="D1" s="874"/>
      <c r="E1" s="874"/>
      <c r="F1" s="874"/>
      <c r="G1" s="874"/>
      <c r="H1" s="874"/>
      <c r="I1" s="874"/>
      <c r="J1" s="874"/>
      <c r="K1" s="874"/>
      <c r="L1" s="874"/>
      <c r="M1" s="874"/>
      <c r="N1" s="874"/>
    </row>
    <row r="2" spans="1:14" x14ac:dyDescent="0.2">
      <c r="A2" s="875" t="s">
        <v>1121</v>
      </c>
      <c r="B2" s="875"/>
      <c r="C2" s="875"/>
      <c r="D2" s="875"/>
      <c r="E2" s="875"/>
      <c r="F2" s="875"/>
      <c r="G2" s="875"/>
      <c r="H2" s="875"/>
      <c r="I2" s="875"/>
      <c r="J2" s="875"/>
      <c r="K2" s="875"/>
      <c r="L2" s="875"/>
      <c r="M2" s="875"/>
      <c r="N2" s="875"/>
    </row>
    <row r="4" spans="1:14" ht="22" customHeight="1" thickBot="1" x14ac:dyDescent="0.25">
      <c r="A4" s="671" t="s">
        <v>1122</v>
      </c>
      <c r="B4" s="663" t="s">
        <v>1070</v>
      </c>
      <c r="C4" s="663" t="s">
        <v>1123</v>
      </c>
      <c r="D4" s="663" t="s">
        <v>1124</v>
      </c>
      <c r="E4" s="663" t="s">
        <v>1125</v>
      </c>
      <c r="F4" s="663" t="s">
        <v>1126</v>
      </c>
      <c r="G4" s="663" t="s">
        <v>1127</v>
      </c>
      <c r="H4" s="663" t="s">
        <v>1128</v>
      </c>
      <c r="I4" s="674" t="s">
        <v>1129</v>
      </c>
    </row>
    <row r="5" spans="1:14" x14ac:dyDescent="0.2">
      <c r="A5" s="672" t="s">
        <v>1130</v>
      </c>
      <c r="B5" s="2" t="s">
        <v>1131</v>
      </c>
      <c r="C5" s="87">
        <v>1</v>
      </c>
      <c r="D5" s="664"/>
      <c r="E5" s="665"/>
      <c r="F5" s="2"/>
      <c r="G5" s="666"/>
      <c r="H5" s="2" t="s">
        <v>1132</v>
      </c>
      <c r="I5" s="255" t="s">
        <v>1133</v>
      </c>
    </row>
    <row r="6" spans="1:14" x14ac:dyDescent="0.2">
      <c r="A6" s="673" t="s">
        <v>1134</v>
      </c>
      <c r="B6" s="662" t="s">
        <v>1135</v>
      </c>
      <c r="C6" s="667">
        <v>4</v>
      </c>
      <c r="D6" s="668"/>
      <c r="E6" s="669"/>
      <c r="F6" s="662"/>
      <c r="G6" s="670"/>
      <c r="H6" s="662" t="s">
        <v>1132</v>
      </c>
      <c r="I6" s="675" t="s">
        <v>1136</v>
      </c>
    </row>
    <row r="7" spans="1:14" x14ac:dyDescent="0.2">
      <c r="A7" s="672" t="s">
        <v>1137</v>
      </c>
      <c r="B7" s="2" t="s">
        <v>1138</v>
      </c>
      <c r="C7" s="87">
        <v>12</v>
      </c>
      <c r="D7" s="664"/>
      <c r="E7" s="665"/>
      <c r="F7" s="2"/>
      <c r="G7" s="666"/>
      <c r="H7" s="2" t="s">
        <v>1132</v>
      </c>
      <c r="I7" s="255" t="s">
        <v>1139</v>
      </c>
    </row>
    <row r="8" spans="1:14" x14ac:dyDescent="0.2">
      <c r="A8" s="673" t="s">
        <v>1140</v>
      </c>
      <c r="B8" s="662" t="s">
        <v>1141</v>
      </c>
      <c r="C8" s="667">
        <v>55</v>
      </c>
      <c r="D8" s="668">
        <v>0.43</v>
      </c>
      <c r="E8" s="669"/>
      <c r="F8" s="662"/>
      <c r="G8" s="670"/>
      <c r="H8" s="662" t="s">
        <v>1132</v>
      </c>
      <c r="I8" s="675" t="s">
        <v>1142</v>
      </c>
    </row>
    <row r="9" spans="1:14" x14ac:dyDescent="0.2">
      <c r="A9" s="672" t="s">
        <v>1143</v>
      </c>
      <c r="B9" s="2" t="s">
        <v>1086</v>
      </c>
      <c r="C9" s="87">
        <v>100</v>
      </c>
      <c r="D9" s="664">
        <v>1.2</v>
      </c>
      <c r="E9" s="665"/>
      <c r="F9" s="2"/>
      <c r="G9" s="666"/>
      <c r="H9" s="2" t="s">
        <v>1132</v>
      </c>
      <c r="I9" s="255" t="s">
        <v>1142</v>
      </c>
    </row>
    <row r="10" spans="1:14" x14ac:dyDescent="0.2">
      <c r="A10" s="673" t="s">
        <v>1144</v>
      </c>
      <c r="B10" s="662" t="s">
        <v>1145</v>
      </c>
      <c r="C10" s="667">
        <v>200</v>
      </c>
      <c r="D10" s="668">
        <v>2.4</v>
      </c>
      <c r="E10" s="669"/>
      <c r="F10" s="662"/>
      <c r="G10" s="670"/>
      <c r="H10" s="662" t="s">
        <v>1132</v>
      </c>
      <c r="I10" s="675" t="s">
        <v>1146</v>
      </c>
    </row>
    <row r="11" spans="1:14" x14ac:dyDescent="0.2">
      <c r="A11" s="672" t="s">
        <v>1147</v>
      </c>
      <c r="B11" s="2" t="s">
        <v>1145</v>
      </c>
      <c r="C11" s="87">
        <v>200</v>
      </c>
      <c r="D11" s="664">
        <v>3.6</v>
      </c>
      <c r="E11" s="665">
        <v>4.76</v>
      </c>
      <c r="F11" s="2"/>
      <c r="G11" s="666"/>
      <c r="H11" s="2" t="s">
        <v>1132</v>
      </c>
      <c r="I11" s="255" t="s">
        <v>1146</v>
      </c>
    </row>
    <row r="12" spans="1:14" x14ac:dyDescent="0.2">
      <c r="A12" s="673" t="s">
        <v>1148</v>
      </c>
      <c r="B12" s="662" t="s">
        <v>1149</v>
      </c>
      <c r="C12" s="667">
        <v>46</v>
      </c>
      <c r="D12" s="668"/>
      <c r="E12" s="669"/>
      <c r="F12" s="662"/>
      <c r="G12" s="670"/>
      <c r="H12" s="662" t="s">
        <v>1150</v>
      </c>
      <c r="I12" s="675" t="s">
        <v>1151</v>
      </c>
    </row>
    <row r="13" spans="1:14" ht="16" thickBot="1" x14ac:dyDescent="0.25">
      <c r="A13" s="676" t="s">
        <v>1152</v>
      </c>
      <c r="B13" s="677" t="s">
        <v>1153</v>
      </c>
      <c r="C13" s="678">
        <v>575</v>
      </c>
      <c r="D13" s="679">
        <v>10.1</v>
      </c>
      <c r="E13" s="680">
        <v>11.23</v>
      </c>
      <c r="F13" s="677"/>
      <c r="G13" s="681">
        <v>5.7000000000000002E-2</v>
      </c>
      <c r="H13" s="677" t="s">
        <v>1132</v>
      </c>
      <c r="I13" s="682" t="s">
        <v>1154</v>
      </c>
    </row>
    <row r="14" spans="1:14" ht="16" thickBot="1" x14ac:dyDescent="0.25"/>
    <row r="15" spans="1:14" ht="16" thickBot="1" x14ac:dyDescent="0.25">
      <c r="A15" s="572" t="s">
        <v>1155</v>
      </c>
      <c r="B15" s="683"/>
      <c r="C15" s="684">
        <v>1030</v>
      </c>
      <c r="D15" s="683"/>
      <c r="E15" s="683"/>
      <c r="F15" s="683"/>
      <c r="G15" s="683"/>
      <c r="H15" s="683"/>
      <c r="I15" s="683"/>
    </row>
    <row r="16" spans="1:14" ht="16" thickTop="1" x14ac:dyDescent="0.2"/>
    <row r="17" spans="1:9" ht="22" customHeight="1" x14ac:dyDescent="0.2">
      <c r="A17" s="836" t="s">
        <v>1156</v>
      </c>
      <c r="B17" s="878"/>
      <c r="C17" s="878"/>
      <c r="D17" s="878"/>
      <c r="E17" s="878"/>
      <c r="F17" s="878"/>
      <c r="G17" s="878"/>
      <c r="H17" s="878"/>
      <c r="I17" s="878"/>
    </row>
    <row r="18" spans="1:9" x14ac:dyDescent="0.2">
      <c r="A18" s="3" t="s">
        <v>1157</v>
      </c>
      <c r="B18" s="28"/>
      <c r="C18" s="2" t="s">
        <v>1158</v>
      </c>
      <c r="D18" s="28"/>
      <c r="E18" s="40" t="s">
        <v>1159</v>
      </c>
      <c r="F18" s="28"/>
      <c r="G18" s="28"/>
      <c r="H18" s="28"/>
      <c r="I18" s="28"/>
    </row>
    <row r="19" spans="1:9" x14ac:dyDescent="0.2">
      <c r="A19" s="262" t="s">
        <v>1160</v>
      </c>
      <c r="B19" s="117"/>
      <c r="C19" s="662" t="s">
        <v>1161</v>
      </c>
      <c r="D19" s="117"/>
      <c r="E19" s="379" t="s">
        <v>1159</v>
      </c>
      <c r="F19" s="117"/>
      <c r="G19" s="117"/>
      <c r="H19" s="117"/>
      <c r="I19" s="117"/>
    </row>
    <row r="20" spans="1:9" x14ac:dyDescent="0.2">
      <c r="A20" s="3" t="s">
        <v>1162</v>
      </c>
      <c r="B20" s="28"/>
      <c r="C20" s="2" t="s">
        <v>1163</v>
      </c>
      <c r="D20" s="28"/>
      <c r="E20" s="40" t="s">
        <v>1164</v>
      </c>
      <c r="F20" s="28"/>
      <c r="G20" s="28"/>
      <c r="H20" s="28"/>
      <c r="I20" s="28"/>
    </row>
    <row r="21" spans="1:9" x14ac:dyDescent="0.2">
      <c r="A21" s="262" t="s">
        <v>1165</v>
      </c>
      <c r="B21" s="117"/>
      <c r="C21" s="662" t="s">
        <v>1166</v>
      </c>
      <c r="D21" s="117"/>
      <c r="E21" s="379" t="s">
        <v>1167</v>
      </c>
      <c r="F21" s="117"/>
      <c r="G21" s="117"/>
      <c r="H21" s="117"/>
      <c r="I21" s="117"/>
    </row>
    <row r="22" spans="1:9" x14ac:dyDescent="0.2">
      <c r="A22" s="3" t="s">
        <v>1168</v>
      </c>
      <c r="B22" s="28"/>
      <c r="C22" s="2" t="s">
        <v>1169</v>
      </c>
      <c r="D22" s="28"/>
      <c r="E22" s="40" t="s">
        <v>1159</v>
      </c>
      <c r="F22" s="28"/>
      <c r="G22" s="28"/>
      <c r="H22" s="28"/>
      <c r="I22" s="28"/>
    </row>
    <row r="23" spans="1:9" x14ac:dyDescent="0.2">
      <c r="A23" s="262" t="s">
        <v>1170</v>
      </c>
      <c r="B23" s="117"/>
      <c r="C23" s="662" t="s">
        <v>1171</v>
      </c>
      <c r="D23" s="117"/>
      <c r="E23" s="379" t="s">
        <v>1172</v>
      </c>
      <c r="F23" s="117"/>
      <c r="G23" s="117"/>
      <c r="H23" s="117"/>
      <c r="I23" s="117"/>
    </row>
    <row r="26" spans="1:9" ht="22" customHeight="1" x14ac:dyDescent="0.2">
      <c r="A26" s="836" t="s">
        <v>1173</v>
      </c>
      <c r="B26" s="878"/>
      <c r="C26" s="878"/>
      <c r="D26" s="878"/>
      <c r="E26" s="878"/>
      <c r="F26" s="878"/>
      <c r="G26" s="878"/>
      <c r="H26" s="878"/>
      <c r="I26" s="878"/>
    </row>
    <row r="27" spans="1:9" ht="16" thickBot="1" x14ac:dyDescent="0.25">
      <c r="A27" s="6"/>
      <c r="B27" s="6"/>
      <c r="C27" s="685" t="s">
        <v>1174</v>
      </c>
      <c r="D27" s="685"/>
      <c r="E27" s="685" t="s">
        <v>1175</v>
      </c>
      <c r="F27" s="685"/>
      <c r="G27" s="685" t="s">
        <v>1176</v>
      </c>
      <c r="H27" s="6"/>
      <c r="I27" s="6"/>
    </row>
    <row r="28" spans="1:9" x14ac:dyDescent="0.2">
      <c r="A28" s="686" t="s">
        <v>1177</v>
      </c>
      <c r="B28" s="687"/>
      <c r="C28" s="688"/>
      <c r="D28" s="687"/>
      <c r="E28" s="688"/>
      <c r="F28" s="687"/>
      <c r="G28" s="688"/>
    </row>
    <row r="29" spans="1:9" x14ac:dyDescent="0.2">
      <c r="A29" s="686" t="s">
        <v>1178</v>
      </c>
      <c r="B29" s="687"/>
      <c r="C29" s="688"/>
      <c r="D29" s="687"/>
      <c r="E29" s="688"/>
      <c r="F29" s="687"/>
      <c r="G29" s="688"/>
    </row>
    <row r="30" spans="1:9" x14ac:dyDescent="0.2">
      <c r="A30" s="686" t="s">
        <v>1179</v>
      </c>
      <c r="B30" s="687"/>
      <c r="C30" s="688"/>
      <c r="D30" s="687"/>
      <c r="E30" s="688"/>
      <c r="F30" s="687"/>
      <c r="G30" s="688"/>
    </row>
    <row r="31" spans="1:9" x14ac:dyDescent="0.2">
      <c r="A31" s="686" t="s">
        <v>1180</v>
      </c>
      <c r="B31" s="687"/>
      <c r="C31" s="688"/>
      <c r="D31" s="687"/>
      <c r="E31" s="688"/>
      <c r="F31" s="687"/>
      <c r="G31" s="688"/>
    </row>
    <row r="32" spans="1:9" x14ac:dyDescent="0.2">
      <c r="A32" s="686" t="s">
        <v>1181</v>
      </c>
      <c r="B32" s="687"/>
      <c r="C32" s="688"/>
      <c r="D32" s="687"/>
      <c r="E32" s="688"/>
      <c r="F32" s="687"/>
      <c r="G32" s="688"/>
    </row>
    <row r="33" spans="1:7" x14ac:dyDescent="0.2">
      <c r="A33" s="686" t="s">
        <v>1182</v>
      </c>
      <c r="B33" s="687"/>
      <c r="C33" s="688"/>
      <c r="D33" s="687"/>
      <c r="E33" s="688"/>
      <c r="F33" s="687"/>
      <c r="G33" s="688"/>
    </row>
    <row r="34" spans="1:7" x14ac:dyDescent="0.2">
      <c r="A34" s="686" t="s">
        <v>1183</v>
      </c>
      <c r="B34" s="687"/>
      <c r="C34" s="688"/>
      <c r="D34" s="687"/>
      <c r="E34" s="688"/>
      <c r="F34" s="687"/>
      <c r="G34" s="688"/>
    </row>
    <row r="35" spans="1:7" x14ac:dyDescent="0.2">
      <c r="A35" s="686" t="s">
        <v>1184</v>
      </c>
      <c r="B35" s="687"/>
      <c r="C35" s="688"/>
      <c r="D35" s="687"/>
      <c r="E35" s="688"/>
      <c r="F35" s="687"/>
      <c r="G35" s="688"/>
    </row>
  </sheetData>
  <mergeCells count="4">
    <mergeCell ref="A1:N1"/>
    <mergeCell ref="A2:N2"/>
    <mergeCell ref="A17:I1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K36"/>
  <sheetViews>
    <sheetView showGridLines="0" tabSelected="1" workbookViewId="0">
      <selection activeCell="J23" sqref="J23"/>
    </sheetView>
  </sheetViews>
  <sheetFormatPr baseColWidth="10" defaultColWidth="8.83203125" defaultRowHeight="15" x14ac:dyDescent="0.2"/>
  <cols>
    <col min="1" max="1" width="46.6640625" customWidth="1"/>
    <col min="2" max="2" width="21.6640625" customWidth="1"/>
    <col min="3" max="8" width="13.33203125" customWidth="1"/>
    <col min="9" max="10" width="12.5" customWidth="1"/>
    <col min="11" max="11" width="53.33203125" customWidth="1"/>
  </cols>
  <sheetData>
    <row r="1" spans="1:11" ht="28" customHeight="1" x14ac:dyDescent="0.25">
      <c r="A1" s="895" t="s">
        <v>1185</v>
      </c>
      <c r="B1" s="896"/>
      <c r="C1" s="896"/>
      <c r="D1" s="896"/>
      <c r="E1" s="896"/>
      <c r="F1" s="896"/>
      <c r="G1" s="896"/>
      <c r="H1" s="896"/>
      <c r="I1" s="896"/>
      <c r="J1" s="896"/>
      <c r="K1" s="896"/>
    </row>
    <row r="2" spans="1:11" ht="28" customHeight="1" x14ac:dyDescent="0.2">
      <c r="A2" s="897" t="s">
        <v>1186</v>
      </c>
      <c r="B2" s="877"/>
      <c r="C2" s="877"/>
      <c r="D2" s="877"/>
      <c r="E2" s="877"/>
      <c r="F2" s="877"/>
      <c r="G2" s="877"/>
      <c r="H2" s="877"/>
      <c r="I2" s="877"/>
      <c r="J2" s="877"/>
      <c r="K2" s="877"/>
    </row>
    <row r="3" spans="1:11" ht="16" thickBot="1" x14ac:dyDescent="0.25"/>
    <row r="4" spans="1:11" ht="22" customHeight="1" thickBot="1" x14ac:dyDescent="0.25">
      <c r="A4" s="305" t="s">
        <v>1187</v>
      </c>
      <c r="B4" s="306" t="s">
        <v>1188</v>
      </c>
      <c r="C4" s="307" t="s">
        <v>1189</v>
      </c>
      <c r="D4" s="307" t="s">
        <v>1190</v>
      </c>
      <c r="E4" s="307" t="s">
        <v>1191</v>
      </c>
      <c r="F4" s="307" t="s">
        <v>1192</v>
      </c>
      <c r="G4" s="307" t="s">
        <v>1193</v>
      </c>
      <c r="H4" s="307" t="s">
        <v>1194</v>
      </c>
      <c r="I4" s="307" t="s">
        <v>1195</v>
      </c>
      <c r="J4" s="307" t="s">
        <v>1196</v>
      </c>
      <c r="K4" s="308" t="s">
        <v>1197</v>
      </c>
    </row>
    <row r="5" spans="1:11" x14ac:dyDescent="0.2">
      <c r="A5" s="102"/>
      <c r="K5" s="166"/>
    </row>
    <row r="6" spans="1:11" x14ac:dyDescent="0.2">
      <c r="A6" s="304" t="s">
        <v>1198</v>
      </c>
      <c r="B6" s="291" t="s">
        <v>1199</v>
      </c>
      <c r="C6" s="313">
        <f>Sensitivity!B29</f>
        <v>4.6214297616496074</v>
      </c>
      <c r="D6" s="314">
        <f>Sensitivity!C29</f>
        <v>7.3065144038412395</v>
      </c>
      <c r="E6" s="313">
        <f>Sensitivity!D29</f>
        <v>10.527151694176636</v>
      </c>
      <c r="F6" s="297">
        <f>(C6*1000 - Assumptions!$F$62 + Assumptions!$F$63)/Assumptions!$F$55</f>
        <v>12.954706735730751</v>
      </c>
      <c r="G6" s="298">
        <f>(D6*1000 - Assumptions!$F$62 + Assumptions!$F$63)/Assumptions!$F$55</f>
        <v>19.503693667905463</v>
      </c>
      <c r="H6" s="297">
        <f>(E6*1000 - Assumptions!$F$62 + Assumptions!$F$63)/Assumptions!$F$55</f>
        <v>27.358906571162528</v>
      </c>
      <c r="I6" s="300">
        <v>1</v>
      </c>
      <c r="J6" s="325">
        <f>D6*I6</f>
        <v>7.3065144038412395</v>
      </c>
      <c r="K6" s="328" t="s">
        <v>1200</v>
      </c>
    </row>
    <row r="7" spans="1:11" ht="27" x14ac:dyDescent="0.2">
      <c r="A7" s="332" t="s">
        <v>1201</v>
      </c>
      <c r="B7" s="31" t="s">
        <v>1202</v>
      </c>
      <c r="C7" s="315">
        <f>C6 + RealOptions!B32</f>
        <v>4.8006086094816354</v>
      </c>
      <c r="D7" s="315">
        <f>D6 + RealOptions!C32</f>
        <v>8.0109948341632649</v>
      </c>
      <c r="E7" s="315">
        <f>E6 + RealOptions!D32</f>
        <v>11.808285131114092</v>
      </c>
      <c r="F7" s="299">
        <f>(C7*1000 - Assumptions!$F$62 + Assumptions!$F$63)/Assumptions!$F$55</f>
        <v>13.391728315808868</v>
      </c>
      <c r="G7" s="299">
        <f>(D7*1000 - Assumptions!$F$62 + Assumptions!$F$63)/Assumptions!$F$55</f>
        <v>21.221938619910404</v>
      </c>
      <c r="H7" s="299">
        <f>(E7*1000 - Assumptions!$F$62 + Assumptions!$F$63)/Assumptions!$F$55</f>
        <v>30.483622271009978</v>
      </c>
      <c r="I7" s="321"/>
      <c r="J7" s="318"/>
      <c r="K7" s="329" t="s">
        <v>1203</v>
      </c>
    </row>
    <row r="8" spans="1:11" ht="27" x14ac:dyDescent="0.2">
      <c r="A8" s="304" t="s">
        <v>1204</v>
      </c>
      <c r="B8" s="291" t="s">
        <v>1205</v>
      </c>
      <c r="C8" s="313">
        <f>Comps!D43/1000</f>
        <v>1.177</v>
      </c>
      <c r="D8" s="314">
        <f>Comps!D55/1000</f>
        <v>3.9768187500000005</v>
      </c>
      <c r="E8" s="313">
        <f>Comps!D56/1000</f>
        <v>7.5487500000000001</v>
      </c>
      <c r="F8" s="297">
        <f>(C8*1000 - Assumptions!$F$62 + Assumptions!$F$63)/Assumptions!$F$55</f>
        <v>4.5536585365853659</v>
      </c>
      <c r="G8" s="298">
        <f>(D8*1000 - Assumptions!$F$62 + Assumptions!$F$63)/Assumptions!$F$55</f>
        <v>11.382484756097561</v>
      </c>
      <c r="H8" s="297">
        <f>(E8*1000 - Assumptions!$F$62 + Assumptions!$F$63)/Assumptions!$F$55</f>
        <v>20.094512195121951</v>
      </c>
      <c r="I8" s="300">
        <v>0</v>
      </c>
      <c r="J8" s="325">
        <f>D8*I8</f>
        <v>0</v>
      </c>
      <c r="K8" s="328" t="s">
        <v>1206</v>
      </c>
    </row>
    <row r="9" spans="1:11" x14ac:dyDescent="0.2">
      <c r="A9" s="179"/>
      <c r="B9" s="28"/>
      <c r="C9" s="316"/>
      <c r="D9" s="316"/>
      <c r="E9" s="316"/>
      <c r="F9" s="302"/>
      <c r="G9" s="302"/>
      <c r="H9" s="302"/>
      <c r="I9" s="321"/>
      <c r="J9" s="318"/>
      <c r="K9" s="166"/>
    </row>
    <row r="10" spans="1:11" x14ac:dyDescent="0.2">
      <c r="A10" s="333" t="s">
        <v>20</v>
      </c>
      <c r="B10" s="293" t="s">
        <v>1207</v>
      </c>
      <c r="C10" s="317" t="s">
        <v>491</v>
      </c>
      <c r="D10" s="317" t="s">
        <v>491</v>
      </c>
      <c r="E10" s="317" t="s">
        <v>491</v>
      </c>
      <c r="F10" s="297"/>
      <c r="G10" s="297"/>
      <c r="H10" s="297"/>
      <c r="I10" s="322"/>
      <c r="J10" s="314"/>
      <c r="K10" s="330" t="s">
        <v>1208</v>
      </c>
    </row>
    <row r="11" spans="1:11" x14ac:dyDescent="0.2">
      <c r="A11" s="179" t="s">
        <v>1209</v>
      </c>
      <c r="B11" s="31" t="s">
        <v>1210</v>
      </c>
      <c r="C11" s="316">
        <f>$D$19</f>
        <v>9.41</v>
      </c>
      <c r="D11" s="318">
        <f>$D$19</f>
        <v>9.41</v>
      </c>
      <c r="E11" s="316">
        <f>$D$19</f>
        <v>9.41</v>
      </c>
      <c r="F11" s="302">
        <f>(C11*1000 - Assumptions!$F$62 + Assumptions!$F$63)/Assumptions!$F$55</f>
        <v>24.634146341463413</v>
      </c>
      <c r="G11" s="303">
        <f>(D11*1000 - Assumptions!$F$62 + Assumptions!$F$63)/Assumptions!$F$55</f>
        <v>24.634146341463413</v>
      </c>
      <c r="H11" s="302">
        <f>(E11*1000 - Assumptions!$F$62 + Assumptions!$F$63)/Assumptions!$F$55</f>
        <v>24.634146341463413</v>
      </c>
      <c r="I11" s="323">
        <v>0</v>
      </c>
      <c r="J11" s="326">
        <f>D11*I11</f>
        <v>0</v>
      </c>
      <c r="K11" s="329" t="s">
        <v>1211</v>
      </c>
    </row>
    <row r="12" spans="1:11" ht="28" thickBot="1" x14ac:dyDescent="0.25">
      <c r="A12" s="309" t="s">
        <v>1212</v>
      </c>
      <c r="B12" s="310" t="s">
        <v>1213</v>
      </c>
      <c r="C12" s="319">
        <f>Assumptions!E94/1000</f>
        <v>11.882352941176471</v>
      </c>
      <c r="D12" s="320">
        <f>Assumptions!D94/1000</f>
        <v>12.625</v>
      </c>
      <c r="E12" s="319">
        <f>Assumptions!C94/1000</f>
        <v>13.466666666666667</v>
      </c>
      <c r="F12" s="311">
        <f>(C12*1000 - Assumptions!$F$62 + Assumptions!$F$63)/Assumptions!$F$55</f>
        <v>30.664275466284074</v>
      </c>
      <c r="G12" s="312">
        <f>(D12*1000 - Assumptions!$F$62 + Assumptions!$F$63)/Assumptions!$F$55</f>
        <v>32.475609756097562</v>
      </c>
      <c r="H12" s="311">
        <f>(E12*1000 - Assumptions!$F$62 + Assumptions!$F$63)/Assumptions!$F$55</f>
        <v>34.528455284552841</v>
      </c>
      <c r="I12" s="324">
        <v>0</v>
      </c>
      <c r="J12" s="327">
        <f>D12*I12</f>
        <v>0</v>
      </c>
      <c r="K12" s="331" t="s">
        <v>1214</v>
      </c>
    </row>
    <row r="13" spans="1:11" ht="16" thickBot="1" x14ac:dyDescent="0.25">
      <c r="K13" s="290"/>
    </row>
    <row r="14" spans="1:11" x14ac:dyDescent="0.2">
      <c r="A14" s="335" t="s">
        <v>1215</v>
      </c>
      <c r="B14" s="336"/>
      <c r="C14" s="336"/>
      <c r="D14" s="336"/>
      <c r="E14" s="336"/>
      <c r="F14" s="336"/>
      <c r="G14" s="336"/>
      <c r="H14" s="336"/>
      <c r="I14" s="337">
        <f>I6+I8+I11+I12</f>
        <v>1</v>
      </c>
      <c r="J14" s="338"/>
      <c r="K14" s="339"/>
    </row>
    <row r="15" spans="1:11" ht="16" thickBot="1" x14ac:dyDescent="0.25">
      <c r="K15" s="290"/>
    </row>
    <row r="16" spans="1:11" ht="16" x14ac:dyDescent="0.2">
      <c r="A16" s="343" t="s">
        <v>42</v>
      </c>
      <c r="B16" s="340"/>
      <c r="C16" s="340"/>
      <c r="D16" s="350">
        <f>J6+J8+J11+J12</f>
        <v>7.3065144038412395</v>
      </c>
      <c r="E16" s="340"/>
      <c r="F16" s="340"/>
      <c r="G16" s="341">
        <f>(D16*1000 - Assumptions!$F$62 + Assumptions!$F$63)/Assumptions!$F$55</f>
        <v>19.503693667905463</v>
      </c>
      <c r="H16" s="340"/>
      <c r="I16" s="340"/>
      <c r="J16" s="340"/>
      <c r="K16" s="345" t="s">
        <v>1216</v>
      </c>
    </row>
    <row r="17" spans="1:11" x14ac:dyDescent="0.2">
      <c r="A17" s="344" t="s">
        <v>1592</v>
      </c>
      <c r="B17" s="96"/>
      <c r="C17" s="96"/>
      <c r="D17" s="351">
        <f>DCF!C52/1000</f>
        <v>10.1</v>
      </c>
      <c r="E17" s="96"/>
      <c r="F17" s="96"/>
      <c r="G17" s="342">
        <f>(D17*1000 - Assumptions!$F$62 + Assumptions!$F$63)/Assumptions!$F$55</f>
        <v>26.317073170731707</v>
      </c>
      <c r="H17" s="96"/>
      <c r="I17" s="96"/>
      <c r="J17" s="96"/>
      <c r="K17" s="346"/>
    </row>
    <row r="18" spans="1:11" ht="16" thickBot="1" x14ac:dyDescent="0.25">
      <c r="A18" s="347" t="s">
        <v>1217</v>
      </c>
      <c r="B18" s="348"/>
      <c r="C18" s="348"/>
      <c r="D18" s="352">
        <f>D16/D19 - 1</f>
        <v>-0.22353725782771106</v>
      </c>
      <c r="E18" s="348"/>
      <c r="F18" s="348"/>
      <c r="G18" s="352">
        <f>G16/((D19*1000 - Assumptions!$F$62 + Assumptions!$F$63)/Assumptions!$F$55) - 1</f>
        <v>-0.20826590060977823</v>
      </c>
      <c r="H18" s="348"/>
      <c r="I18" s="348"/>
      <c r="J18" s="348"/>
      <c r="K18" s="349" t="s">
        <v>1218</v>
      </c>
    </row>
    <row r="19" spans="1:11" ht="32" x14ac:dyDescent="0.2">
      <c r="A19" s="90" t="s">
        <v>1593</v>
      </c>
      <c r="D19" s="944">
        <f>D17 - Assumptions!F63/1000 + Assumptions!F62/1000</f>
        <v>9.41</v>
      </c>
      <c r="K19" s="945" t="s">
        <v>1594</v>
      </c>
    </row>
    <row r="20" spans="1:11" x14ac:dyDescent="0.2">
      <c r="A20" s="842" t="s">
        <v>1219</v>
      </c>
      <c r="B20" s="919"/>
      <c r="C20" s="919"/>
      <c r="D20" s="919"/>
      <c r="E20" s="919"/>
      <c r="F20" s="919"/>
      <c r="G20" s="919"/>
      <c r="H20" s="919"/>
      <c r="I20" s="919"/>
      <c r="J20" s="919"/>
      <c r="K20" s="919"/>
    </row>
    <row r="21" spans="1:11" x14ac:dyDescent="0.2">
      <c r="A21" s="362" t="s">
        <v>1220</v>
      </c>
      <c r="B21" s="353" t="str">
        <f>INDEX($A$6:$A$12, MATCH(MIN(D6,D8,D11,D12), D6:D12, 0))</f>
        <v>2. Public Comps (three-thesis bracketing)</v>
      </c>
      <c r="C21" s="334"/>
      <c r="D21" s="354">
        <f>MIN(D6,D8,D11,D12)</f>
        <v>3.9768187500000005</v>
      </c>
      <c r="E21" s="334"/>
      <c r="F21" s="334"/>
      <c r="G21" s="355">
        <f>(D21*1000 - Assumptions!$F$62 + Assumptions!$F$63)/Assumptions!$F$55</f>
        <v>11.382484756097561</v>
      </c>
      <c r="H21" s="334"/>
      <c r="I21" s="334"/>
      <c r="J21" s="334"/>
      <c r="K21" s="364"/>
    </row>
    <row r="22" spans="1:11" x14ac:dyDescent="0.2">
      <c r="A22" s="363" t="s">
        <v>1221</v>
      </c>
      <c r="B22" s="356" t="str">
        <f>INDEX($A$6:$A$12, MATCH(MAX(D6,D8,D11,D12), D6:D12, 0))</f>
        <v>5. Implied IPO Trading Range</v>
      </c>
      <c r="D22" s="357">
        <f>MAX(D6,D8,D11,D12)</f>
        <v>12.625</v>
      </c>
      <c r="G22" s="358">
        <f>(D22*1000 - Assumptions!$F$62 + Assumptions!$F$63)/Assumptions!$F$55</f>
        <v>32.475609756097562</v>
      </c>
      <c r="K22" s="365"/>
    </row>
    <row r="23" spans="1:11" x14ac:dyDescent="0.2">
      <c r="A23" s="229" t="s">
        <v>1222</v>
      </c>
      <c r="B23" s="359"/>
      <c r="C23" s="359"/>
      <c r="D23" s="360">
        <f>D22-D21</f>
        <v>8.6481812500000004</v>
      </c>
      <c r="E23" s="359"/>
      <c r="F23" s="359"/>
      <c r="G23" s="361">
        <f>G22-G21</f>
        <v>21.093125000000001</v>
      </c>
      <c r="H23" s="359"/>
      <c r="I23" s="359"/>
      <c r="J23" s="359"/>
      <c r="K23" s="366"/>
    </row>
    <row r="25" spans="1:11" x14ac:dyDescent="0.2">
      <c r="A25" s="842" t="s">
        <v>1223</v>
      </c>
      <c r="B25" s="886"/>
      <c r="C25" s="886"/>
      <c r="D25" s="886"/>
      <c r="E25" s="886"/>
      <c r="F25" s="886"/>
      <c r="G25" s="886"/>
      <c r="H25" s="886"/>
      <c r="I25" s="886"/>
      <c r="J25" s="886"/>
      <c r="K25" s="886"/>
    </row>
    <row r="26" spans="1:11" ht="100" customHeight="1" x14ac:dyDescent="0.2">
      <c r="A26" s="844" t="s">
        <v>1452</v>
      </c>
      <c r="B26" s="920"/>
      <c r="C26" s="920"/>
      <c r="D26" s="920"/>
      <c r="E26" s="920"/>
      <c r="F26" s="920"/>
      <c r="G26" s="920"/>
      <c r="H26" s="920"/>
      <c r="I26" s="920"/>
      <c r="J26" s="920"/>
      <c r="K26" s="920"/>
    </row>
    <row r="27" spans="1:11" x14ac:dyDescent="0.2">
      <c r="A27" s="946" t="s">
        <v>1596</v>
      </c>
      <c r="B27" s="947"/>
      <c r="C27" s="947"/>
      <c r="D27" s="948" t="s">
        <v>1071</v>
      </c>
      <c r="E27" s="947"/>
      <c r="F27" s="947"/>
      <c r="G27" s="948" t="s">
        <v>694</v>
      </c>
      <c r="H27" s="947"/>
      <c r="I27" s="947"/>
      <c r="J27" s="947"/>
      <c r="K27" s="947" t="s">
        <v>1197</v>
      </c>
    </row>
    <row r="28" spans="1:11" x14ac:dyDescent="0.2">
      <c r="A28" s="949" t="s">
        <v>1595</v>
      </c>
      <c r="D28" s="950">
        <f>MEDIAN(D6, D7, D8)</f>
        <v>7.3065144038412395</v>
      </c>
      <c r="G28" s="951">
        <f>(D28*1000 - Assumptions!$F$62 + Assumptions!$F$63)/Assumptions!$F$55</f>
        <v>19.503693667905463</v>
      </c>
      <c r="K28" s="949" t="s">
        <v>1597</v>
      </c>
    </row>
    <row r="29" spans="1:11" x14ac:dyDescent="0.2">
      <c r="A29" s="864" t="s">
        <v>1224</v>
      </c>
      <c r="B29" s="918"/>
      <c r="C29" s="918"/>
      <c r="D29" s="918"/>
      <c r="E29" s="918"/>
    </row>
    <row r="30" spans="1:11" x14ac:dyDescent="0.2">
      <c r="A30" s="369" t="s">
        <v>1187</v>
      </c>
      <c r="B30" s="370" t="s">
        <v>1225</v>
      </c>
      <c r="C30" s="370" t="s">
        <v>1226</v>
      </c>
      <c r="D30" s="370" t="s">
        <v>1227</v>
      </c>
      <c r="E30" s="370" t="s">
        <v>1228</v>
      </c>
    </row>
    <row r="31" spans="1:11" x14ac:dyDescent="0.2">
      <c r="A31" s="368" t="s">
        <v>1229</v>
      </c>
      <c r="B31" s="371">
        <f>C6</f>
        <v>4.6214297616496074</v>
      </c>
      <c r="C31" s="371">
        <f>E6-C6</f>
        <v>5.9057219325270287</v>
      </c>
      <c r="D31" s="371">
        <f>D6</f>
        <v>7.3065144038412395</v>
      </c>
      <c r="E31" s="371">
        <f>$D$17</f>
        <v>10.1</v>
      </c>
    </row>
    <row r="32" spans="1:11" x14ac:dyDescent="0.2">
      <c r="A32" s="368" t="s">
        <v>1230</v>
      </c>
      <c r="B32" s="371">
        <f>C7</f>
        <v>4.8006086094816354</v>
      </c>
      <c r="C32" s="371">
        <f>E7-C7</f>
        <v>7.0076765216324564</v>
      </c>
      <c r="D32" s="371">
        <f>D7</f>
        <v>8.0109948341632649</v>
      </c>
      <c r="E32" s="371">
        <f>$D$17</f>
        <v>10.1</v>
      </c>
    </row>
    <row r="33" spans="1:5" x14ac:dyDescent="0.2">
      <c r="A33" s="368" t="s">
        <v>1231</v>
      </c>
      <c r="B33" s="371">
        <f>C8</f>
        <v>1.177</v>
      </c>
      <c r="C33" s="371">
        <f>E8-C8</f>
        <v>6.3717500000000005</v>
      </c>
      <c r="D33" s="371">
        <f>D8</f>
        <v>3.9768187500000005</v>
      </c>
      <c r="E33" s="371">
        <f>$D$17</f>
        <v>10.1</v>
      </c>
    </row>
    <row r="34" spans="1:5" x14ac:dyDescent="0.2">
      <c r="A34" s="368" t="s">
        <v>1209</v>
      </c>
      <c r="B34" s="371">
        <f>C11</f>
        <v>9.41</v>
      </c>
      <c r="C34" s="371">
        <v>1E-3</v>
      </c>
      <c r="D34" s="371">
        <f>D11</f>
        <v>9.41</v>
      </c>
      <c r="E34" s="371">
        <f>$D$17</f>
        <v>10.1</v>
      </c>
    </row>
    <row r="35" spans="1:5" x14ac:dyDescent="0.2">
      <c r="A35" s="368" t="s">
        <v>1232</v>
      </c>
      <c r="B35" s="371">
        <f>C12</f>
        <v>11.882352941176471</v>
      </c>
      <c r="C35" s="92">
        <f>E12-C12</f>
        <v>1.5843137254901958</v>
      </c>
      <c r="D35" s="371">
        <f>D12</f>
        <v>12.625</v>
      </c>
      <c r="E35" s="371">
        <f>$D$17</f>
        <v>10.1</v>
      </c>
    </row>
    <row r="36" spans="1:5" x14ac:dyDescent="0.2">
      <c r="A36" s="37" t="s">
        <v>1233</v>
      </c>
      <c r="B36" s="929">
        <f>D16</f>
        <v>7.3065144038412395</v>
      </c>
      <c r="C36" s="43">
        <v>1E-3</v>
      </c>
      <c r="D36" s="929">
        <f>D16</f>
        <v>7.3065144038412395</v>
      </c>
      <c r="E36" s="929">
        <f>$D$17</f>
        <v>10.1</v>
      </c>
    </row>
  </sheetData>
  <mergeCells count="6">
    <mergeCell ref="A29:E29"/>
    <mergeCell ref="A1:K1"/>
    <mergeCell ref="A2:K2"/>
    <mergeCell ref="A20:K20"/>
    <mergeCell ref="A25:K25"/>
    <mergeCell ref="A26:K26"/>
  </mergeCells>
  <pageMargins left="0.75" right="0.75" top="1" bottom="1" header="0.5" footer="0.5"/>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L16"/>
  <sheetViews>
    <sheetView showGridLines="0" workbookViewId="0">
      <selection activeCell="E20" sqref="E20"/>
    </sheetView>
  </sheetViews>
  <sheetFormatPr baseColWidth="10" defaultColWidth="8.83203125" defaultRowHeight="15" x14ac:dyDescent="0.2"/>
  <cols>
    <col min="1" max="1" width="46.6640625" customWidth="1"/>
    <col min="2" max="5" width="16.6640625" customWidth="1"/>
  </cols>
  <sheetData>
    <row r="1" spans="1:12" ht="28" customHeight="1" x14ac:dyDescent="0.2">
      <c r="A1" s="867" t="s">
        <v>1234</v>
      </c>
      <c r="B1" s="922"/>
      <c r="C1" s="922"/>
      <c r="D1" s="922"/>
      <c r="E1" s="922"/>
      <c r="F1" s="922"/>
      <c r="G1" s="922"/>
      <c r="H1" s="922"/>
      <c r="I1" s="922"/>
      <c r="J1" s="922"/>
      <c r="K1" s="922"/>
      <c r="L1" s="922"/>
    </row>
    <row r="2" spans="1:12" x14ac:dyDescent="0.2">
      <c r="A2" s="870" t="s">
        <v>1235</v>
      </c>
      <c r="B2" s="921"/>
      <c r="C2" s="921"/>
      <c r="D2" s="921"/>
      <c r="E2" s="921"/>
      <c r="F2" s="921"/>
      <c r="G2" s="921"/>
      <c r="H2" s="921"/>
      <c r="I2" s="921"/>
      <c r="J2" s="921"/>
      <c r="K2" s="921"/>
      <c r="L2" s="921"/>
    </row>
    <row r="4" spans="1:12" x14ac:dyDescent="0.2">
      <c r="A4" s="449" t="s">
        <v>1187</v>
      </c>
      <c r="B4" s="449" t="s">
        <v>1236</v>
      </c>
      <c r="C4" s="449" t="s">
        <v>1237</v>
      </c>
      <c r="D4" s="449" t="s">
        <v>1238</v>
      </c>
      <c r="E4" s="449" t="s">
        <v>63</v>
      </c>
      <c r="F4" s="56"/>
      <c r="G4" s="56"/>
      <c r="H4" s="56"/>
      <c r="I4" s="56"/>
      <c r="J4" s="56"/>
      <c r="K4" s="56"/>
      <c r="L4" s="56"/>
    </row>
    <row r="5" spans="1:12" x14ac:dyDescent="0.2">
      <c r="A5" s="18" t="s">
        <v>1239</v>
      </c>
      <c r="B5" s="27"/>
      <c r="C5" s="27"/>
      <c r="D5" s="27"/>
      <c r="E5" s="55" t="s">
        <v>1240</v>
      </c>
    </row>
    <row r="6" spans="1:12" ht="26" x14ac:dyDescent="0.2">
      <c r="A6" s="18" t="s">
        <v>1241</v>
      </c>
      <c r="B6" s="27"/>
      <c r="C6" s="27"/>
      <c r="D6" s="27"/>
      <c r="E6" s="55" t="s">
        <v>1242</v>
      </c>
    </row>
    <row r="7" spans="1:12" x14ac:dyDescent="0.2">
      <c r="A7" s="18" t="s">
        <v>1243</v>
      </c>
      <c r="B7" s="27"/>
      <c r="C7" s="27"/>
      <c r="D7" s="27"/>
      <c r="E7" s="55" t="s">
        <v>1244</v>
      </c>
    </row>
    <row r="8" spans="1:12" ht="26" x14ac:dyDescent="0.2">
      <c r="A8" s="18" t="s">
        <v>20</v>
      </c>
      <c r="B8" s="27"/>
      <c r="C8" s="27"/>
      <c r="D8" s="27"/>
      <c r="E8" s="55" t="s">
        <v>1245</v>
      </c>
    </row>
    <row r="9" spans="1:12" ht="26" x14ac:dyDescent="0.2">
      <c r="A9" s="18" t="s">
        <v>1246</v>
      </c>
      <c r="B9" s="27"/>
      <c r="C9" s="27"/>
      <c r="D9" s="27"/>
      <c r="E9" s="55" t="s">
        <v>1247</v>
      </c>
    </row>
    <row r="10" spans="1:12" ht="26" x14ac:dyDescent="0.2">
      <c r="A10" s="18" t="s">
        <v>1212</v>
      </c>
      <c r="B10" s="27"/>
      <c r="C10" s="27"/>
      <c r="D10" s="27"/>
      <c r="E10" s="55" t="s">
        <v>1248</v>
      </c>
    </row>
    <row r="12" spans="1:12" ht="20" customHeight="1" x14ac:dyDescent="0.2">
      <c r="A12" s="868" t="s">
        <v>1249</v>
      </c>
      <c r="B12" s="881"/>
      <c r="C12" s="881"/>
      <c r="D12" s="881"/>
      <c r="E12" s="881"/>
      <c r="F12" s="53"/>
      <c r="G12" s="53"/>
      <c r="H12" s="53"/>
      <c r="I12" s="53"/>
      <c r="J12" s="53"/>
      <c r="K12" s="53"/>
      <c r="L12" s="53"/>
    </row>
    <row r="13" spans="1:12" x14ac:dyDescent="0.2">
      <c r="A13" s="450" t="s">
        <v>1250</v>
      </c>
      <c r="B13" s="450" t="s">
        <v>1251</v>
      </c>
      <c r="C13" s="450" t="s">
        <v>1252</v>
      </c>
      <c r="D13" s="450" t="s">
        <v>1253</v>
      </c>
      <c r="E13" s="450" t="s">
        <v>1254</v>
      </c>
      <c r="F13" s="56"/>
      <c r="G13" s="56"/>
      <c r="H13" s="56"/>
      <c r="I13" s="56"/>
      <c r="J13" s="56"/>
      <c r="K13" s="56"/>
      <c r="L13" s="56"/>
    </row>
    <row r="14" spans="1:12" x14ac:dyDescent="0.2">
      <c r="A14" s="18" t="s">
        <v>1255</v>
      </c>
      <c r="B14" s="16">
        <v>0.35</v>
      </c>
      <c r="C14" s="16">
        <v>0.5</v>
      </c>
      <c r="D14" s="16">
        <v>0.15</v>
      </c>
      <c r="E14" s="26"/>
    </row>
    <row r="15" spans="1:12" x14ac:dyDescent="0.2">
      <c r="A15" s="18" t="s">
        <v>1256</v>
      </c>
      <c r="B15" s="16">
        <v>0.25</v>
      </c>
      <c r="C15" s="16">
        <v>0.5</v>
      </c>
      <c r="D15" s="16">
        <v>0.25</v>
      </c>
      <c r="E15" s="26"/>
    </row>
    <row r="16" spans="1:12" x14ac:dyDescent="0.2">
      <c r="A16" s="18" t="s">
        <v>1257</v>
      </c>
      <c r="B16" s="16">
        <v>0.15</v>
      </c>
      <c r="C16" s="16">
        <v>0.55000000000000004</v>
      </c>
      <c r="D16" s="16">
        <v>0.3</v>
      </c>
      <c r="E16" s="26"/>
    </row>
  </sheetData>
  <mergeCells count="3">
    <mergeCell ref="A2:L2"/>
    <mergeCell ref="A12:E12"/>
    <mergeCell ref="A1:L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H42"/>
  <sheetViews>
    <sheetView showGridLines="0" workbookViewId="0">
      <selection activeCell="F35" sqref="F35"/>
    </sheetView>
  </sheetViews>
  <sheetFormatPr baseColWidth="10" defaultColWidth="8.83203125" defaultRowHeight="15" x14ac:dyDescent="0.2"/>
  <cols>
    <col min="1" max="1" width="46.6640625" customWidth="1"/>
    <col min="2" max="8" width="11.6640625" customWidth="1"/>
  </cols>
  <sheetData>
    <row r="1" spans="1:8" ht="28" customHeight="1" x14ac:dyDescent="0.25">
      <c r="A1" s="895" t="s">
        <v>1258</v>
      </c>
      <c r="B1" s="896"/>
      <c r="C1" s="896"/>
      <c r="D1" s="896"/>
      <c r="E1" s="896"/>
      <c r="F1" s="896"/>
      <c r="G1" s="896"/>
      <c r="H1" s="896"/>
    </row>
    <row r="2" spans="1:8" ht="30" customHeight="1" x14ac:dyDescent="0.2">
      <c r="A2" s="897" t="s">
        <v>1450</v>
      </c>
      <c r="B2" s="923"/>
      <c r="C2" s="923"/>
      <c r="D2" s="923"/>
      <c r="E2" s="923"/>
      <c r="F2" s="923"/>
      <c r="G2" s="923"/>
      <c r="H2" s="923"/>
    </row>
    <row r="4" spans="1:8" ht="22" customHeight="1" thickBot="1" x14ac:dyDescent="0.25">
      <c r="A4" s="842" t="s">
        <v>1259</v>
      </c>
      <c r="B4" s="919"/>
      <c r="C4" s="919"/>
      <c r="D4" s="919"/>
      <c r="E4" s="919"/>
      <c r="F4" s="919"/>
      <c r="G4" s="919"/>
      <c r="H4" s="919"/>
    </row>
    <row r="5" spans="1:8" x14ac:dyDescent="0.2">
      <c r="A5" s="432" t="s">
        <v>1260</v>
      </c>
      <c r="B5" s="433">
        <v>2</v>
      </c>
      <c r="C5" s="433">
        <v>2.5</v>
      </c>
      <c r="D5" s="433">
        <v>3</v>
      </c>
      <c r="E5" s="433">
        <v>3.5</v>
      </c>
      <c r="F5" s="433">
        <v>4</v>
      </c>
      <c r="G5" s="433">
        <v>4.5</v>
      </c>
      <c r="H5" s="434">
        <v>5</v>
      </c>
    </row>
    <row r="6" spans="1:8" x14ac:dyDescent="0.2">
      <c r="A6" s="435">
        <v>9.35E-2</v>
      </c>
      <c r="B6" s="436" cm="1">
        <f t="array" ref="B6">(SUMPRODUCT(DCF!$D$9:$K$9, 1/(1+$A6)^DCF!$D$13:$K$13) + DCF!$K$8*B$5/(1+$A6)^DCF!$K$13)/1000</f>
        <v>5.5055754175875586</v>
      </c>
      <c r="C6" s="436" cm="1">
        <f t="array" ref="C6">(SUMPRODUCT(DCF!$D$9:$K$9, 1/(1+$A6)^DCF!$D$13:$K$13) + DCF!$K$8*C$5/(1+$A6)^DCF!$K$13)/1000</f>
        <v>6.342504797019072</v>
      </c>
      <c r="D6" s="436" cm="1">
        <f t="array" ref="D6">(SUMPRODUCT(DCF!$D$9:$K$9, 1/(1+$A6)^DCF!$D$13:$K$13) + DCF!$K$8*D$5/(1+$A6)^DCF!$K$13)/1000</f>
        <v>7.1794341764505845</v>
      </c>
      <c r="E6" s="436" cm="1">
        <f t="array" ref="E6">(SUMPRODUCT(DCF!$D$9:$K$9, 1/(1+$A6)^DCF!$D$13:$K$13) + DCF!$K$8*E$5/(1+$A6)^DCF!$K$13)/1000</f>
        <v>8.0163635558820978</v>
      </c>
      <c r="F6" s="436" cm="1">
        <f t="array" ref="F6">(SUMPRODUCT(DCF!$D$9:$K$9, 1/(1+$A6)^DCF!$D$13:$K$13) + DCF!$K$8*F$5/(1+$A6)^DCF!$K$13)/1000</f>
        <v>8.8532929353136112</v>
      </c>
      <c r="G6" s="436" cm="1">
        <f t="array" ref="G6">(SUMPRODUCT(DCF!$D$9:$K$9, 1/(1+$A6)^DCF!$D$13:$K$13) + DCF!$K$8*G$5/(1+$A6)^DCF!$K$13)/1000</f>
        <v>9.6902223147451245</v>
      </c>
      <c r="H6" s="437" cm="1">
        <f t="array" ref="H6">(SUMPRODUCT(DCF!$D$9:$K$9, 1/(1+$A6)^DCF!$D$13:$K$13) + DCF!$K$8*H$5/(1+$A6)^DCF!$K$13)/1000</f>
        <v>10.527151694176636</v>
      </c>
    </row>
    <row r="7" spans="1:8" x14ac:dyDescent="0.2">
      <c r="A7" s="435">
        <v>9.8500000000000004E-2</v>
      </c>
      <c r="B7" s="436" cm="1">
        <f t="array" ref="B7">(SUMPRODUCT(DCF!$D$9:$K$9, 1/(1+$A7)^DCF!$D$13:$K$13) + DCF!$K$8*B$5/(1+$A7)^DCF!$K$13)/1000</f>
        <v>5.3445694969301636</v>
      </c>
      <c r="C7" s="436" cm="1">
        <f t="array" ref="C7">(SUMPRODUCT(DCF!$D$9:$K$9, 1/(1+$A7)^DCF!$D$13:$K$13) + DCF!$K$8*C$5/(1+$A7)^DCF!$K$13)/1000</f>
        <v>6.1533473668276768</v>
      </c>
      <c r="D7" s="436" cm="1">
        <f t="array" ref="D7">(SUMPRODUCT(DCF!$D$9:$K$9, 1/(1+$A7)^DCF!$D$13:$K$13) + DCF!$K$8*D$5/(1+$A7)^DCF!$K$13)/1000</f>
        <v>6.9621252367251891</v>
      </c>
      <c r="E7" s="436" cm="1">
        <f t="array" ref="E7">(SUMPRODUCT(DCF!$D$9:$K$9, 1/(1+$A7)^DCF!$D$13:$K$13) + DCF!$K$8*E$5/(1+$A7)^DCF!$K$13)/1000</f>
        <v>7.7709031066227023</v>
      </c>
      <c r="F7" s="436" cm="1">
        <f t="array" ref="F7">(SUMPRODUCT(DCF!$D$9:$K$9, 1/(1+$A7)^DCF!$D$13:$K$13) + DCF!$K$8*F$5/(1+$A7)^DCF!$K$13)/1000</f>
        <v>8.5796809765202138</v>
      </c>
      <c r="G7" s="436" cm="1">
        <f t="array" ref="G7">(SUMPRODUCT(DCF!$D$9:$K$9, 1/(1+$A7)^DCF!$D$13:$K$13) + DCF!$K$8*G$5/(1+$A7)^DCF!$K$13)/1000</f>
        <v>9.388458846417727</v>
      </c>
      <c r="H7" s="437" cm="1">
        <f t="array" ref="H7">(SUMPRODUCT(DCF!$D$9:$K$9, 1/(1+$A7)^DCF!$D$13:$K$13) + DCF!$K$8*H$5/(1+$A7)^DCF!$K$13)/1000</f>
        <v>10.197236716315242</v>
      </c>
    </row>
    <row r="8" spans="1:8" x14ac:dyDescent="0.2">
      <c r="A8" s="435">
        <v>0.10349999999999999</v>
      </c>
      <c r="B8" s="436" cm="1">
        <f t="array" ref="B8">(SUMPRODUCT(DCF!$D$9:$K$9, 1/(1+$A8)^DCF!$D$13:$K$13) + DCF!$K$8*B$5/(1+$A8)^DCF!$K$13)/1000</f>
        <v>5.1893260281853166</v>
      </c>
      <c r="C8" s="436" cm="1">
        <f t="array" ref="C8">(SUMPRODUCT(DCF!$D$9:$K$9, 1/(1+$A8)^DCF!$D$13:$K$13) + DCF!$K$8*C$5/(1+$A8)^DCF!$K$13)/1000</f>
        <v>5.9710207645594364</v>
      </c>
      <c r="D8" s="436" cm="1">
        <f t="array" ref="D8">(SUMPRODUCT(DCF!$D$9:$K$9, 1/(1+$A8)^DCF!$D$13:$K$13) + DCF!$K$8*D$5/(1+$A8)^DCF!$K$13)/1000</f>
        <v>6.7527155009335562</v>
      </c>
      <c r="E8" s="436" cm="1">
        <f t="array" ref="E8">(SUMPRODUCT(DCF!$D$9:$K$9, 1/(1+$A8)^DCF!$D$13:$K$13) + DCF!$K$8*E$5/(1+$A8)^DCF!$K$13)/1000</f>
        <v>7.5344102373076769</v>
      </c>
      <c r="F8" s="436" cm="1">
        <f t="array" ref="F8">(SUMPRODUCT(DCF!$D$9:$K$9, 1/(1+$A8)^DCF!$D$13:$K$13) + DCF!$K$8*F$5/(1+$A8)^DCF!$K$13)/1000</f>
        <v>8.3161049736817976</v>
      </c>
      <c r="G8" s="436" cm="1">
        <f t="array" ref="G8">(SUMPRODUCT(DCF!$D$9:$K$9, 1/(1+$A8)^DCF!$D$13:$K$13) + DCF!$K$8*G$5/(1+$A8)^DCF!$K$13)/1000</f>
        <v>9.0977997100559147</v>
      </c>
      <c r="H8" s="437" cm="1">
        <f t="array" ref="H8">(SUMPRODUCT(DCF!$D$9:$K$9, 1/(1+$A8)^DCF!$D$13:$K$13) + DCF!$K$8*H$5/(1+$A8)^DCF!$K$13)/1000</f>
        <v>9.8794944464300354</v>
      </c>
    </row>
    <row r="9" spans="1:8" x14ac:dyDescent="0.2">
      <c r="A9" s="438">
        <v>0.1085</v>
      </c>
      <c r="B9" s="436" cm="1">
        <f t="array" ref="B9">(SUMPRODUCT(DCF!$D$9:$K$9, 1/(1+$A9)^DCF!$D$13:$K$13) + DCF!$K$8*B$5/(1+$A9)^DCF!$K$13)/1000</f>
        <v>5.0396098094245829</v>
      </c>
      <c r="C9" s="436" cm="1">
        <f t="array" ref="C9">(SUMPRODUCT(DCF!$D$9:$K$9, 1/(1+$A9)^DCF!$D$13:$K$13) + DCF!$K$8*C$5/(1+$A9)^DCF!$K$13)/1000</f>
        <v>5.7952446742301342</v>
      </c>
      <c r="D9" s="436" cm="1">
        <f t="array" ref="D9">(SUMPRODUCT(DCF!$D$9:$K$9, 1/(1+$A9)^DCF!$D$13:$K$13) + DCF!$K$8*D$5/(1+$A9)^DCF!$K$13)/1000</f>
        <v>6.5508795390356864</v>
      </c>
      <c r="E9" s="439" cm="1">
        <f t="array" ref="E9">(SUMPRODUCT(DCF!$D$9:$K$9, 1/(1+$A9)^DCF!$D$13:$K$13) + DCF!$K$8*E$5/(1+$A9)^DCF!$K$13)/1000</f>
        <v>7.3065144038412395</v>
      </c>
      <c r="F9" s="436" cm="1">
        <f t="array" ref="F9">(SUMPRODUCT(DCF!$D$9:$K$9, 1/(1+$A9)^DCF!$D$13:$K$13) + DCF!$K$8*F$5/(1+$A9)^DCF!$K$13)/1000</f>
        <v>8.0621492686467917</v>
      </c>
      <c r="G9" s="436" cm="1">
        <f t="array" ref="G9">(SUMPRODUCT(DCF!$D$9:$K$9, 1/(1+$A9)^DCF!$D$13:$K$13) + DCF!$K$8*G$5/(1+$A9)^DCF!$K$13)/1000</f>
        <v>8.8177841334523439</v>
      </c>
      <c r="H9" s="437" cm="1">
        <f t="array" ref="H9">(SUMPRODUCT(DCF!$D$9:$K$9, 1/(1+$A9)^DCF!$D$13:$K$13) + DCF!$K$8*H$5/(1+$A9)^DCF!$K$13)/1000</f>
        <v>9.5734189982578961</v>
      </c>
    </row>
    <row r="10" spans="1:8" x14ac:dyDescent="0.2">
      <c r="A10" s="435">
        <v>0.1135</v>
      </c>
      <c r="B10" s="436" cm="1">
        <f t="array" ref="B10">(SUMPRODUCT(DCF!$D$9:$K$9, 1/(1+$A10)^DCF!$D$13:$K$13) + DCF!$K$8*B$5/(1+$A10)^DCF!$K$13)/1000</f>
        <v>4.8951963251313115</v>
      </c>
      <c r="C10" s="436" cm="1">
        <f t="array" ref="C10">(SUMPRODUCT(DCF!$D$9:$K$9, 1/(1+$A10)^DCF!$D$13:$K$13) + DCF!$K$8*C$5/(1+$A10)^DCF!$K$13)/1000</f>
        <v>5.6257515624763252</v>
      </c>
      <c r="D10" s="436" cm="1">
        <f t="array" ref="D10">(SUMPRODUCT(DCF!$D$9:$K$9, 1/(1+$A10)^DCF!$D$13:$K$13) + DCF!$K$8*D$5/(1+$A10)^DCF!$K$13)/1000</f>
        <v>6.3563067998213381</v>
      </c>
      <c r="E10" s="436" cm="1">
        <f t="array" ref="E10">(SUMPRODUCT(DCF!$D$9:$K$9, 1/(1+$A10)^DCF!$D$13:$K$13) + DCF!$K$8*E$5/(1+$A10)^DCF!$K$13)/1000</f>
        <v>7.0868620371663527</v>
      </c>
      <c r="F10" s="436" cm="1">
        <f t="array" ref="F10">(SUMPRODUCT(DCF!$D$9:$K$9, 1/(1+$A10)^DCF!$D$13:$K$13) + DCF!$K$8*F$5/(1+$A10)^DCF!$K$13)/1000</f>
        <v>7.8174172745113655</v>
      </c>
      <c r="G10" s="436" cm="1">
        <f t="array" ref="G10">(SUMPRODUCT(DCF!$D$9:$K$9, 1/(1+$A10)^DCF!$D$13:$K$13) + DCF!$K$8*G$5/(1+$A10)^DCF!$K$13)/1000</f>
        <v>8.547972511856381</v>
      </c>
      <c r="H10" s="437" cm="1">
        <f t="array" ref="H10">(SUMPRODUCT(DCF!$D$9:$K$9, 1/(1+$A10)^DCF!$D$13:$K$13) + DCF!$K$8*H$5/(1+$A10)^DCF!$K$13)/1000</f>
        <v>9.2785277492013911</v>
      </c>
    </row>
    <row r="11" spans="1:8" x14ac:dyDescent="0.2">
      <c r="A11" s="435">
        <v>0.11849999999999999</v>
      </c>
      <c r="B11" s="436" cm="1">
        <f t="array" ref="B11">(SUMPRODUCT(DCF!$D$9:$K$9, 1/(1+$A11)^DCF!$D$13:$K$13) + DCF!$K$8*B$5/(1+$A11)^DCF!$K$13)/1000</f>
        <v>4.7558712133408552</v>
      </c>
      <c r="C11" s="436" cm="1">
        <f t="array" ref="C11">(SUMPRODUCT(DCF!$D$9:$K$9, 1/(1+$A11)^DCF!$D$13:$K$13) + DCF!$K$8*C$5/(1+$A11)^DCF!$K$13)/1000</f>
        <v>5.4622860394908601</v>
      </c>
      <c r="D11" s="436" cm="1">
        <f t="array" ref="D11">(SUMPRODUCT(DCF!$D$9:$K$9, 1/(1+$A11)^DCF!$D$13:$K$13) + DCF!$K$8*D$5/(1+$A11)^DCF!$K$13)/1000</f>
        <v>6.1687008656408651</v>
      </c>
      <c r="E11" s="436" cm="1">
        <f t="array" ref="E11">(SUMPRODUCT(DCF!$D$9:$K$9, 1/(1+$A11)^DCF!$D$13:$K$13) + DCF!$K$8*E$5/(1+$A11)^DCF!$K$13)/1000</f>
        <v>6.87511569179087</v>
      </c>
      <c r="F11" s="436" cm="1">
        <f t="array" ref="F11">(SUMPRODUCT(DCF!$D$9:$K$9, 1/(1+$A11)^DCF!$D$13:$K$13) + DCF!$K$8*F$5/(1+$A11)^DCF!$K$13)/1000</f>
        <v>7.581530517940875</v>
      </c>
      <c r="G11" s="436" cm="1">
        <f t="array" ref="G11">(SUMPRODUCT(DCF!$D$9:$K$9, 1/(1+$A11)^DCF!$D$13:$K$13) + DCF!$K$8*G$5/(1+$A11)^DCF!$K$13)/1000</f>
        <v>8.287945344090879</v>
      </c>
      <c r="H11" s="437" cm="1">
        <f t="array" ref="H11">(SUMPRODUCT(DCF!$D$9:$K$9, 1/(1+$A11)^DCF!$D$13:$K$13) + DCF!$K$8*H$5/(1+$A11)^DCF!$K$13)/1000</f>
        <v>8.9943601702408849</v>
      </c>
    </row>
    <row r="12" spans="1:8" x14ac:dyDescent="0.2">
      <c r="A12" s="440">
        <v>0.1235</v>
      </c>
      <c r="B12" s="441" cm="1">
        <f t="array" ref="B12">(SUMPRODUCT(DCF!$D$9:$K$9, 1/(1+$A12)^DCF!$D$13:$K$13) + DCF!$K$8*B$5/(1+$A12)^DCF!$K$13)/1000</f>
        <v>4.6214297616496074</v>
      </c>
      <c r="C12" s="441" cm="1">
        <f t="array" ref="C12">(SUMPRODUCT(DCF!$D$9:$K$9, 1/(1+$A12)^DCF!$D$13:$K$13) + DCF!$K$8*C$5/(1+$A12)^DCF!$K$13)/1000</f>
        <v>5.3046042546503189</v>
      </c>
      <c r="D12" s="441" cm="1">
        <f t="array" ref="D12">(SUMPRODUCT(DCF!$D$9:$K$9, 1/(1+$A12)^DCF!$D$13:$K$13) + DCF!$K$8*D$5/(1+$A12)^DCF!$K$13)/1000</f>
        <v>5.9877787476510296</v>
      </c>
      <c r="E12" s="441" cm="1">
        <f t="array" ref="E12">(SUMPRODUCT(DCF!$D$9:$K$9, 1/(1+$A12)^DCF!$D$13:$K$13) + DCF!$K$8*E$5/(1+$A12)^DCF!$K$13)/1000</f>
        <v>6.6709532406517411</v>
      </c>
      <c r="F12" s="441" cm="1">
        <f t="array" ref="F12">(SUMPRODUCT(DCF!$D$9:$K$9, 1/(1+$A12)^DCF!$D$13:$K$13) + DCF!$K$8*F$5/(1+$A12)^DCF!$K$13)/1000</f>
        <v>7.3541277336524518</v>
      </c>
      <c r="G12" s="441" cm="1">
        <f t="array" ref="G12">(SUMPRODUCT(DCF!$D$9:$K$9, 1/(1+$A12)^DCF!$D$13:$K$13) + DCF!$K$8*G$5/(1+$A12)^DCF!$K$13)/1000</f>
        <v>8.0373022266531624</v>
      </c>
      <c r="H12" s="442" cm="1">
        <f t="array" ref="H12">(SUMPRODUCT(DCF!$D$9:$K$9, 1/(1+$A12)^DCF!$D$13:$K$13) + DCF!$K$8*H$5/(1+$A12)^DCF!$K$13)/1000</f>
        <v>8.7204767196538739</v>
      </c>
    </row>
    <row r="15" spans="1:8" ht="22" customHeight="1" thickBot="1" x14ac:dyDescent="0.25">
      <c r="A15" s="842" t="s">
        <v>1261</v>
      </c>
      <c r="B15" s="919"/>
      <c r="C15" s="919"/>
      <c r="D15" s="919"/>
      <c r="E15" s="919"/>
      <c r="F15" s="919"/>
      <c r="G15" s="919"/>
      <c r="H15" s="919"/>
    </row>
    <row r="16" spans="1:8" x14ac:dyDescent="0.2">
      <c r="A16" s="432" t="s">
        <v>1262</v>
      </c>
      <c r="B16" s="443">
        <v>1.4999999999999999E-2</v>
      </c>
      <c r="C16" s="443">
        <v>0.02</v>
      </c>
      <c r="D16" s="443">
        <v>2.5000000000000001E-2</v>
      </c>
      <c r="E16" s="443">
        <v>0.03</v>
      </c>
      <c r="F16" s="443">
        <v>3.5000000000000003E-2</v>
      </c>
      <c r="G16" s="443">
        <v>0.04</v>
      </c>
      <c r="H16" s="444">
        <v>4.4999999999999998E-2</v>
      </c>
    </row>
    <row r="17" spans="1:8" x14ac:dyDescent="0.2">
      <c r="A17" s="435">
        <v>9.35E-2</v>
      </c>
      <c r="B17" s="436" cm="1">
        <f t="array" ref="B17">(SUMPRODUCT(DCF!$D$9:$K$9, 1/(1+$A17)^DCF!$D$13:$K$13) + DCF!$K$9*(1+B$16)/($A17-B$16)/(1+$A17)^DCF!$K$13)/1000</f>
        <v>8.0944357256911399</v>
      </c>
      <c r="C17" s="436" cm="1">
        <f t="array" ref="C17">(SUMPRODUCT(DCF!$D$9:$K$9, 1/(1+$A17)^DCF!$D$13:$K$13) + DCF!$K$9*(1+C$16)/($A17-C$16)/(1+$A17)^DCF!$K$13)/1000</f>
        <v>8.5295181862350056</v>
      </c>
      <c r="D17" s="436" cm="1">
        <f t="array" ref="D17">(SUMPRODUCT(DCF!$D$9:$K$9, 1/(1+$A17)^DCF!$D$13:$K$13) + DCF!$K$9*(1+D$16)/($A17-D$16)/(1+$A17)^DCF!$K$13)/1000</f>
        <v>9.0281163344495035</v>
      </c>
      <c r="E17" s="436" cm="1">
        <f t="array" ref="E17">(SUMPRODUCT(DCF!$D$9:$K$9, 1/(1+$A17)^DCF!$D$13:$K$13) + DCF!$K$9*(1+E$16)/($A17-E$16)/(1+$A17)^DCF!$K$13)/1000</f>
        <v>9.6052338760836111</v>
      </c>
      <c r="F17" s="436" cm="1">
        <f t="array" ref="F17">(SUMPRODUCT(DCF!$D$9:$K$9, 1/(1+$A17)^DCF!$D$13:$K$13) + DCF!$K$9*(1+F$16)/($A17-F$16)/(1+$A17)^DCF!$K$13)/1000</f>
        <v>10.281003988937222</v>
      </c>
      <c r="G17" s="436" cm="1">
        <f t="array" ref="G17">(SUMPRODUCT(DCF!$D$9:$K$9, 1/(1+$A17)^DCF!$D$13:$K$13) + DCF!$K$9*(1+G$16)/($A17-G$16)/(1+$A17)^DCF!$K$13)/1000</f>
        <v>11.083086272417679</v>
      </c>
      <c r="H17" s="437" cm="1">
        <f t="array" ref="H17">(SUMPRODUCT(DCF!$D$9:$K$9, 1/(1+$A17)^DCF!$D$13:$K$13) + DCF!$K$9*(1+H$16)/($A17-H$16)/(1+$A17)^DCF!$K$13)/1000</f>
        <v>12.050546346306474</v>
      </c>
    </row>
    <row r="18" spans="1:8" x14ac:dyDescent="0.2">
      <c r="A18" s="435">
        <v>9.8500000000000004E-2</v>
      </c>
      <c r="B18" s="436" cm="1">
        <f t="array" ref="B18">(SUMPRODUCT(DCF!$D$9:$K$9, 1/(1+$A18)^DCF!$D$13:$K$13) + DCF!$K$9*(1+B$16)/($A18-B$16)/(1+$A18)^DCF!$K$13)/1000</f>
        <v>7.5028227718631859</v>
      </c>
      <c r="C18" s="436" cm="1">
        <f t="array" ref="C18">(SUMPRODUCT(DCF!$D$9:$K$9, 1/(1+$A18)^DCF!$D$13:$K$13) + DCF!$K$9*(1+C$16)/($A18-C$16)/(1+$A18)^DCF!$K$13)/1000</f>
        <v>7.8746097369940964</v>
      </c>
      <c r="D18" s="436" cm="1">
        <f t="array" ref="D18">(SUMPRODUCT(DCF!$D$9:$K$9, 1/(1+$A18)^DCF!$D$13:$K$13) + DCF!$K$9*(1+D$16)/($A18-D$16)/(1+$A18)^DCF!$K$13)/1000</f>
        <v>8.2969799626870309</v>
      </c>
      <c r="E18" s="436" cm="1">
        <f t="array" ref="E18">(SUMPRODUCT(DCF!$D$9:$K$9, 1/(1+$A18)^DCF!$D$13:$K$13) + DCF!$K$9*(1+E$16)/($A18-E$16)/(1+$A18)^DCF!$K$13)/1000</f>
        <v>8.7810100753424436</v>
      </c>
      <c r="F18" s="436" cm="1">
        <f t="array" ref="F18">(SUMPRODUCT(DCF!$D$9:$K$9, 1/(1+$A18)^DCF!$D$13:$K$13) + DCF!$K$9*(1+F$16)/($A18-F$16)/(1+$A18)^DCF!$K$13)/1000</f>
        <v>9.3412654025892561</v>
      </c>
      <c r="G18" s="436" cm="1">
        <f t="array" ref="G18">(SUMPRODUCT(DCF!$D$9:$K$9, 1/(1+$A18)^DCF!$D$13:$K$13) + DCF!$K$9*(1+G$16)/($A18-G$16)/(1+$A18)^DCF!$K$13)/1000</f>
        <v>9.9972908712457791</v>
      </c>
      <c r="H18" s="437" cm="1">
        <f t="array" ref="H18">(SUMPRODUCT(DCF!$D$9:$K$9, 1/(1+$A18)^DCF!$D$13:$K$13) + DCF!$K$9*(1+H$16)/($A18-H$16)/(1+$A18)^DCF!$K$13)/1000</f>
        <v>10.775937922828755</v>
      </c>
    </row>
    <row r="19" spans="1:8" x14ac:dyDescent="0.2">
      <c r="A19" s="435">
        <v>0.10349999999999999</v>
      </c>
      <c r="B19" s="436" cm="1">
        <f t="array" ref="B19">(SUMPRODUCT(DCF!$D$9:$K$9, 1/(1+$A19)^DCF!$D$13:$K$13) + DCF!$K$9*(1+B$16)/($A19-B$16)/(1+$A19)^DCF!$K$13)/1000</f>
        <v>6.9808007640217653</v>
      </c>
      <c r="C19" s="436" cm="1">
        <f t="array" ref="C19">(SUMPRODUCT(DCF!$D$9:$K$9, 1/(1+$A19)^DCF!$D$13:$K$13) + DCF!$K$9*(1+C$16)/($A19-C$16)/(1+$A19)^DCF!$K$13)/1000</f>
        <v>7.3009855926315952</v>
      </c>
      <c r="D19" s="436" cm="1">
        <f t="array" ref="D19">(SUMPRODUCT(DCF!$D$9:$K$9, 1/(1+$A19)^DCF!$D$13:$K$13) + DCF!$K$9*(1+D$16)/($A19-D$16)/(1+$A19)^DCF!$K$13)/1000</f>
        <v>7.6619582974974509</v>
      </c>
      <c r="E19" s="436" cm="1">
        <f t="array" ref="E19">(SUMPRODUCT(DCF!$D$9:$K$9, 1/(1+$A19)^DCF!$D$13:$K$13) + DCF!$K$9*(1+E$16)/($A19-E$16)/(1+$A19)^DCF!$K$13)/1000</f>
        <v>8.0720429349981195</v>
      </c>
      <c r="F19" s="436" cm="1">
        <f t="array" ref="F19">(SUMPRODUCT(DCF!$D$9:$K$9, 1/(1+$A19)^DCF!$D$13:$K$13) + DCF!$K$9*(1+F$16)/($A19-F$16)/(1+$A19)^DCF!$K$13)/1000</f>
        <v>8.5419939429368394</v>
      </c>
      <c r="G19" s="436" cm="1">
        <f t="array" ref="G19">(SUMPRODUCT(DCF!$D$9:$K$9, 1/(1+$A19)^DCF!$D$13:$K$13) + DCF!$K$9*(1+G$16)/($A19-G$16)/(1+$A19)^DCF!$K$13)/1000</f>
        <v>9.0859529836218158</v>
      </c>
      <c r="H19" s="437" cm="1">
        <f t="array" ref="H19">(SUMPRODUCT(DCF!$D$9:$K$9, 1/(1+$A19)^DCF!$D$13:$K$13) + DCF!$K$9*(1+H$16)/($A19-H$16)/(1+$A19)^DCF!$K$13)/1000</f>
        <v>9.7228964757059337</v>
      </c>
    </row>
    <row r="20" spans="1:8" x14ac:dyDescent="0.2">
      <c r="A20" s="438">
        <v>0.1085</v>
      </c>
      <c r="B20" s="436" cm="1">
        <f t="array" ref="B20">(SUMPRODUCT(DCF!$D$9:$K$9, 1/(1+$A20)^DCF!$D$13:$K$13) + DCF!$K$9*(1+B$16)/($A20-B$16)/(1+$A20)^DCF!$K$13)/1000</f>
        <v>6.5171208333969144</v>
      </c>
      <c r="C20" s="436" cm="1">
        <f t="array" ref="C20">(SUMPRODUCT(DCF!$D$9:$K$9, 1/(1+$A20)^DCF!$D$13:$K$13) + DCF!$K$9*(1+C$16)/($A20-C$16)/(1+$A20)^DCF!$K$13)/1000</f>
        <v>6.7947811245450129</v>
      </c>
      <c r="D20" s="436" cm="1">
        <f t="array" ref="D20">(SUMPRODUCT(DCF!$D$9:$K$9, 1/(1+$A20)^DCF!$D$13:$K$13) + DCF!$K$9*(1+D$16)/($A20-D$16)/(1+$A20)^DCF!$K$13)/1000</f>
        <v>7.105694145171924</v>
      </c>
      <c r="E20" s="439" cm="1">
        <f t="array" ref="E20">(SUMPRODUCT(DCF!$D$9:$K$9, 1/(1+$A20)^DCF!$D$13:$K$13) + DCF!$K$9*(1+E$16)/($A20-E$16)/(1+$A20)^DCF!$K$13)/1000</f>
        <v>7.4562139200188255</v>
      </c>
      <c r="F20" s="436" cm="1">
        <f t="array" ref="F20">(SUMPRODUCT(DCF!$D$9:$K$9, 1/(1+$A20)^DCF!$D$13:$K$13) + DCF!$K$9*(1+F$16)/($A20-F$16)/(1+$A20)^DCF!$K$13)/1000</f>
        <v>7.8544234601510183</v>
      </c>
      <c r="G20" s="436" cm="1">
        <f t="array" ref="G20">(SUMPRODUCT(DCF!$D$9:$K$9, 1/(1+$A20)^DCF!$D$13:$K$13) + DCF!$K$9*(1+G$16)/($A20-G$16)/(1+$A20)^DCF!$K$13)/1000</f>
        <v>8.3107657798645516</v>
      </c>
      <c r="H20" s="437" cm="1">
        <f t="array" ref="H20">(SUMPRODUCT(DCF!$D$9:$K$9, 1/(1+$A20)^DCF!$D$13:$K$13) + DCF!$K$9*(1+H$16)/($A20-H$16)/(1+$A20)^DCF!$K$13)/1000</f>
        <v>8.8389730318164403</v>
      </c>
    </row>
    <row r="21" spans="1:8" x14ac:dyDescent="0.2">
      <c r="A21" s="435">
        <v>0.1135</v>
      </c>
      <c r="B21" s="436" cm="1">
        <f t="array" ref="B21">(SUMPRODUCT(DCF!$D$9:$K$9, 1/(1+$A21)^DCF!$D$13:$K$13) + DCF!$K$9*(1+B$16)/($A21-B$16)/(1+$A21)^DCF!$K$13)/1000</f>
        <v>6.1028211811015938</v>
      </c>
      <c r="C21" s="436" cm="1">
        <f t="array" ref="C21">(SUMPRODUCT(DCF!$D$9:$K$9, 1/(1+$A21)^DCF!$D$13:$K$13) + DCF!$K$9*(1+C$16)/($A21-C$16)/(1+$A21)^DCF!$K$13)/1000</f>
        <v>6.3451005364535407</v>
      </c>
      <c r="D21" s="436" cm="1">
        <f t="array" ref="D21">(SUMPRODUCT(DCF!$D$9:$K$9, 1/(1+$A21)^DCF!$D$13:$K$13) + DCF!$K$9*(1+D$16)/($A21-D$16)/(1+$A21)^DCF!$K$13)/1000</f>
        <v>6.6147560901503377</v>
      </c>
      <c r="E21" s="436" cm="1">
        <f t="array" ref="E21">(SUMPRODUCT(DCF!$D$9:$K$9, 1/(1+$A21)^DCF!$D$13:$K$13) + DCF!$K$9*(1+E$16)/($A21-E$16)/(1+$A21)^DCF!$K$13)/1000</f>
        <v>6.9167057221341777</v>
      </c>
      <c r="F21" s="436" cm="1">
        <f t="array" ref="F21">(SUMPRODUCT(DCF!$D$9:$K$9, 1/(1+$A21)^DCF!$D$13:$K$13) + DCF!$K$9*(1+F$16)/($A21-F$16)/(1+$A21)^DCF!$K$13)/1000</f>
        <v>7.2571202753898438</v>
      </c>
      <c r="G21" s="436" cm="1">
        <f t="array" ref="G21">(SUMPRODUCT(DCF!$D$9:$K$9, 1/(1+$A21)^DCF!$D$13:$K$13) + DCF!$K$9*(1+G$16)/($A21-G$16)/(1+$A21)^DCF!$K$13)/1000</f>
        <v>7.643849733850363</v>
      </c>
      <c r="H21" s="437" cm="1">
        <f t="array" ref="H21">(SUMPRODUCT(DCF!$D$9:$K$9, 1/(1+$A21)^DCF!$D$13:$K$13) + DCF!$K$9*(1+H$16)/($A21-H$16)/(1+$A21)^DCF!$K$13)/1000</f>
        <v>8.0870360475605914</v>
      </c>
    </row>
    <row r="22" spans="1:8" x14ac:dyDescent="0.2">
      <c r="A22" s="435">
        <v>0.11849999999999999</v>
      </c>
      <c r="B22" s="436" cm="1">
        <f t="array" ref="B22">(SUMPRODUCT(DCF!$D$9:$K$9, 1/(1+$A22)^DCF!$D$13:$K$13) + DCF!$K$9*(1+B$16)/($A22-B$16)/(1+$A22)^DCF!$K$13)/1000</f>
        <v>5.73067452231414</v>
      </c>
      <c r="C22" s="436" cm="1">
        <f t="array" ref="C22">(SUMPRODUCT(DCF!$D$9:$K$9, 1/(1+$A22)^DCF!$D$13:$K$13) + DCF!$K$9*(1+C$16)/($A22-C$16)/(1+$A22)^DCF!$K$13)/1000</f>
        <v>5.9432632264366561</v>
      </c>
      <c r="D22" s="436" cm="1">
        <f t="array" ref="D22">(SUMPRODUCT(DCF!$D$9:$K$9, 1/(1+$A22)^DCF!$D$13:$K$13) + DCF!$K$9*(1+D$16)/($A22-D$16)/(1+$A22)^DCF!$K$13)/1000</f>
        <v>6.1785886903583691</v>
      </c>
      <c r="E22" s="436" cm="1">
        <f t="array" ref="E22">(SUMPRODUCT(DCF!$D$9:$K$9, 1/(1+$A22)^DCF!$D$13:$K$13) + DCF!$K$9*(1+E$16)/($A22-E$16)/(1+$A22)^DCF!$K$13)/1000</f>
        <v>6.440504602180841</v>
      </c>
      <c r="F22" s="436" cm="1">
        <f t="array" ref="F22">(SUMPRODUCT(DCF!$D$9:$K$9, 1/(1+$A22)^DCF!$D$13:$K$13) + DCF!$K$9*(1+F$16)/($A22-F$16)/(1+$A22)^DCF!$K$13)/1000</f>
        <v>6.7337876890718729</v>
      </c>
      <c r="G22" s="436" cm="1">
        <f t="array" ref="G22">(SUMPRODUCT(DCF!$D$9:$K$9, 1/(1+$A22)^DCF!$D$13:$K$13) + DCF!$K$9*(1+G$16)/($A22-G$16)/(1+$A22)^DCF!$K$13)/1000</f>
        <v>7.0644316787515731</v>
      </c>
      <c r="H22" s="437" cm="1">
        <f t="array" ref="H22">(SUMPRODUCT(DCF!$D$9:$K$9, 1/(1+$A22)^DCF!$D$13:$K$13) + DCF!$K$9*(1+H$16)/($A22-H$16)/(1+$A22)^DCF!$K$13)/1000</f>
        <v>7.4400612452584411</v>
      </c>
    </row>
    <row r="23" spans="1:8" x14ac:dyDescent="0.2">
      <c r="A23" s="440">
        <v>0.1235</v>
      </c>
      <c r="B23" s="441" cm="1">
        <f t="array" ref="B23">(SUMPRODUCT(DCF!$D$9:$K$9, 1/(1+$A23)^DCF!$D$13:$K$13) + DCF!$K$9*(1+B$16)/($A23-B$16)/(1+$A23)^DCF!$K$13)/1000</f>
        <v>5.3947883164585999</v>
      </c>
      <c r="C23" s="441" cm="1">
        <f t="array" ref="C23">(SUMPRODUCT(DCF!$D$9:$K$9, 1/(1+$A23)^DCF!$D$13:$K$13) + DCF!$K$9*(1+C$16)/($A23-C$16)/(1+$A23)^DCF!$K$13)/1000</f>
        <v>5.5822686005010125</v>
      </c>
      <c r="D23" s="441" cm="1">
        <f t="array" ref="D23">(SUMPRODUCT(DCF!$D$9:$K$9, 1/(1+$A23)^DCF!$D$13:$K$13) + DCF!$K$9*(1+D$16)/($A23-D$16)/(1+$A23)^DCF!$K$13)/1000</f>
        <v>5.7887824159182886</v>
      </c>
      <c r="E23" s="441" cm="1">
        <f t="array" ref="E23">(SUMPRODUCT(DCF!$D$9:$K$9, 1/(1+$A23)^DCF!$D$13:$K$13) + DCF!$K$9*(1+E$16)/($A23-E$16)/(1+$A23)^DCF!$K$13)/1000</f>
        <v>6.0173832704176267</v>
      </c>
      <c r="F23" s="441" cm="1">
        <f t="array" ref="F23">(SUMPRODUCT(DCF!$D$9:$K$9, 1/(1+$A23)^DCF!$D$13:$K$13) + DCF!$K$9*(1+F$16)/($A23-F$16)/(1+$A23)^DCF!$K$13)/1000</f>
        <v>6.2718147299451381</v>
      </c>
      <c r="G23" s="441" cm="1">
        <f t="array" ref="G23">(SUMPRODUCT(DCF!$D$9:$K$9, 1/(1+$A23)^DCF!$D$13:$K$13) + DCF!$K$9*(1+G$16)/($A23-G$16)/(1+$A23)^DCF!$K$13)/1000</f>
        <v>6.5567170229489991</v>
      </c>
      <c r="H23" s="442" cm="1">
        <f t="array" ref="H23">(SUMPRODUCT(DCF!$D$9:$K$9, 1/(1+$A23)^DCF!$D$13:$K$13) + DCF!$K$9*(1+H$16)/($A23-H$16)/(1+$A23)^DCF!$K$13)/1000</f>
        <v>6.8779126016858338</v>
      </c>
    </row>
    <row r="26" spans="1:8" ht="22" customHeight="1" x14ac:dyDescent="0.2"/>
    <row r="27" spans="1:8" ht="16" thickBot="1" x14ac:dyDescent="0.25">
      <c r="A27" s="842" t="s">
        <v>1263</v>
      </c>
      <c r="B27" s="886"/>
      <c r="C27" s="886"/>
      <c r="D27" s="886"/>
      <c r="E27" s="886"/>
      <c r="F27" s="886"/>
      <c r="G27" s="886"/>
      <c r="H27" s="886"/>
    </row>
    <row r="28" spans="1:8" x14ac:dyDescent="0.2">
      <c r="A28" s="445" t="s">
        <v>1187</v>
      </c>
      <c r="B28" s="446" t="s">
        <v>1189</v>
      </c>
      <c r="C28" s="446" t="s">
        <v>1190</v>
      </c>
      <c r="D28" s="446" t="s">
        <v>1191</v>
      </c>
      <c r="E28" s="447" t="s">
        <v>1264</v>
      </c>
    </row>
    <row r="29" spans="1:8" x14ac:dyDescent="0.2">
      <c r="A29" s="81" t="s">
        <v>1265</v>
      </c>
      <c r="B29" s="431">
        <f>MIN(B6:H12)</f>
        <v>4.6214297616496074</v>
      </c>
      <c r="C29" s="448">
        <f>E9</f>
        <v>7.3065144038412395</v>
      </c>
      <c r="D29" s="431">
        <f>MAX(B6:H12)</f>
        <v>10.527151694176636</v>
      </c>
      <c r="E29" s="430" t="str">
        <f>ROUND((B29*1000-Assumptions!$F$62+Assumptions!$F$63)/Assumptions!$F$55,1) &amp; "  —  " &amp; ROUND((D29*1000-Assumptions!$F$62+Assumptions!$F$63)/Assumptions!$F$55,1)</f>
        <v>13  —  27.4</v>
      </c>
    </row>
    <row r="30" spans="1:8" x14ac:dyDescent="0.2">
      <c r="A30" s="81" t="s">
        <v>1266</v>
      </c>
      <c r="B30" s="431">
        <f>MIN(B17:H23)</f>
        <v>5.3947883164585999</v>
      </c>
      <c r="C30" s="448">
        <f>E20</f>
        <v>7.4562139200188255</v>
      </c>
      <c r="D30" s="431">
        <f>MAX(B17:H23)</f>
        <v>12.050546346306474</v>
      </c>
      <c r="E30" s="430" t="str">
        <f>ROUND((B30*1000-Assumptions!$F$62+Assumptions!$F$63)/Assumptions!$F$55,1) &amp; "  —  " &amp; ROUND((D30*1000-Assumptions!$F$62+Assumptions!$F$63)/Assumptions!$F$55,1)</f>
        <v>14.8  —  31.1</v>
      </c>
    </row>
    <row r="33" spans="1:8" x14ac:dyDescent="0.2">
      <c r="A33" s="856" t="s">
        <v>1451</v>
      </c>
      <c r="B33" s="877"/>
      <c r="C33" s="877"/>
      <c r="D33" s="877"/>
      <c r="E33" s="877"/>
      <c r="F33" s="877"/>
      <c r="G33" s="877"/>
      <c r="H33" s="877"/>
    </row>
    <row r="34" spans="1:8" ht="22" customHeight="1" x14ac:dyDescent="0.2"/>
    <row r="42" spans="1:8" ht="22" customHeight="1" x14ac:dyDescent="0.2"/>
  </sheetData>
  <mergeCells count="6">
    <mergeCell ref="A27:H27"/>
    <mergeCell ref="A33:H33"/>
    <mergeCell ref="A1:H1"/>
    <mergeCell ref="A2:H2"/>
    <mergeCell ref="A4:H4"/>
    <mergeCell ref="A15:H1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A1:N21"/>
  <sheetViews>
    <sheetView showGridLines="0" zoomScaleNormal="100" workbookViewId="0">
      <selection activeCell="A20" sqref="A20"/>
    </sheetView>
  </sheetViews>
  <sheetFormatPr baseColWidth="10" defaultColWidth="8.83203125" defaultRowHeight="15" x14ac:dyDescent="0.2"/>
  <cols>
    <col min="1" max="1" width="53.33203125" customWidth="1"/>
    <col min="2" max="4" width="15" customWidth="1"/>
    <col min="5" max="5" width="63.33203125" customWidth="1"/>
  </cols>
  <sheetData>
    <row r="1" spans="1:14" ht="28" customHeight="1" x14ac:dyDescent="0.2">
      <c r="A1" s="867" t="s">
        <v>1267</v>
      </c>
      <c r="B1" s="867"/>
      <c r="C1" s="867"/>
      <c r="D1" s="867"/>
      <c r="E1" s="867"/>
      <c r="F1" s="867"/>
      <c r="G1" s="867"/>
      <c r="H1" s="867"/>
      <c r="I1" s="867"/>
      <c r="J1" s="867"/>
      <c r="K1" s="867"/>
      <c r="L1" s="867"/>
      <c r="M1" s="867"/>
      <c r="N1" s="867"/>
    </row>
    <row r="2" spans="1:14" x14ac:dyDescent="0.2">
      <c r="A2" s="870" t="s">
        <v>1268</v>
      </c>
      <c r="B2" s="870"/>
      <c r="C2" s="870"/>
      <c r="D2" s="870"/>
      <c r="E2" s="870"/>
      <c r="F2" s="870"/>
      <c r="G2" s="870"/>
      <c r="H2" s="870"/>
      <c r="I2" s="870"/>
      <c r="J2" s="870"/>
      <c r="K2" s="870"/>
      <c r="L2" s="870"/>
      <c r="M2" s="870"/>
      <c r="N2" s="870"/>
    </row>
    <row r="4" spans="1:14" ht="22" customHeight="1" x14ac:dyDescent="0.2">
      <c r="A4" s="702" t="s">
        <v>297</v>
      </c>
      <c r="B4" s="689" t="s">
        <v>1269</v>
      </c>
      <c r="C4" s="689" t="s">
        <v>1270</v>
      </c>
      <c r="D4" s="689" t="s">
        <v>62</v>
      </c>
      <c r="E4" s="705" t="s">
        <v>63</v>
      </c>
    </row>
    <row r="5" spans="1:14" x14ac:dyDescent="0.2">
      <c r="A5" s="703" t="s">
        <v>1271</v>
      </c>
      <c r="B5" s="690">
        <f>ABS(Members!D35*ARPU!D10/'Revenue Build'!D20-1)</f>
        <v>0</v>
      </c>
      <c r="C5" s="482" t="s">
        <v>1272</v>
      </c>
      <c r="D5" s="691" t="str">
        <f>IF(B5&lt;0.05,"PASS","FAIL")</f>
        <v>PASS</v>
      </c>
      <c r="E5" s="706" t="s">
        <v>1273</v>
      </c>
    </row>
    <row r="6" spans="1:14" x14ac:dyDescent="0.2">
      <c r="A6" s="704" t="s">
        <v>1274</v>
      </c>
      <c r="B6" s="692">
        <f>ABS('P&amp;L'!E23-Members!E47)</f>
        <v>0</v>
      </c>
      <c r="C6" s="483" t="s">
        <v>1275</v>
      </c>
      <c r="D6" s="693" t="str">
        <f>IF(B6&lt;1,"PASS","FAIL")</f>
        <v>PASS</v>
      </c>
      <c r="E6" s="707" t="s">
        <v>1276</v>
      </c>
    </row>
    <row r="7" spans="1:14" x14ac:dyDescent="0.2">
      <c r="A7" s="703" t="s">
        <v>1277</v>
      </c>
      <c r="B7" s="694">
        <f>Assumptions!$F$87</f>
        <v>1</v>
      </c>
      <c r="C7" s="695" t="s">
        <v>1278</v>
      </c>
      <c r="D7" s="691" t="str">
        <f>IF(ABS(B7-1)&lt;0.001,"PASS","FAIL")</f>
        <v>PASS</v>
      </c>
      <c r="E7" s="706" t="s">
        <v>1279</v>
      </c>
    </row>
    <row r="8" spans="1:14" x14ac:dyDescent="0.2">
      <c r="A8" s="704" t="s">
        <v>1280</v>
      </c>
      <c r="B8" s="696">
        <f>DCF!C27</f>
        <v>0.72395859137033214</v>
      </c>
      <c r="C8" s="483" t="s">
        <v>1281</v>
      </c>
      <c r="D8" s="693" t="str">
        <f>IF(B8&lt;0.75,"PASS",IF(B8&lt;0.8,"WARN","FAIL"))</f>
        <v>PASS</v>
      </c>
      <c r="E8" s="707" t="s">
        <v>1282</v>
      </c>
    </row>
    <row r="9" spans="1:14" x14ac:dyDescent="0.2">
      <c r="A9" s="703" t="s">
        <v>1283</v>
      </c>
      <c r="B9" s="697">
        <f>DCF!C24</f>
        <v>2.8543677333579605E-2</v>
      </c>
      <c r="C9" s="482" t="s">
        <v>1284</v>
      </c>
      <c r="D9" s="691" t="str">
        <f>IF(B9&lt;0.25,"PASS",IF(B9&lt;0.35,"WARN","FAIL"))</f>
        <v>PASS</v>
      </c>
      <c r="E9" s="706" t="s">
        <v>1285</v>
      </c>
    </row>
    <row r="10" spans="1:14" ht="26" x14ac:dyDescent="0.2">
      <c r="A10" s="704" t="s">
        <v>1286</v>
      </c>
      <c r="B10" s="698">
        <f>Assumptions!$F$161</f>
        <v>1</v>
      </c>
      <c r="C10" s="699" t="s">
        <v>1278</v>
      </c>
      <c r="D10" s="693" t="str">
        <f>IF(ABS(B10-1)&lt;0.001,"PASS","FAIL")</f>
        <v>PASS</v>
      </c>
      <c r="E10" s="707" t="s">
        <v>1287</v>
      </c>
    </row>
    <row r="11" spans="1:14" x14ac:dyDescent="0.2">
      <c r="A11" s="703" t="s">
        <v>1288</v>
      </c>
      <c r="B11" s="694">
        <f>Assumptions!$F$74-Assumptions!$F$80</f>
        <v>7.8449999999999992E-2</v>
      </c>
      <c r="C11" s="482" t="s">
        <v>1289</v>
      </c>
      <c r="D11" s="691" t="str">
        <f>IF(B11&gt;0,"PASS","FAIL")</f>
        <v>PASS</v>
      </c>
      <c r="E11" s="706" t="s">
        <v>1290</v>
      </c>
    </row>
    <row r="12" spans="1:14" x14ac:dyDescent="0.2">
      <c r="A12" s="704" t="s">
        <v>1291</v>
      </c>
      <c r="B12" s="700">
        <f>MAX(Members!E31:L31)/Members!D31</f>
        <v>1.2139625082333143</v>
      </c>
      <c r="C12" s="483" t="s">
        <v>1292</v>
      </c>
      <c r="D12" s="693" t="str">
        <f>IF(B12&lt;2,"PASS",IF(B12&lt;3,"WARN","FAIL"))</f>
        <v>PASS</v>
      </c>
      <c r="E12" s="707" t="s">
        <v>1293</v>
      </c>
    </row>
    <row r="13" spans="1:14" x14ac:dyDescent="0.2">
      <c r="A13" s="703" t="s">
        <v>1294</v>
      </c>
      <c r="B13" s="701">
        <f>MIN(FCF!J22:L22)</f>
        <v>41.267704165793404</v>
      </c>
      <c r="C13" s="482" t="s">
        <v>1295</v>
      </c>
      <c r="D13" s="691" t="str">
        <f>IF(B13&gt;=20,"PASS","FAIL")</f>
        <v>PASS</v>
      </c>
      <c r="E13" s="706" t="s">
        <v>1296</v>
      </c>
    </row>
    <row r="14" spans="1:14" ht="16" thickBot="1" x14ac:dyDescent="0.25">
      <c r="A14" s="125" t="s">
        <v>1297</v>
      </c>
      <c r="B14" s="141" t="str">
        <f>ARPU!D36</f>
        <v>✓ within ±10% of justification</v>
      </c>
      <c r="C14" s="141" t="s">
        <v>1298</v>
      </c>
      <c r="D14" s="708" t="str">
        <f>IF(LEFT(B14,1)="✓","PASS","WARN")</f>
        <v>PASS</v>
      </c>
      <c r="E14" s="709" t="s">
        <v>1299</v>
      </c>
    </row>
    <row r="15" spans="1:14" ht="22" customHeight="1" x14ac:dyDescent="0.2">
      <c r="A15" s="924" t="s">
        <v>1300</v>
      </c>
      <c r="B15" s="925"/>
      <c r="C15" s="925"/>
      <c r="D15" s="925"/>
      <c r="E15" s="925"/>
    </row>
    <row r="16" spans="1:14" x14ac:dyDescent="0.2">
      <c r="A16" s="28" t="s">
        <v>1301</v>
      </c>
      <c r="B16" s="710">
        <f>COUNTA(D5:D14)</f>
        <v>10</v>
      </c>
      <c r="C16" s="28"/>
      <c r="D16" s="28"/>
      <c r="E16" s="28"/>
    </row>
    <row r="17" spans="1:5" x14ac:dyDescent="0.2">
      <c r="A17" s="28" t="s">
        <v>45</v>
      </c>
      <c r="B17" s="710">
        <f>COUNTIF(D5:D14,"PASS")</f>
        <v>10</v>
      </c>
      <c r="C17" s="28"/>
      <c r="D17" s="28"/>
      <c r="E17" s="28"/>
    </row>
    <row r="18" spans="1:5" x14ac:dyDescent="0.2">
      <c r="A18" s="28" t="s">
        <v>46</v>
      </c>
      <c r="B18" s="711">
        <f>COUNTIF(D5:D14,"WARN")</f>
        <v>0</v>
      </c>
      <c r="C18" s="28"/>
      <c r="D18" s="28"/>
      <c r="E18" s="28"/>
    </row>
    <row r="19" spans="1:5" ht="16" thickBot="1" x14ac:dyDescent="0.25">
      <c r="A19" s="28" t="s">
        <v>47</v>
      </c>
      <c r="B19" s="712">
        <f>COUNTIF(D5:D14,"FAIL")</f>
        <v>0</v>
      </c>
      <c r="C19" s="28"/>
      <c r="D19" s="28"/>
      <c r="E19" s="28"/>
    </row>
    <row r="20" spans="1:5" ht="16" thickBot="1" x14ac:dyDescent="0.25">
      <c r="A20" s="683" t="s">
        <v>48</v>
      </c>
      <c r="B20" s="683" t="str">
        <f>IF(B19&gt;0,"FAIL",IF(B18&gt;0,"WARN","PASS"))</f>
        <v>PASS</v>
      </c>
      <c r="C20" s="683"/>
      <c r="D20" s="683"/>
      <c r="E20" s="683"/>
    </row>
    <row r="21" spans="1:5" ht="16" thickTop="1" x14ac:dyDescent="0.2"/>
  </sheetData>
  <mergeCells count="3">
    <mergeCell ref="A1:N1"/>
    <mergeCell ref="A2:N2"/>
    <mergeCell ref="A15:E15"/>
  </mergeCells>
  <conditionalFormatting sqref="B20">
    <cfRule type="cellIs" dxfId="5" priority="4" operator="equal">
      <formula>"PASS"</formula>
    </cfRule>
    <cfRule type="cellIs" dxfId="4" priority="5" operator="equal">
      <formula>"FAIL"</formula>
    </cfRule>
    <cfRule type="cellIs" dxfId="3" priority="6" operator="equal">
      <formula>"WARN"</formula>
    </cfRule>
  </conditionalFormatting>
  <conditionalFormatting sqref="D5:D13">
    <cfRule type="cellIs" dxfId="2" priority="1" operator="equal">
      <formula>"PASS"</formula>
    </cfRule>
    <cfRule type="cellIs" dxfId="1" priority="2" operator="equal">
      <formula>"FAIL"</formula>
    </cfRule>
    <cfRule type="cellIs" dxfId="0" priority="3" operator="equal">
      <formula>"WARN"</formula>
    </cfRule>
  </conditionalFormatting>
  <pageMargins left="0.75" right="0.75" top="1" bottom="1" header="0.5" footer="0.5"/>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08080"/>
  </sheetPr>
  <dimension ref="A1:N35"/>
  <sheetViews>
    <sheetView showGridLines="0" topLeftCell="A24" workbookViewId="0">
      <selection activeCell="A20" sqref="A20:M20"/>
    </sheetView>
  </sheetViews>
  <sheetFormatPr baseColWidth="10" defaultColWidth="8.83203125" defaultRowHeight="15" x14ac:dyDescent="0.2"/>
  <cols>
    <col min="1" max="2" width="53.33203125" customWidth="1"/>
    <col min="3" max="3" width="13.33203125" customWidth="1"/>
    <col min="4" max="4" width="16.6640625" customWidth="1"/>
  </cols>
  <sheetData>
    <row r="1" spans="1:14" ht="28" customHeight="1" x14ac:dyDescent="0.25">
      <c r="A1" s="874" t="s">
        <v>1302</v>
      </c>
      <c r="B1" s="874"/>
      <c r="C1" s="874"/>
      <c r="D1" s="874"/>
      <c r="E1" s="874"/>
      <c r="F1" s="874"/>
      <c r="G1" s="874"/>
      <c r="H1" s="874"/>
      <c r="I1" s="874"/>
      <c r="J1" s="874"/>
      <c r="K1" s="874"/>
      <c r="L1" s="874"/>
      <c r="M1" s="874"/>
      <c r="N1" s="874"/>
    </row>
    <row r="2" spans="1:14" x14ac:dyDescent="0.2">
      <c r="A2" s="856"/>
      <c r="B2" s="858"/>
      <c r="C2" s="858"/>
      <c r="D2" s="858"/>
      <c r="E2" s="858"/>
      <c r="F2" s="858"/>
      <c r="G2" s="858"/>
      <c r="H2" s="858"/>
      <c r="I2" s="858"/>
      <c r="J2" s="858"/>
      <c r="K2" s="858"/>
      <c r="L2" s="858"/>
      <c r="M2" s="858"/>
      <c r="N2" s="858"/>
    </row>
    <row r="3" spans="1:14" ht="22" customHeight="1" x14ac:dyDescent="0.2">
      <c r="A3" s="661" t="s">
        <v>1303</v>
      </c>
      <c r="B3" s="661" t="s">
        <v>1304</v>
      </c>
      <c r="C3" s="661" t="s">
        <v>1305</v>
      </c>
      <c r="D3" s="115"/>
    </row>
    <row r="4" spans="1:14" x14ac:dyDescent="0.2">
      <c r="A4" s="3" t="s">
        <v>1306</v>
      </c>
      <c r="B4" s="40" t="s">
        <v>1307</v>
      </c>
      <c r="C4" s="713" t="s">
        <v>1308</v>
      </c>
      <c r="D4" s="28"/>
    </row>
    <row r="5" spans="1:14" x14ac:dyDescent="0.2">
      <c r="A5" s="262" t="s">
        <v>1309</v>
      </c>
      <c r="B5" s="379" t="s">
        <v>1310</v>
      </c>
      <c r="C5" s="714" t="s">
        <v>204</v>
      </c>
      <c r="D5" s="117"/>
    </row>
    <row r="6" spans="1:14" x14ac:dyDescent="0.2">
      <c r="A6" s="3" t="s">
        <v>1311</v>
      </c>
      <c r="B6" s="40" t="s">
        <v>1312</v>
      </c>
      <c r="C6" s="713" t="s">
        <v>204</v>
      </c>
      <c r="D6" s="28"/>
    </row>
    <row r="7" spans="1:14" x14ac:dyDescent="0.2">
      <c r="A7" s="262" t="s">
        <v>1313</v>
      </c>
      <c r="B7" s="379" t="s">
        <v>1314</v>
      </c>
      <c r="C7" s="714" t="s">
        <v>204</v>
      </c>
      <c r="D7" s="117"/>
    </row>
    <row r="8" spans="1:14" x14ac:dyDescent="0.2">
      <c r="A8" s="3" t="s">
        <v>1315</v>
      </c>
      <c r="B8" s="40" t="s">
        <v>1316</v>
      </c>
      <c r="C8" s="713" t="s">
        <v>204</v>
      </c>
      <c r="D8" s="28"/>
    </row>
    <row r="9" spans="1:14" x14ac:dyDescent="0.2">
      <c r="A9" s="262" t="s">
        <v>1317</v>
      </c>
      <c r="B9" s="379" t="s">
        <v>1318</v>
      </c>
      <c r="C9" s="714" t="s">
        <v>204</v>
      </c>
      <c r="D9" s="117"/>
    </row>
    <row r="10" spans="1:14" x14ac:dyDescent="0.2">
      <c r="A10" s="3" t="s">
        <v>1319</v>
      </c>
      <c r="B10" s="40" t="s">
        <v>1320</v>
      </c>
      <c r="C10" s="713" t="s">
        <v>204</v>
      </c>
      <c r="D10" s="28"/>
    </row>
    <row r="11" spans="1:14" x14ac:dyDescent="0.2">
      <c r="A11" s="262" t="s">
        <v>1321</v>
      </c>
      <c r="B11" s="379" t="s">
        <v>1322</v>
      </c>
      <c r="C11" s="714" t="s">
        <v>204</v>
      </c>
      <c r="D11" s="117"/>
    </row>
    <row r="12" spans="1:14" x14ac:dyDescent="0.2">
      <c r="A12" s="3" t="s">
        <v>1323</v>
      </c>
      <c r="B12" s="40" t="s">
        <v>1324</v>
      </c>
      <c r="C12" s="713" t="s">
        <v>204</v>
      </c>
      <c r="D12" s="28"/>
    </row>
    <row r="13" spans="1:14" x14ac:dyDescent="0.2">
      <c r="A13" s="262" t="s">
        <v>1325</v>
      </c>
      <c r="B13" s="379" t="s">
        <v>1326</v>
      </c>
      <c r="C13" s="714" t="s">
        <v>204</v>
      </c>
      <c r="D13" s="117"/>
    </row>
    <row r="14" spans="1:14" x14ac:dyDescent="0.2">
      <c r="A14" s="3" t="s">
        <v>1327</v>
      </c>
      <c r="B14" s="40" t="s">
        <v>1328</v>
      </c>
      <c r="C14" s="713" t="s">
        <v>207</v>
      </c>
      <c r="D14" s="28"/>
    </row>
    <row r="15" spans="1:14" x14ac:dyDescent="0.2">
      <c r="A15" s="262" t="s">
        <v>1329</v>
      </c>
      <c r="B15" s="379" t="s">
        <v>1330</v>
      </c>
      <c r="C15" s="714" t="s">
        <v>207</v>
      </c>
      <c r="D15" s="117"/>
    </row>
    <row r="16" spans="1:14" x14ac:dyDescent="0.2">
      <c r="A16" s="3" t="s">
        <v>1331</v>
      </c>
      <c r="B16" s="40" t="s">
        <v>1332</v>
      </c>
      <c r="C16" s="713" t="s">
        <v>207</v>
      </c>
      <c r="D16" s="28"/>
    </row>
    <row r="17" spans="1:4" x14ac:dyDescent="0.2">
      <c r="A17" s="262" t="s">
        <v>1333</v>
      </c>
      <c r="B17" s="379" t="s">
        <v>1334</v>
      </c>
      <c r="C17" s="714" t="s">
        <v>207</v>
      </c>
      <c r="D17" s="117"/>
    </row>
    <row r="18" spans="1:4" x14ac:dyDescent="0.2">
      <c r="A18" s="3" t="s">
        <v>1335</v>
      </c>
      <c r="B18" s="40" t="s">
        <v>1336</v>
      </c>
      <c r="C18" s="713" t="s">
        <v>207</v>
      </c>
      <c r="D18" s="28"/>
    </row>
    <row r="19" spans="1:4" x14ac:dyDescent="0.2">
      <c r="A19" s="262" t="s">
        <v>1337</v>
      </c>
      <c r="B19" s="379" t="s">
        <v>1338</v>
      </c>
      <c r="C19" s="714" t="s">
        <v>207</v>
      </c>
      <c r="D19" s="117"/>
    </row>
    <row r="20" spans="1:4" x14ac:dyDescent="0.2">
      <c r="A20" s="3" t="s">
        <v>1339</v>
      </c>
      <c r="B20" s="40" t="s">
        <v>1340</v>
      </c>
      <c r="C20" s="713" t="s">
        <v>207</v>
      </c>
      <c r="D20" s="28"/>
    </row>
    <row r="21" spans="1:4" x14ac:dyDescent="0.2">
      <c r="A21" s="262" t="s">
        <v>1341</v>
      </c>
      <c r="B21" s="379" t="s">
        <v>1342</v>
      </c>
      <c r="C21" s="714" t="s">
        <v>207</v>
      </c>
      <c r="D21" s="117"/>
    </row>
    <row r="22" spans="1:4" x14ac:dyDescent="0.2">
      <c r="A22" s="3" t="s">
        <v>1343</v>
      </c>
      <c r="B22" s="40" t="s">
        <v>1344</v>
      </c>
      <c r="C22" s="713" t="s">
        <v>207</v>
      </c>
      <c r="D22" s="28"/>
    </row>
    <row r="23" spans="1:4" x14ac:dyDescent="0.2">
      <c r="A23" s="262" t="s">
        <v>1345</v>
      </c>
      <c r="B23" s="379" t="s">
        <v>1346</v>
      </c>
      <c r="C23" s="714" t="s">
        <v>207</v>
      </c>
      <c r="D23" s="117"/>
    </row>
    <row r="24" spans="1:4" x14ac:dyDescent="0.2">
      <c r="A24" s="3" t="s">
        <v>1347</v>
      </c>
      <c r="B24" s="40" t="s">
        <v>1348</v>
      </c>
      <c r="C24" s="713" t="s">
        <v>207</v>
      </c>
      <c r="D24" s="28"/>
    </row>
    <row r="25" spans="1:4" x14ac:dyDescent="0.2">
      <c r="A25" s="262" t="s">
        <v>1349</v>
      </c>
      <c r="B25" s="379" t="s">
        <v>1350</v>
      </c>
      <c r="C25" s="714" t="s">
        <v>207</v>
      </c>
      <c r="D25" s="117"/>
    </row>
    <row r="26" spans="1:4" x14ac:dyDescent="0.2">
      <c r="A26" s="3" t="s">
        <v>1351</v>
      </c>
      <c r="B26" s="40" t="s">
        <v>1352</v>
      </c>
      <c r="C26" s="713" t="s">
        <v>207</v>
      </c>
      <c r="D26" s="28"/>
    </row>
    <row r="28" spans="1:4" ht="22" customHeight="1" x14ac:dyDescent="0.2">
      <c r="A28" s="842" t="s">
        <v>1353</v>
      </c>
      <c r="B28" s="926"/>
      <c r="C28" s="926"/>
      <c r="D28" s="926"/>
    </row>
    <row r="29" spans="1:4" x14ac:dyDescent="0.2">
      <c r="A29" s="228" t="s">
        <v>1188</v>
      </c>
      <c r="B29" s="228" t="s">
        <v>1354</v>
      </c>
      <c r="C29" s="228" t="s">
        <v>1355</v>
      </c>
      <c r="D29" s="228" t="s">
        <v>1356</v>
      </c>
    </row>
    <row r="30" spans="1:4" ht="45" x14ac:dyDescent="0.2">
      <c r="A30" s="28" t="s">
        <v>1357</v>
      </c>
      <c r="B30" s="715" t="s">
        <v>1358</v>
      </c>
      <c r="C30" s="716" t="s">
        <v>1359</v>
      </c>
      <c r="D30" s="28" t="s">
        <v>1360</v>
      </c>
    </row>
    <row r="31" spans="1:4" ht="75" x14ac:dyDescent="0.2">
      <c r="A31" s="28" t="s">
        <v>1361</v>
      </c>
      <c r="B31" s="715" t="s">
        <v>1362</v>
      </c>
      <c r="C31" s="716" t="s">
        <v>1363</v>
      </c>
      <c r="D31" s="717">
        <v>46092</v>
      </c>
    </row>
    <row r="32" spans="1:4" ht="30" x14ac:dyDescent="0.2">
      <c r="A32" s="28" t="s">
        <v>1364</v>
      </c>
      <c r="B32" s="715" t="s">
        <v>1365</v>
      </c>
      <c r="C32" s="716" t="s">
        <v>1366</v>
      </c>
      <c r="D32" s="718">
        <v>46113</v>
      </c>
    </row>
    <row r="33" spans="1:4" ht="45" x14ac:dyDescent="0.2">
      <c r="A33" s="28" t="s">
        <v>1367</v>
      </c>
      <c r="B33" s="715" t="s">
        <v>1368</v>
      </c>
      <c r="C33" s="716" t="s">
        <v>1369</v>
      </c>
      <c r="D33" s="718">
        <v>46113</v>
      </c>
    </row>
    <row r="34" spans="1:4" ht="75" x14ac:dyDescent="0.2">
      <c r="A34" s="28" t="s">
        <v>1370</v>
      </c>
      <c r="B34" s="715" t="s">
        <v>1371</v>
      </c>
      <c r="C34" s="716" t="s">
        <v>1372</v>
      </c>
      <c r="D34" s="717">
        <v>45785</v>
      </c>
    </row>
    <row r="35" spans="1:4" ht="60" x14ac:dyDescent="0.2">
      <c r="A35" s="28" t="s">
        <v>1373</v>
      </c>
      <c r="B35" s="715" t="s">
        <v>1374</v>
      </c>
      <c r="C35" s="716" t="s">
        <v>1375</v>
      </c>
      <c r="D35" s="717">
        <v>45930</v>
      </c>
    </row>
  </sheetData>
  <mergeCells count="3">
    <mergeCell ref="A1:N1"/>
    <mergeCell ref="A2:N2"/>
    <mergeCell ref="A28:D2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0205-03DC-47B3-A0A3-C1A9156EDCD2}">
  <sheetPr>
    <tabColor rgb="FFC00000"/>
  </sheetPr>
  <dimension ref="A1:N24"/>
  <sheetViews>
    <sheetView showGridLines="0" topLeftCell="A17" workbookViewId="0">
      <selection activeCell="D21" sqref="D21"/>
    </sheetView>
  </sheetViews>
  <sheetFormatPr baseColWidth="10" defaultColWidth="8.83203125" defaultRowHeight="15" x14ac:dyDescent="0.2"/>
  <cols>
    <col min="1" max="1" width="15" style="37" customWidth="1"/>
    <col min="2" max="2" width="13.33203125" customWidth="1"/>
    <col min="3" max="4" width="46.6640625" customWidth="1"/>
    <col min="5" max="5" width="12.5" customWidth="1"/>
    <col min="6" max="6" width="15" customWidth="1"/>
  </cols>
  <sheetData>
    <row r="1" spans="1:14" ht="28" customHeight="1" x14ac:dyDescent="0.25">
      <c r="A1" s="884" t="s">
        <v>1376</v>
      </c>
      <c r="B1" s="884"/>
      <c r="C1" s="884"/>
      <c r="D1" s="884"/>
      <c r="E1" s="884"/>
      <c r="F1" s="884"/>
      <c r="G1" s="884"/>
      <c r="H1" s="884"/>
      <c r="I1" s="884"/>
      <c r="J1" s="884"/>
      <c r="K1" s="884"/>
      <c r="L1" s="884"/>
      <c r="M1" s="884"/>
      <c r="N1" s="884"/>
    </row>
    <row r="2" spans="1:14" x14ac:dyDescent="0.2">
      <c r="A2" s="927" t="s">
        <v>1377</v>
      </c>
      <c r="B2" s="927"/>
      <c r="C2" s="927"/>
      <c r="D2" s="927"/>
      <c r="E2" s="927"/>
      <c r="F2" s="927"/>
      <c r="G2" s="927"/>
      <c r="H2" s="927"/>
      <c r="I2" s="927"/>
      <c r="J2" s="927"/>
      <c r="K2" s="927"/>
      <c r="L2" s="927"/>
      <c r="M2" s="927"/>
      <c r="N2" s="927"/>
    </row>
    <row r="4" spans="1:14" ht="22" customHeight="1" thickBot="1" x14ac:dyDescent="0.25">
      <c r="A4" s="719" t="s">
        <v>1378</v>
      </c>
      <c r="B4" s="719" t="s">
        <v>1379</v>
      </c>
      <c r="C4" s="719" t="s">
        <v>1380</v>
      </c>
      <c r="D4" s="719" t="s">
        <v>1381</v>
      </c>
      <c r="E4" s="719" t="s">
        <v>1382</v>
      </c>
      <c r="F4" s="719" t="s">
        <v>62</v>
      </c>
    </row>
    <row r="5" spans="1:14" ht="67" customHeight="1" x14ac:dyDescent="0.2">
      <c r="A5" s="32" t="s">
        <v>1383</v>
      </c>
      <c r="B5" s="28" t="s">
        <v>1384</v>
      </c>
      <c r="C5" s="715" t="s">
        <v>1385</v>
      </c>
      <c r="D5" s="715" t="s">
        <v>1386</v>
      </c>
      <c r="E5" s="721" t="s">
        <v>68</v>
      </c>
      <c r="F5" s="137" t="s">
        <v>1387</v>
      </c>
    </row>
    <row r="6" spans="1:14" ht="59" customHeight="1" x14ac:dyDescent="0.2">
      <c r="A6" s="295" t="s">
        <v>1383</v>
      </c>
      <c r="B6" s="117" t="s">
        <v>1388</v>
      </c>
      <c r="C6" s="720" t="s">
        <v>1389</v>
      </c>
      <c r="D6" s="720" t="s">
        <v>1390</v>
      </c>
      <c r="E6" s="722" t="s">
        <v>68</v>
      </c>
      <c r="F6" s="136" t="s">
        <v>1387</v>
      </c>
    </row>
    <row r="7" spans="1:14" ht="102" customHeight="1" x14ac:dyDescent="0.2">
      <c r="A7" s="32" t="s">
        <v>1391</v>
      </c>
      <c r="B7" s="28" t="s">
        <v>1392</v>
      </c>
      <c r="C7" s="715" t="s">
        <v>1393</v>
      </c>
      <c r="D7" s="715" t="s">
        <v>1394</v>
      </c>
      <c r="E7" s="723" t="s">
        <v>1395</v>
      </c>
      <c r="F7" s="723" t="s">
        <v>1396</v>
      </c>
    </row>
    <row r="8" spans="1:14" ht="119" customHeight="1" x14ac:dyDescent="0.2">
      <c r="A8" s="295" t="s">
        <v>1391</v>
      </c>
      <c r="B8" s="117" t="s">
        <v>1397</v>
      </c>
      <c r="C8" s="720" t="s">
        <v>1398</v>
      </c>
      <c r="D8" s="720" t="s">
        <v>1399</v>
      </c>
      <c r="E8" s="724" t="s">
        <v>1395</v>
      </c>
      <c r="F8" s="724" t="s">
        <v>1396</v>
      </c>
    </row>
    <row r="9" spans="1:14" ht="105" customHeight="1" x14ac:dyDescent="0.2">
      <c r="A9" s="32" t="s">
        <v>1391</v>
      </c>
      <c r="B9" s="28" t="s">
        <v>1400</v>
      </c>
      <c r="C9" s="715" t="s">
        <v>1401</v>
      </c>
      <c r="D9" s="715" t="s">
        <v>1402</v>
      </c>
      <c r="E9" s="725" t="s">
        <v>117</v>
      </c>
      <c r="F9" s="137" t="s">
        <v>1387</v>
      </c>
    </row>
    <row r="10" spans="1:14" ht="85" customHeight="1" x14ac:dyDescent="0.2">
      <c r="A10" s="295" t="s">
        <v>1391</v>
      </c>
      <c r="B10" s="117" t="s">
        <v>1403</v>
      </c>
      <c r="C10" s="720" t="s">
        <v>1404</v>
      </c>
      <c r="D10" s="720" t="s">
        <v>1405</v>
      </c>
      <c r="E10" s="726" t="s">
        <v>117</v>
      </c>
      <c r="F10" s="136" t="s">
        <v>1387</v>
      </c>
    </row>
    <row r="11" spans="1:14" ht="139" customHeight="1" x14ac:dyDescent="0.2">
      <c r="A11" s="32" t="s">
        <v>1391</v>
      </c>
      <c r="B11" s="28" t="s">
        <v>1406</v>
      </c>
      <c r="C11" s="715" t="s">
        <v>1407</v>
      </c>
      <c r="D11" s="715" t="s">
        <v>1408</v>
      </c>
      <c r="E11" s="727" t="s">
        <v>1395</v>
      </c>
      <c r="F11" s="723" t="s">
        <v>1396</v>
      </c>
    </row>
    <row r="12" spans="1:14" ht="78" customHeight="1" x14ac:dyDescent="0.2">
      <c r="A12" s="295" t="s">
        <v>1409</v>
      </c>
      <c r="B12" s="117" t="s">
        <v>1410</v>
      </c>
      <c r="C12" s="720" t="s">
        <v>1411</v>
      </c>
      <c r="D12" s="720" t="s">
        <v>1412</v>
      </c>
      <c r="E12" s="726" t="s">
        <v>117</v>
      </c>
      <c r="F12" s="136" t="s">
        <v>1387</v>
      </c>
    </row>
    <row r="13" spans="1:14" ht="105" customHeight="1" x14ac:dyDescent="0.2">
      <c r="A13" s="32" t="s">
        <v>1413</v>
      </c>
      <c r="B13" s="28" t="s">
        <v>1414</v>
      </c>
      <c r="C13" s="715" t="s">
        <v>1415</v>
      </c>
      <c r="D13" s="715" t="s">
        <v>1416</v>
      </c>
      <c r="E13" s="728" t="s">
        <v>229</v>
      </c>
      <c r="F13" s="137" t="s">
        <v>1417</v>
      </c>
    </row>
    <row r="14" spans="1:14" ht="62" customHeight="1" x14ac:dyDescent="0.2">
      <c r="A14" s="295" t="s">
        <v>1418</v>
      </c>
      <c r="B14" s="117" t="s">
        <v>1419</v>
      </c>
      <c r="C14" s="720" t="s">
        <v>1420</v>
      </c>
      <c r="D14" s="720" t="s">
        <v>1421</v>
      </c>
      <c r="E14" s="729" t="s">
        <v>229</v>
      </c>
      <c r="F14" s="136" t="s">
        <v>1417</v>
      </c>
    </row>
    <row r="15" spans="1:14" x14ac:dyDescent="0.2">
      <c r="C15" s="290"/>
      <c r="D15" s="290"/>
    </row>
    <row r="16" spans="1:14" ht="22" customHeight="1" x14ac:dyDescent="0.2">
      <c r="A16" s="842" t="s">
        <v>1422</v>
      </c>
      <c r="B16" s="919"/>
      <c r="C16" s="919"/>
      <c r="D16" s="919"/>
      <c r="E16" s="919"/>
      <c r="F16" s="919"/>
    </row>
    <row r="17" spans="1:6" ht="119" customHeight="1" x14ac:dyDescent="0.2">
      <c r="A17" s="32" t="s">
        <v>1423</v>
      </c>
      <c r="B17" s="28"/>
      <c r="C17" s="715" t="s">
        <v>1424</v>
      </c>
      <c r="D17" s="715"/>
      <c r="E17" s="721" t="s">
        <v>1425</v>
      </c>
      <c r="F17" s="137"/>
    </row>
    <row r="18" spans="1:6" ht="91" customHeight="1" x14ac:dyDescent="0.2">
      <c r="A18" s="295" t="s">
        <v>257</v>
      </c>
      <c r="B18" s="117"/>
      <c r="C18" s="720" t="s">
        <v>1426</v>
      </c>
      <c r="D18" s="720"/>
      <c r="E18" s="730" t="s">
        <v>1395</v>
      </c>
      <c r="F18" s="724" t="s">
        <v>1396</v>
      </c>
    </row>
    <row r="19" spans="1:6" ht="174" customHeight="1" x14ac:dyDescent="0.2">
      <c r="A19" s="32" t="s">
        <v>1427</v>
      </c>
      <c r="B19" s="28"/>
      <c r="C19" s="715" t="s">
        <v>1428</v>
      </c>
      <c r="D19" s="715" t="s">
        <v>1429</v>
      </c>
      <c r="E19" s="727" t="s">
        <v>1395</v>
      </c>
      <c r="F19" s="723" t="s">
        <v>1396</v>
      </c>
    </row>
    <row r="20" spans="1:6" ht="166" customHeight="1" x14ac:dyDescent="0.2">
      <c r="A20" s="295" t="s">
        <v>748</v>
      </c>
      <c r="B20" s="117"/>
      <c r="C20" s="720" t="s">
        <v>1430</v>
      </c>
      <c r="D20" s="720" t="s">
        <v>1431</v>
      </c>
      <c r="E20" s="730" t="s">
        <v>1395</v>
      </c>
      <c r="F20" s="731" t="s">
        <v>1432</v>
      </c>
    </row>
    <row r="21" spans="1:6" ht="112" customHeight="1" x14ac:dyDescent="0.2">
      <c r="A21" s="32" t="s">
        <v>1433</v>
      </c>
      <c r="B21" s="28"/>
      <c r="C21" s="715" t="s">
        <v>1434</v>
      </c>
      <c r="D21" s="715"/>
      <c r="E21" s="137" t="s">
        <v>1435</v>
      </c>
      <c r="F21" s="137"/>
    </row>
    <row r="22" spans="1:6" x14ac:dyDescent="0.2">
      <c r="A22" s="295" t="s">
        <v>1436</v>
      </c>
      <c r="B22" s="295" t="s">
        <v>1437</v>
      </c>
      <c r="C22" s="117" t="s">
        <v>1438</v>
      </c>
      <c r="D22" s="117" t="s">
        <v>1439</v>
      </c>
      <c r="E22" s="722" t="s">
        <v>68</v>
      </c>
      <c r="F22" s="724" t="s">
        <v>1396</v>
      </c>
    </row>
    <row r="23" spans="1:6" x14ac:dyDescent="0.2">
      <c r="A23" s="32" t="s">
        <v>1440</v>
      </c>
      <c r="B23" s="32" t="s">
        <v>1441</v>
      </c>
      <c r="C23" s="28" t="s">
        <v>1442</v>
      </c>
      <c r="D23" s="28" t="s">
        <v>1443</v>
      </c>
      <c r="E23" s="727" t="s">
        <v>1395</v>
      </c>
      <c r="F23" s="723" t="s">
        <v>1396</v>
      </c>
    </row>
    <row r="24" spans="1:6" x14ac:dyDescent="0.2">
      <c r="A24" s="295" t="s">
        <v>1444</v>
      </c>
      <c r="B24" s="295" t="s">
        <v>1445</v>
      </c>
      <c r="C24" s="117" t="s">
        <v>1446</v>
      </c>
      <c r="D24" s="117" t="s">
        <v>1447</v>
      </c>
      <c r="E24" s="726" t="s">
        <v>1448</v>
      </c>
      <c r="F24" s="731" t="s">
        <v>1449</v>
      </c>
    </row>
  </sheetData>
  <mergeCells count="3">
    <mergeCell ref="A1:N1"/>
    <mergeCell ref="A2:N2"/>
    <mergeCell ref="A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Cover</vt:lpstr>
      <vt:lpstr>Assumptions</vt:lpstr>
      <vt:lpstr>Assumptions Audit</vt:lpstr>
      <vt:lpstr>Members</vt:lpstr>
      <vt:lpstr>ARPU</vt:lpstr>
      <vt:lpstr>Revenue Build</vt:lpstr>
      <vt:lpstr>P&amp;L</vt:lpstr>
      <vt:lpstr>FCF</vt:lpstr>
      <vt:lpstr>WC &amp; Cash</vt:lpstr>
      <vt:lpstr>DCF</vt:lpstr>
      <vt:lpstr>WACC Bottom-Up</vt:lpstr>
      <vt:lpstr>RealOptions</vt:lpstr>
      <vt:lpstr>Comps</vt:lpstr>
      <vt:lpstr>Precedents</vt:lpstr>
      <vt:lpstr>Cap Table</vt:lpstr>
      <vt:lpstr>Football Field</vt:lpstr>
      <vt:lpstr>Scenarios</vt:lpstr>
      <vt:lpstr>Sensitivity</vt:lpstr>
      <vt:lpstr>Checks</vt:lpstr>
      <vt:lpstr>Sources</vt:lpstr>
      <vt:lpstr>CalibrationLog</vt:lpstr>
      <vt:lpstr>Scenario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Landon Brice</cp:lastModifiedBy>
  <cp:revision/>
  <dcterms:created xsi:type="dcterms:W3CDTF">2026-04-17T03:03:59Z</dcterms:created>
  <dcterms:modified xsi:type="dcterms:W3CDTF">2026-05-06T00:38:58Z</dcterms:modified>
  <cp:category/>
  <cp:contentStatus/>
</cp:coreProperties>
</file>