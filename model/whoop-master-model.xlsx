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Revenue Build" sheetId="3" state="visible" r:id="rId3"/>
    <sheet name="P&amp;L" sheetId="4" state="visible" r:id="rId4"/>
    <sheet name="DCF" sheetId="5" state="visible" r:id="rId5"/>
    <sheet name="Comps" sheetId="6" state="visible" r:id="rId6"/>
    <sheet name="Precedents" sheetId="7" state="visible" r:id="rId7"/>
    <sheet name="Cap Table" sheetId="8" state="visible" r:id="rId8"/>
    <sheet name="Football Field" sheetId="9" state="visible" r:id="rId9"/>
    <sheet name="Sensitivity" sheetId="10" state="visible" r:id="rId10"/>
    <sheet name="Sources" sheetId="11" state="visible" r:id="rId11"/>
  </sheets>
  <definedNames>
    <definedName name="Scenario">Assumptions!$B$3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0.0x"/>
    <numFmt numFmtId="167" formatCode="0.0"/>
    <numFmt numFmtId="168" formatCode="$#,##0.00"/>
  </numFmts>
  <fonts count="15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color rgb="00666666"/>
      <sz val="16"/>
    </font>
    <font>
      <name val="Calibri"/>
      <color rgb="00666666"/>
      <sz val="11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8000"/>
      <sz val="10"/>
    </font>
    <font>
      <name val="Calibri"/>
      <color rgb="00CC0000"/>
      <sz val="10"/>
    </font>
    <font>
      <name val="Calibri"/>
      <i val="1"/>
      <color rgb="00666666"/>
      <sz val="9"/>
    </font>
    <font>
      <name val="Calibri"/>
      <b val="1"/>
      <color rgb="00000000"/>
      <sz val="14"/>
    </font>
    <font>
      <name val="Calibri"/>
      <b val="1"/>
      <color rgb="000000FF"/>
      <sz val="12"/>
    </font>
    <font>
      <name val="Calibri"/>
      <i val="1"/>
      <color rgb="00999999"/>
      <sz val="9"/>
    </font>
    <font>
      <name val="Calibri"/>
      <b val="1"/>
      <color rgb="00CC0000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BF1DE"/>
        <bgColor rgb="00EBF1DE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6" fillId="5" borderId="0" pivotButton="0" quotePrefix="0" xfId="0"/>
    <xf numFmtId="3" fontId="5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7" fillId="2" borderId="0" pivotButton="0" quotePrefix="0" xfId="0"/>
    <xf numFmtId="3" fontId="5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center" wrapText="1"/>
    </xf>
    <xf numFmtId="164" fontId="5" fillId="0" borderId="0" pivotButton="0" quotePrefix="0" xfId="0"/>
    <xf numFmtId="164" fontId="5" fillId="2" borderId="0" pivotButton="0" quotePrefix="0" xfId="0"/>
    <xf numFmtId="165" fontId="5" fillId="2" borderId="0" pivotButton="0" quotePrefix="0" xfId="0"/>
    <xf numFmtId="0" fontId="0" fillId="2" borderId="0" pivotButton="0" quotePrefix="0" xfId="0"/>
    <xf numFmtId="166" fontId="5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167" fontId="5" fillId="0" borderId="0" pivotButton="0" quotePrefix="0" xfId="0"/>
    <xf numFmtId="167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5" fontId="5" fillId="0" borderId="0" pivotButton="0" quotePrefix="0" xfId="0"/>
    <xf numFmtId="3" fontId="7" fillId="0" borderId="0" pivotButton="0" quotePrefix="0" xfId="0"/>
    <xf numFmtId="166" fontId="7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0" fontId="14" fillId="0" borderId="0" pivotButton="0" quotePrefix="0" xfId="0"/>
    <xf numFmtId="166" fontId="8" fillId="0" borderId="0" pivotButton="0" quotePrefix="0" xfId="0"/>
    <xf numFmtId="168" fontId="7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horizontal="right" vertical="center"/>
    </xf>
    <xf numFmtId="1" fontId="7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2" fontId="5" fillId="0" borderId="0" pivotButton="0" quotePrefix="0" xfId="0"/>
    <xf numFmtId="0" fontId="9" fillId="0" borderId="0" pivotButton="0" quotePrefix="0" xfId="0"/>
    <xf numFmtId="168" fontId="5" fillId="0" borderId="0" pivotButton="0" quotePrefix="0" xfId="0"/>
    <xf numFmtId="166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3:C3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</cols>
  <sheetData>
    <row r="3">
      <c r="B3" s="1" t="inlineStr">
        <is>
          <t>WHOOP Inc.</t>
        </is>
      </c>
    </row>
    <row r="4">
      <c r="B4" s="2" t="inlineStr">
        <is>
          <t>Private Company Valuation</t>
        </is>
      </c>
    </row>
    <row r="5">
      <c r="B5" s="3" t="inlineStr">
        <is>
          <t>Investment Committee Memo — Supporting Model</t>
        </is>
      </c>
    </row>
    <row r="8">
      <c r="B8" s="4" t="inlineStr">
        <is>
          <t>Company:</t>
        </is>
      </c>
      <c r="C8" s="5" t="inlineStr">
        <is>
          <t>WHOOP Inc.</t>
        </is>
      </c>
    </row>
    <row r="9">
      <c r="B9" s="4" t="inlineStr">
        <is>
          <t>Ticker:</t>
        </is>
      </c>
      <c r="C9" s="5" t="inlineStr">
        <is>
          <t>Private (Pre-IPO)</t>
        </is>
      </c>
    </row>
    <row r="10">
      <c r="B10" s="4" t="inlineStr">
        <is>
          <t>Last Round:</t>
        </is>
      </c>
      <c r="C10" s="5" t="inlineStr">
        <is>
          <t>Series G — $575M at $10.1B post-money (Mar 31, 2026)</t>
        </is>
      </c>
    </row>
    <row r="11">
      <c r="B11" s="4" t="inlineStr">
        <is>
          <t>Model Date:</t>
        </is>
      </c>
      <c r="C11" s="5" t="inlineStr">
        <is>
          <t>April 16, 2026</t>
        </is>
      </c>
    </row>
    <row r="12">
      <c r="B12" s="4" t="inlineStr">
        <is>
          <t>Analyst:</t>
        </is>
      </c>
      <c r="C12" s="5" t="inlineStr">
        <is>
          <t>Landon Brice</t>
        </is>
      </c>
    </row>
    <row r="13">
      <c r="B13" s="4" t="inlineStr">
        <is>
          <t>Fiscal Year:</t>
        </is>
      </c>
      <c r="C13" s="5" t="inlineStr">
        <is>
          <t>Calendar Year (Jan-Dec)</t>
        </is>
      </c>
    </row>
    <row r="14">
      <c r="B14" s="4" t="inlineStr">
        <is>
          <t>Currency:</t>
        </is>
      </c>
      <c r="C14" s="5" t="inlineStr">
        <is>
          <t>USD ($M unless noted)</t>
        </is>
      </c>
    </row>
    <row r="17">
      <c r="B17" s="6" t="inlineStr">
        <is>
          <t>Valuation Methods:</t>
        </is>
      </c>
    </row>
    <row r="18">
      <c r="B18" s="7" t="inlineStr">
        <is>
          <t>1. Intrinsic DCF (scenario-based + real options)</t>
        </is>
      </c>
    </row>
    <row r="19">
      <c r="B19" s="7" t="inlineStr">
        <is>
          <t>2. Trading Comps (three-bucket framework)</t>
        </is>
      </c>
    </row>
    <row r="20">
      <c r="B20" s="7" t="inlineStr">
        <is>
          <t>3. Precedent Transactions</t>
        </is>
      </c>
    </row>
    <row r="21">
      <c r="B21" s="7" t="inlineStr">
        <is>
          <t>4. Last-Round Implied ($10.1B)</t>
        </is>
      </c>
    </row>
    <row r="22">
      <c r="B22" s="7" t="inlineStr">
        <is>
          <t>5. Implied IPO Trading Range (back-solved)</t>
        </is>
      </c>
    </row>
    <row r="25">
      <c r="B25" s="6" t="inlineStr">
        <is>
          <t>Color Convention:</t>
        </is>
      </c>
    </row>
    <row r="26">
      <c r="B26" s="5" t="inlineStr">
        <is>
          <t>Hard-coded input</t>
        </is>
      </c>
    </row>
    <row r="27">
      <c r="B27" s="7" t="inlineStr">
        <is>
          <t>Formula / calculation</t>
        </is>
      </c>
    </row>
    <row r="28">
      <c r="B28" s="8" t="inlineStr">
        <is>
          <t>Cross-sheet link</t>
        </is>
      </c>
    </row>
    <row r="29">
      <c r="B29" s="9" t="inlineStr">
        <is>
          <t>Needs verification / FLAGGED_GAP</t>
        </is>
      </c>
    </row>
    <row r="32">
      <c r="B32" s="6" t="inlineStr">
        <is>
          <t>Source Files:</t>
        </is>
      </c>
    </row>
    <row r="33">
      <c r="B33" s="10" t="inlineStr">
        <is>
          <t>See Sources tab for full research file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O7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40" customWidth="1" min="8" max="8"/>
  </cols>
  <sheetData>
    <row r="1">
      <c r="A1" s="11" t="inlineStr">
        <is>
          <t>WHOOP — Master Assumptions</t>
        </is>
      </c>
    </row>
    <row r="3">
      <c r="A3" s="6" t="inlineStr">
        <is>
          <t>Scenario Toggle:</t>
        </is>
      </c>
      <c r="B3" s="12" t="inlineStr">
        <is>
          <t>Base</t>
        </is>
      </c>
      <c r="C3" s="10" t="inlineStr">
        <is>
          <t>← Enter: Bear / Base / Bull</t>
        </is>
      </c>
    </row>
    <row r="5">
      <c r="A5" s="13" t="inlineStr">
        <is>
          <t>ID</t>
        </is>
      </c>
      <c r="B5" s="13" t="inlineStr">
        <is>
          <t>Assumption</t>
        </is>
      </c>
      <c r="C5" s="13" t="inlineStr">
        <is>
          <t>Bear</t>
        </is>
      </c>
      <c r="D5" s="13" t="inlineStr">
        <is>
          <t>Base</t>
        </is>
      </c>
      <c r="E5" s="13" t="inlineStr">
        <is>
          <t>Bull</t>
        </is>
      </c>
      <c r="F5" s="13" t="inlineStr">
        <is>
          <t>Tier</t>
        </is>
      </c>
      <c r="G5" s="13" t="inlineStr">
        <is>
          <t>Priority</t>
        </is>
      </c>
      <c r="H5" s="13" t="inlineStr">
        <is>
          <t>Source / Notes</t>
        </is>
      </c>
    </row>
    <row r="6">
      <c r="C6" s="14" t="inlineStr"/>
    </row>
    <row r="7">
      <c r="A7" s="15" t="inlineStr">
        <is>
          <t>Section 1: Revenue &amp; Growth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4" t="inlineStr">
        <is>
          <t>R1</t>
        </is>
      </c>
      <c r="B8" s="7" t="inlineStr">
        <is>
          <t>2025 Recognized Revenue ($M)</t>
        </is>
      </c>
      <c r="C8" s="16" t="n">
        <v>550</v>
      </c>
      <c r="D8" s="16" t="n">
        <v>650</v>
      </c>
      <c r="E8" s="16" t="n">
        <v>800</v>
      </c>
      <c r="F8" s="10" t="inlineStr">
        <is>
          <t>Tier 2</t>
        </is>
      </c>
      <c r="G8" s="4" t="inlineStr">
        <is>
          <t>Critical</t>
        </is>
      </c>
      <c r="H8" s="17" t="inlineStr">
        <is>
          <t>Stress-tested range; $1.1B is bookings run-rate not recognized rev</t>
        </is>
      </c>
    </row>
    <row r="9">
      <c r="A9" s="4" t="inlineStr">
        <is>
          <t>R2</t>
        </is>
      </c>
      <c r="B9" s="7" t="inlineStr">
        <is>
          <t>2025 Bookings Run-Rate ($M)</t>
        </is>
      </c>
      <c r="C9" s="16" t="n">
        <v>1100</v>
      </c>
      <c r="D9" s="16" t="n">
        <v>1100</v>
      </c>
      <c r="E9" s="16" t="n">
        <v>1100</v>
      </c>
      <c r="F9" s="10" t="inlineStr">
        <is>
          <t>Tier 1</t>
        </is>
      </c>
      <c r="G9" s="10" t="inlineStr">
        <is>
          <t>Locked</t>
        </is>
      </c>
      <c r="H9" s="17" t="inlineStr">
        <is>
          <t>Series G press release; CEO statement</t>
        </is>
      </c>
    </row>
    <row r="10">
      <c r="A10" s="4" t="inlineStr">
        <is>
          <t>R3</t>
        </is>
      </c>
      <c r="B10" s="7" t="inlineStr">
        <is>
          <t>Paying Members (M)</t>
        </is>
      </c>
      <c r="C10" s="16" t="n">
        <v>2.3</v>
      </c>
      <c r="D10" s="16" t="n">
        <v>2.5</v>
      </c>
      <c r="E10" s="16" t="n">
        <v>2.7</v>
      </c>
      <c r="F10" s="10" t="inlineStr">
        <is>
          <t>Tier 1</t>
        </is>
      </c>
      <c r="G10" s="4" t="inlineStr">
        <is>
          <t>Critical</t>
        </is>
      </c>
      <c r="H10" s="17" t="inlineStr">
        <is>
          <t>Series G press: 2.5M+</t>
        </is>
      </c>
    </row>
    <row r="11">
      <c r="A11" s="18" t="inlineStr">
        <is>
          <t>R4</t>
        </is>
      </c>
      <c r="B11" s="19" t="inlineStr">
        <is>
          <t>Blended ARPU ($/yr)</t>
        </is>
      </c>
      <c r="C11" s="20" t="n">
        <v>280</v>
      </c>
      <c r="D11" s="20" t="n">
        <v>302</v>
      </c>
      <c r="E11" s="20" t="n">
        <v>330</v>
      </c>
      <c r="F11" s="21" t="inlineStr">
        <is>
          <t>Tier 3</t>
        </is>
      </c>
      <c r="G11" s="18" t="inlineStr">
        <is>
          <t>Critical</t>
        </is>
      </c>
      <c r="H11" s="22" t="inlineStr">
        <is>
          <t>Bottom-up model; revenue-bookings-reconciliation.md</t>
        </is>
      </c>
    </row>
    <row r="12">
      <c r="A12" s="4" t="inlineStr">
        <is>
          <t>R5</t>
        </is>
      </c>
      <c r="B12" s="7" t="inlineStr">
        <is>
          <t>Subscription Revenue %</t>
        </is>
      </c>
      <c r="C12" s="23" t="n">
        <v>0.8</v>
      </c>
      <c r="D12" s="23" t="n">
        <v>0.85</v>
      </c>
      <c r="E12" s="23" t="n">
        <v>0.88</v>
      </c>
      <c r="F12" s="10" t="inlineStr">
        <is>
          <t>Tier 2</t>
        </is>
      </c>
      <c r="G12" s="10" t="inlineStr">
        <is>
          <t>High</t>
        </is>
      </c>
      <c r="H12" s="17" t="inlineStr">
        <is>
          <t>Sacra research; 80-88% range</t>
        </is>
      </c>
    </row>
    <row r="13">
      <c r="A13" s="4" t="inlineStr">
        <is>
          <t>R6</t>
        </is>
      </c>
      <c r="B13" s="7" t="inlineStr">
        <is>
          <t>2025 YoY Subscription Growth</t>
        </is>
      </c>
      <c r="C13" s="23" t="n">
        <v>1.03</v>
      </c>
      <c r="D13" s="23" t="n">
        <v>1.03</v>
      </c>
      <c r="E13" s="23" t="n">
        <v>1.03</v>
      </c>
      <c r="F13" s="10" t="inlineStr">
        <is>
          <t>Tier 1</t>
        </is>
      </c>
      <c r="G13" s="10" t="inlineStr">
        <is>
          <t>Locked</t>
        </is>
      </c>
      <c r="H13" s="17" t="inlineStr">
        <is>
          <t>Series G press release</t>
        </is>
      </c>
    </row>
    <row r="14">
      <c r="A14" s="18" t="inlineStr">
        <is>
          <t>R7</t>
        </is>
      </c>
      <c r="B14" s="19" t="inlineStr">
        <is>
          <t>Phase 1 Revenue Growth (2026-27)</t>
        </is>
      </c>
      <c r="C14" s="24" t="n">
        <v>0.5</v>
      </c>
      <c r="D14" s="24" t="n">
        <v>0.7</v>
      </c>
      <c r="E14" s="24" t="n">
        <v>0.9</v>
      </c>
      <c r="F14" s="21" t="inlineStr">
        <is>
          <t>Tier 3</t>
        </is>
      </c>
      <c r="G14" s="18" t="inlineStr">
        <is>
          <t>Critical</t>
        </is>
      </c>
      <c r="H14" s="22" t="inlineStr">
        <is>
          <t>Peer trajectories; spec D phase table</t>
        </is>
      </c>
    </row>
    <row r="15">
      <c r="A15" s="18" t="inlineStr">
        <is>
          <t>R8</t>
        </is>
      </c>
      <c r="B15" s="19" t="inlineStr">
        <is>
          <t>Phase 2 Revenue Growth (2028-30)</t>
        </is>
      </c>
      <c r="C15" s="24" t="n">
        <v>0.15</v>
      </c>
      <c r="D15" s="24" t="n">
        <v>0.25</v>
      </c>
      <c r="E15" s="24" t="n">
        <v>0.4</v>
      </c>
      <c r="F15" s="21" t="inlineStr">
        <is>
          <t>Tier 3</t>
        </is>
      </c>
      <c r="G15" s="18" t="inlineStr">
        <is>
          <t>Critical</t>
        </is>
      </c>
      <c r="H15" s="22" t="inlineStr">
        <is>
          <t>Deceleration curves from Dexcom/Netflix</t>
        </is>
      </c>
    </row>
    <row r="16">
      <c r="A16" s="4" t="inlineStr">
        <is>
          <t>R9</t>
        </is>
      </c>
      <c r="B16" s="7" t="inlineStr">
        <is>
          <t>Phase 3 Revenue Growth (2031-33)</t>
        </is>
      </c>
      <c r="C16" s="23" t="n">
        <v>0.05</v>
      </c>
      <c r="D16" s="23" t="n">
        <v>0.12</v>
      </c>
      <c r="E16" s="23" t="n">
        <v>0.2</v>
      </c>
      <c r="F16" s="10" t="inlineStr">
        <is>
          <t>Tier 3</t>
        </is>
      </c>
      <c r="G16" s="10" t="inlineStr">
        <is>
          <t>High</t>
        </is>
      </c>
      <c r="H16" s="17" t="inlineStr">
        <is>
          <t>TAM ceiling, competitive response</t>
        </is>
      </c>
    </row>
    <row r="17">
      <c r="A17" s="18" t="inlineStr">
        <is>
          <t>R10</t>
        </is>
      </c>
      <c r="B17" s="19" t="inlineStr">
        <is>
          <t>Annual Churn Rate</t>
        </is>
      </c>
      <c r="C17" s="24" t="n">
        <v>0.22</v>
      </c>
      <c r="D17" s="24" t="n">
        <v>0.17</v>
      </c>
      <c r="E17" s="24" t="n">
        <v>0.12</v>
      </c>
      <c r="F17" s="21" t="inlineStr">
        <is>
          <t>Tier 3</t>
        </is>
      </c>
      <c r="G17" s="18" t="inlineStr">
        <is>
          <t>Critical</t>
        </is>
      </c>
      <c r="H17" s="22" t="inlineStr">
        <is>
          <t>&gt;80% retention = &lt;20% churn; FLAGGED_GAP: no cohort data</t>
        </is>
      </c>
    </row>
    <row r="18">
      <c r="A18" s="4" t="inlineStr">
        <is>
          <t>R11</t>
        </is>
      </c>
      <c r="B18" s="7" t="inlineStr">
        <is>
          <t>International Revenue %</t>
        </is>
      </c>
      <c r="C18" s="23" t="n">
        <v>0.35</v>
      </c>
      <c r="D18" s="23" t="n">
        <v>0.43</v>
      </c>
      <c r="E18" s="23" t="n">
        <v>0.55</v>
      </c>
      <c r="F18" s="10" t="inlineStr">
        <is>
          <t>Tier 2</t>
        </is>
      </c>
      <c r="G18" s="10" t="inlineStr">
        <is>
          <t>High</t>
        </is>
      </c>
      <c r="H18" s="17" t="inlineStr">
        <is>
          <t>Stress-tested: 40-45% base; NYT/DealBook source ambiguous</t>
        </is>
      </c>
    </row>
    <row r="19">
      <c r="A19" s="4" t="inlineStr">
        <is>
          <t>R12</t>
        </is>
      </c>
      <c r="B19" s="7" t="inlineStr">
        <is>
          <t>B2B Unite Revenue %</t>
        </is>
      </c>
      <c r="C19" s="23" t="n">
        <v>0.12</v>
      </c>
      <c r="D19" s="23" t="n">
        <v>0.18</v>
      </c>
      <c r="E19" s="23" t="n">
        <v>0.25</v>
      </c>
      <c r="F19" s="10" t="inlineStr">
        <is>
          <t>Tier 2</t>
        </is>
      </c>
      <c r="G19" s="10" t="inlineStr">
        <is>
          <t>Medium</t>
        </is>
      </c>
      <c r="H19" s="17" t="inlineStr">
        <is>
          <t>Sacra/BMCT: ~20% of recurring; growing rapidly</t>
        </is>
      </c>
    </row>
    <row r="21">
      <c r="A21" s="15" t="inlineStr">
        <is>
          <t>Section 2: Cost Structure &amp; Margins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8" t="inlineStr">
        <is>
          <t>C1</t>
        </is>
      </c>
      <c r="B22" s="19" t="inlineStr">
        <is>
          <t>Hardware BOM per Device ($)</t>
        </is>
      </c>
      <c r="C22" s="25" t="n">
        <v>100</v>
      </c>
      <c r="D22" s="25" t="n">
        <v>80</v>
      </c>
      <c r="E22" s="25" t="n">
        <v>60</v>
      </c>
      <c r="F22" s="26" t="inlineStr">
        <is>
          <t>Tier 3</t>
        </is>
      </c>
      <c r="G22" s="26" t="inlineStr">
        <is>
          <t>Critical</t>
        </is>
      </c>
      <c r="H22" s="22" t="inlineStr">
        <is>
          <t>Est. $50-80 at scale; 2016 was $250-300</t>
        </is>
      </c>
    </row>
    <row r="23">
      <c r="A23" s="18" t="inlineStr">
        <is>
          <t>C2</t>
        </is>
      </c>
      <c r="B23" s="19" t="inlineStr">
        <is>
          <t>Subscription Gross Margin</t>
        </is>
      </c>
      <c r="C23" s="24" t="n">
        <v>0.72</v>
      </c>
      <c r="D23" s="24" t="n">
        <v>0.78</v>
      </c>
      <c r="E23" s="24" t="n">
        <v>0.83</v>
      </c>
      <c r="F23" s="26" t="inlineStr">
        <is>
          <t>Tier 3</t>
        </is>
      </c>
      <c r="G23" s="26" t="inlineStr">
        <is>
          <t>Critical</t>
        </is>
      </c>
      <c r="H23" s="22" t="inlineStr">
        <is>
          <t>Peer: SaaS ~80%, Peloton sub ~68%</t>
        </is>
      </c>
    </row>
    <row r="24">
      <c r="A24" s="18" t="inlineStr">
        <is>
          <t>C3</t>
        </is>
      </c>
      <c r="B24" s="19" t="inlineStr">
        <is>
          <t>Hardware Gross Margin</t>
        </is>
      </c>
      <c r="C24" s="24" t="n">
        <v>-0.1</v>
      </c>
      <c r="D24" s="24" t="n">
        <v>-0.02</v>
      </c>
      <c r="E24" s="24" t="n">
        <v>0.05</v>
      </c>
      <c r="F24" s="26" t="inlineStr">
        <is>
          <t>Tier 3</t>
        </is>
      </c>
      <c r="G24" s="26" t="inlineStr">
        <is>
          <t>Critical</t>
        </is>
      </c>
      <c r="H24" s="22" t="inlineStr">
        <is>
          <t>Subsidized; Peloton HW GM: -18% to +14%</t>
        </is>
      </c>
    </row>
    <row r="25">
      <c r="A25" s="18" t="inlineStr">
        <is>
          <t>C4</t>
        </is>
      </c>
      <c r="B25" s="19" t="inlineStr">
        <is>
          <t>Blended GM Phase 1 (2026-27)</t>
        </is>
      </c>
      <c r="C25" s="24" t="n">
        <v>0.5600000000000001</v>
      </c>
      <c r="D25" s="24" t="n">
        <v>0.6</v>
      </c>
      <c r="E25" s="24" t="n">
        <v>0.64</v>
      </c>
      <c r="F25" s="26" t="inlineStr">
        <is>
          <t>Tier 3</t>
        </is>
      </c>
      <c r="G25" s="26" t="inlineStr">
        <is>
          <t>Critical</t>
        </is>
      </c>
      <c r="H25" s="22" t="inlineStr">
        <is>
          <t>Derived from C2+C3+growth rate</t>
        </is>
      </c>
    </row>
    <row r="26">
      <c r="A26" s="4" t="inlineStr">
        <is>
          <t>C5</t>
        </is>
      </c>
      <c r="B26" s="7" t="inlineStr">
        <is>
          <t>Blended GM Phase 2 (2028-30)</t>
        </is>
      </c>
      <c r="C26" s="23" t="n">
        <v>0.63</v>
      </c>
      <c r="D26" s="23" t="n">
        <v>0.67</v>
      </c>
      <c r="E26" s="23" t="n">
        <v>0.72</v>
      </c>
      <c r="F26" t="inlineStr">
        <is>
          <t>Tier 3</t>
        </is>
      </c>
      <c r="G26" t="inlineStr">
        <is>
          <t>High</t>
        </is>
      </c>
      <c r="H26" s="17" t="inlineStr">
        <is>
          <t>Margin expansion as growth decelerates</t>
        </is>
      </c>
    </row>
    <row r="27">
      <c r="A27" s="4" t="inlineStr">
        <is>
          <t>C6</t>
        </is>
      </c>
      <c r="B27" s="7" t="inlineStr">
        <is>
          <t>Blended GM Terminal</t>
        </is>
      </c>
      <c r="C27" s="23" t="n">
        <v>0.72</v>
      </c>
      <c r="D27" s="23" t="n">
        <v>0.76</v>
      </c>
      <c r="E27" s="23" t="n">
        <v>0.8</v>
      </c>
      <c r="F27" t="inlineStr">
        <is>
          <t>Tier 3</t>
        </is>
      </c>
      <c r="G27" t="inlineStr">
        <is>
          <t>High</t>
        </is>
      </c>
      <c r="H27" s="17" t="inlineStr">
        <is>
          <t>Peer terminal: Dexcom 60%, Spotify 32%</t>
        </is>
      </c>
    </row>
    <row r="28">
      <c r="A28" s="4" t="inlineStr">
        <is>
          <t>C7</t>
        </is>
      </c>
      <c r="B28" s="7" t="inlineStr">
        <is>
          <t>R&amp;D % of Revenue (current)</t>
        </is>
      </c>
      <c r="C28" s="23" t="n">
        <v>0.25</v>
      </c>
      <c r="D28" s="23" t="n">
        <v>0.22</v>
      </c>
      <c r="E28" s="23" t="n">
        <v>0.2</v>
      </c>
      <c r="F28" t="inlineStr">
        <is>
          <t>Tier 3</t>
        </is>
      </c>
      <c r="G28" t="inlineStr">
        <is>
          <t>High</t>
        </is>
      </c>
      <c r="H28" s="17" t="inlineStr">
        <is>
          <t>Peers: Dexcom 13%, Garmin 16%, growth SaaS 20-30%</t>
        </is>
      </c>
    </row>
    <row r="29">
      <c r="A29" s="4" t="inlineStr">
        <is>
          <t>C8</t>
        </is>
      </c>
      <c r="B29" s="7" t="inlineStr">
        <is>
          <t>R&amp;D % of Revenue (terminal)</t>
        </is>
      </c>
      <c r="C29" s="23" t="n">
        <v>0.15</v>
      </c>
      <c r="D29" s="23" t="n">
        <v>0.13</v>
      </c>
      <c r="E29" s="23" t="n">
        <v>0.12</v>
      </c>
      <c r="F29" t="inlineStr">
        <is>
          <t>Tier 3</t>
        </is>
      </c>
      <c r="G29" t="inlineStr">
        <is>
          <t>Medium</t>
        </is>
      </c>
      <c r="H29" s="17" t="inlineStr">
        <is>
          <t>Peer steady-state: Garmin 16%, Dexcom 13%</t>
        </is>
      </c>
    </row>
    <row r="30">
      <c r="A30" s="18" t="inlineStr">
        <is>
          <t>C9</t>
        </is>
      </c>
      <c r="B30" s="19" t="inlineStr">
        <is>
          <t>S&amp;M % of Revenue (current)</t>
        </is>
      </c>
      <c r="C30" s="24" t="n">
        <v>0.35</v>
      </c>
      <c r="D30" s="24" t="n">
        <v>0.3</v>
      </c>
      <c r="E30" s="24" t="n">
        <v>0.25</v>
      </c>
      <c r="F30" s="26" t="inlineStr">
        <is>
          <t>Tier 3</t>
        </is>
      </c>
      <c r="G30" s="26" t="inlineStr">
        <is>
          <t>Critical</t>
        </is>
      </c>
      <c r="H30" s="22" t="inlineStr">
        <is>
          <t>Peloton peak 28.4%; current 16.9%</t>
        </is>
      </c>
    </row>
    <row r="31">
      <c r="A31" s="4" t="inlineStr">
        <is>
          <t>C10</t>
        </is>
      </c>
      <c r="B31" s="7" t="inlineStr">
        <is>
          <t>S&amp;M % of Revenue (terminal)</t>
        </is>
      </c>
      <c r="C31" s="23" t="n">
        <v>0.2</v>
      </c>
      <c r="D31" s="23" t="n">
        <v>0.17</v>
      </c>
      <c r="E31" s="23" t="n">
        <v>0.15</v>
      </c>
      <c r="F31" t="inlineStr">
        <is>
          <t>Tier 3</t>
        </is>
      </c>
      <c r="G31" t="inlineStr">
        <is>
          <t>High</t>
        </is>
      </c>
      <c r="H31" s="17" t="inlineStr">
        <is>
          <t>Peer steady-state: Garmin SG&amp;A 14-19%</t>
        </is>
      </c>
    </row>
    <row r="32">
      <c r="A32" s="4" t="inlineStr">
        <is>
          <t>C11</t>
        </is>
      </c>
      <c r="B32" s="7" t="inlineStr">
        <is>
          <t>G&amp;A % of Revenue (current)</t>
        </is>
      </c>
      <c r="C32" s="23" t="n">
        <v>0.18</v>
      </c>
      <c r="D32" s="23" t="n">
        <v>0.15</v>
      </c>
      <c r="E32" s="23" t="n">
        <v>0.12</v>
      </c>
      <c r="F32" t="inlineStr">
        <is>
          <t>Tier 3</t>
        </is>
      </c>
      <c r="G32" t="inlineStr">
        <is>
          <t>Medium</t>
        </is>
      </c>
      <c r="H32" s="17" t="inlineStr">
        <is>
          <t>IPO step-up expected 2027-28</t>
        </is>
      </c>
    </row>
    <row r="33">
      <c r="A33" s="4" t="inlineStr">
        <is>
          <t>C12</t>
        </is>
      </c>
      <c r="B33" s="7" t="inlineStr">
        <is>
          <t>G&amp;A % of Revenue (terminal)</t>
        </is>
      </c>
      <c r="C33" s="23" t="n">
        <v>0.12</v>
      </c>
      <c r="D33" s="23" t="n">
        <v>0.1</v>
      </c>
      <c r="E33" s="23" t="n">
        <v>0.08</v>
      </c>
      <c r="F33" t="inlineStr">
        <is>
          <t>Tier 3</t>
        </is>
      </c>
      <c r="G33" t="inlineStr">
        <is>
          <t>Medium</t>
        </is>
      </c>
      <c r="H33" s="17" t="inlineStr">
        <is>
          <t>Peer steady-state</t>
        </is>
      </c>
    </row>
    <row r="34">
      <c r="A34" s="4" t="inlineStr">
        <is>
          <t>C13</t>
        </is>
      </c>
      <c r="B34" s="7" t="inlineStr">
        <is>
          <t>SBC % of Revenue</t>
        </is>
      </c>
      <c r="C34" s="23" t="n">
        <v>0.15</v>
      </c>
      <c r="D34" s="23" t="n">
        <v>0.12</v>
      </c>
      <c r="E34" s="23" t="n">
        <v>0.1</v>
      </c>
      <c r="F34" t="inlineStr">
        <is>
          <t>Tier 3</t>
        </is>
      </c>
      <c r="G34" t="inlineStr">
        <is>
          <t>High</t>
        </is>
      </c>
      <c r="H34" s="17" t="inlineStr">
        <is>
          <t>Peloton: 9.2% (FY2025); pre-IPO typically higher</t>
        </is>
      </c>
    </row>
    <row r="35">
      <c r="A35" s="4" t="inlineStr">
        <is>
          <t>C14</t>
        </is>
      </c>
      <c r="B35" s="7" t="inlineStr">
        <is>
          <t>CapEx % of Revenue</t>
        </is>
      </c>
      <c r="C35" s="23" t="n">
        <v>0.05</v>
      </c>
      <c r="D35" s="23" t="n">
        <v>0.04</v>
      </c>
      <c r="E35" s="23" t="n">
        <v>0.03</v>
      </c>
      <c r="F35" t="inlineStr">
        <is>
          <t>Tier 3</t>
        </is>
      </c>
      <c r="G35" t="inlineStr">
        <is>
          <t>Medium</t>
        </is>
      </c>
      <c r="H35" s="17" t="inlineStr">
        <is>
          <t>Asset-light; contract manufacturing</t>
        </is>
      </c>
    </row>
    <row r="36">
      <c r="A36" s="4" t="inlineStr">
        <is>
          <t>C15</t>
        </is>
      </c>
      <c r="B36" s="7" t="inlineStr">
        <is>
          <t>Tax Rate (effective)</t>
        </is>
      </c>
      <c r="C36" s="23" t="n">
        <v>0.25</v>
      </c>
      <c r="D36" s="23" t="n">
        <v>0.23</v>
      </c>
      <c r="E36" s="23" t="n">
        <v>0.21</v>
      </c>
      <c r="F36" t="inlineStr">
        <is>
          <t>Tier 2</t>
        </is>
      </c>
      <c r="G36" t="inlineStr">
        <is>
          <t>Medium</t>
        </is>
      </c>
      <c r="H36" s="17" t="inlineStr">
        <is>
          <t>US statutory; intl mix-shift lowers over time</t>
        </is>
      </c>
    </row>
    <row r="38">
      <c r="A38" s="15" t="inlineStr">
        <is>
          <t>Section 3: WACC / Discount Rate (Sourced — Damodaran Apr 2026)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4" t="inlineStr">
        <is>
          <t>D1</t>
        </is>
      </c>
      <c r="B39" s="7" t="inlineStr">
        <is>
          <t>Risk-Free Rate (10yr UST)</t>
        </is>
      </c>
      <c r="C39" s="23" t="n">
        <v>0.043</v>
      </c>
      <c r="D39" s="23" t="n">
        <v>0.043</v>
      </c>
      <c r="E39" s="23" t="n">
        <v>0.043</v>
      </c>
      <c r="F39" t="inlineStr">
        <is>
          <t>Tier 1</t>
        </is>
      </c>
      <c r="G39" t="inlineStr">
        <is>
          <t>Point Est.</t>
        </is>
      </c>
      <c r="H39" s="17" t="inlineStr">
        <is>
          <t>Fed H.15, Apr 14 2026: 4.26%; rounded 4.3%</t>
        </is>
      </c>
    </row>
    <row r="40">
      <c r="A40" s="4" t="inlineStr">
        <is>
          <t>D2</t>
        </is>
      </c>
      <c r="B40" s="7" t="inlineStr">
        <is>
          <t>Equity Risk Premium</t>
        </is>
      </c>
      <c r="C40" s="23" t="n">
        <v>0.045</v>
      </c>
      <c r="D40" s="23" t="n">
        <v>0.045</v>
      </c>
      <c r="E40" s="23" t="n">
        <v>0.045</v>
      </c>
      <c r="F40" t="inlineStr">
        <is>
          <t>Tier 1</t>
        </is>
      </c>
      <c r="G40" t="inlineStr">
        <is>
          <t>Point Est.</t>
        </is>
      </c>
      <c r="H40" s="17" t="inlineStr">
        <is>
          <t>Damodaran 4.23% (Jan 2026); Kroll 5.0%; use 4.5%</t>
        </is>
      </c>
    </row>
    <row r="41">
      <c r="A41" s="4" t="inlineStr">
        <is>
          <t>D3</t>
        </is>
      </c>
      <c r="B41" s="7" t="inlineStr">
        <is>
          <t>Unlevered Beta (bucket-wtd)</t>
        </is>
      </c>
      <c r="C41" s="23" t="n">
        <v>0.85</v>
      </c>
      <c r="D41" s="23" t="n">
        <v>0.83</v>
      </c>
      <c r="E41" s="23" t="n">
        <v>0.8100000000000001</v>
      </c>
      <c r="F41" t="inlineStr">
        <is>
          <t>Tier 1</t>
        </is>
      </c>
      <c r="G41" t="inlineStr">
        <is>
          <t>Sensitivity</t>
        </is>
      </c>
      <c r="H41" s="17" t="inlineStr">
        <is>
          <t>Damodaran sector: Healthcare 0.83, Electronics 0.83</t>
        </is>
      </c>
    </row>
    <row r="42">
      <c r="A42" s="4" t="inlineStr">
        <is>
          <t>D4</t>
        </is>
      </c>
      <c r="B42" s="7" t="inlineStr">
        <is>
          <t>Size Premium</t>
        </is>
      </c>
      <c r="C42" s="23" t="n">
        <v>0.0081</v>
      </c>
      <c r="D42" s="23" t="n">
        <v>0.0081</v>
      </c>
      <c r="E42" s="23" t="n">
        <v>0.0081</v>
      </c>
      <c r="F42" t="inlineStr">
        <is>
          <t>Tier 2</t>
        </is>
      </c>
      <c r="G42" t="inlineStr">
        <is>
          <t>Point Est.</t>
        </is>
      </c>
      <c r="H42" s="17" t="inlineStr">
        <is>
          <t>Kroll CRSP Decile 3 ($7.3-13.5B): 0.81%</t>
        </is>
      </c>
    </row>
    <row r="43">
      <c r="A43" s="4" t="inlineStr">
        <is>
          <t>D5</t>
        </is>
      </c>
      <c r="B43" s="7" t="inlineStr">
        <is>
          <t>Company-Specific Risk Premium</t>
        </is>
      </c>
      <c r="C43" s="23" t="n">
        <v>0.03</v>
      </c>
      <c r="D43" s="23" t="n">
        <v>0.02</v>
      </c>
      <c r="E43" s="23" t="n">
        <v>0.01</v>
      </c>
      <c r="F43" t="inlineStr">
        <is>
          <t>Tier 3</t>
        </is>
      </c>
      <c r="G43" t="inlineStr">
        <is>
          <t>Sensitivity</t>
        </is>
      </c>
      <c r="H43" s="17" t="inlineStr">
        <is>
          <t>Private company illiquidity; 1-3% range</t>
        </is>
      </c>
    </row>
    <row r="44">
      <c r="A44" s="4" t="inlineStr">
        <is>
          <t>D6</t>
        </is>
      </c>
      <c r="B44" s="7" t="inlineStr">
        <is>
          <t>Implied Cost of Equity / WACC</t>
        </is>
      </c>
      <c r="C44" s="5" t="n"/>
      <c r="D44" s="5" t="n"/>
      <c r="E44" s="5" t="n"/>
      <c r="F44" t="inlineStr">
        <is>
          <t>Derived</t>
        </is>
      </c>
      <c r="G44" t="inlineStr">
        <is>
          <t>Formula</t>
        </is>
      </c>
      <c r="H44" s="17">
        <f> D1 + D2×D3 + D4 + D5; ~9.5-12.0%</f>
        <v/>
      </c>
    </row>
    <row r="46">
      <c r="A46" s="15" t="inlineStr">
        <is>
          <t>Section 4: Terminal Value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4" t="inlineStr">
        <is>
          <t>D9</t>
        </is>
      </c>
      <c r="B47" s="7" t="inlineStr">
        <is>
          <t>Terminal Method</t>
        </is>
      </c>
      <c r="C47" s="5" t="inlineStr">
        <is>
          <t>Exit Multiple</t>
        </is>
      </c>
      <c r="D47" s="5" t="inlineStr">
        <is>
          <t>Exit Multiple</t>
        </is>
      </c>
      <c r="E47" s="5" t="inlineStr">
        <is>
          <t>Exit Multiple</t>
        </is>
      </c>
      <c r="F47" t="inlineStr">
        <is>
          <t>Design</t>
        </is>
      </c>
      <c r="G47" t="inlineStr">
        <is>
          <t>Critical</t>
        </is>
      </c>
      <c r="H47" s="17" t="inlineStr">
        <is>
          <t>Primary: EV/Revenue exit multiple; cross-check: Gordon Growth</t>
        </is>
      </c>
    </row>
    <row r="48">
      <c r="A48" s="4" t="inlineStr">
        <is>
          <t>D10</t>
        </is>
      </c>
      <c r="B48" s="7" t="inlineStr">
        <is>
          <t>Terminal EV/Revenue Multiple</t>
        </is>
      </c>
      <c r="C48" s="27" t="n">
        <v>3.5</v>
      </c>
      <c r="D48" s="27" t="n">
        <v>4.5</v>
      </c>
      <c r="E48" s="27" t="n">
        <v>6</v>
      </c>
      <c r="F48" t="inlineStr">
        <is>
          <t>Tier 3</t>
        </is>
      </c>
      <c r="G48" t="inlineStr">
        <is>
          <t>Critical</t>
        </is>
      </c>
      <c r="H48" s="17" t="inlineStr">
        <is>
          <t>Compressed from current comps; reflects terminal growth of 10-15%</t>
        </is>
      </c>
    </row>
    <row r="49">
      <c r="A49" s="4" t="inlineStr">
        <is>
          <t>D11</t>
        </is>
      </c>
      <c r="B49" s="7" t="inlineStr">
        <is>
          <t>Terminal EV/EBITDA Multiple</t>
        </is>
      </c>
      <c r="C49" s="27" t="n">
        <v>12</v>
      </c>
      <c r="D49" s="27" t="n">
        <v>15</v>
      </c>
      <c r="E49" s="27" t="n">
        <v>18</v>
      </c>
      <c r="F49" t="inlineStr">
        <is>
          <t>Tier 3</t>
        </is>
      </c>
      <c r="G49" t="inlineStr">
        <is>
          <t>High</t>
        </is>
      </c>
      <c r="H49" s="17" t="inlineStr">
        <is>
          <t>Cross-check only; more stable at maturity</t>
        </is>
      </c>
    </row>
    <row r="50">
      <c r="A50" s="4" t="inlineStr">
        <is>
          <t>D12</t>
        </is>
      </c>
      <c r="B50" s="7" t="inlineStr">
        <is>
          <t>Perpetuity Growth Rate (Gordon)</t>
        </is>
      </c>
      <c r="C50" s="23" t="n">
        <v>0.025</v>
      </c>
      <c r="D50" s="23" t="n">
        <v>0.03</v>
      </c>
      <c r="E50" s="23" t="n">
        <v>0.035</v>
      </c>
      <c r="F50" t="inlineStr">
        <is>
          <t>Tier 2</t>
        </is>
      </c>
      <c r="G50" t="inlineStr">
        <is>
          <t>Critical</t>
        </is>
      </c>
      <c r="H50" s="17" t="inlineStr">
        <is>
          <t>GDP growth + inflation; cannot exceed WACC</t>
        </is>
      </c>
    </row>
    <row r="52">
      <c r="A52" s="15" t="inlineStr">
        <is>
          <t>Section 5: Comp Bucket Weighting (THIS IS THE THESIS)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4" t="inlineStr">
        <is>
          <t>V11a</t>
        </is>
      </c>
      <c r="B53" s="7" t="inlineStr">
        <is>
          <t>Bucket 1 Weight (Hardware)</t>
        </is>
      </c>
      <c r="C53" s="23" t="n">
        <v>0.4</v>
      </c>
      <c r="D53" s="23" t="n">
        <v>0.2</v>
      </c>
      <c r="E53" s="23" t="n">
        <v>0.1</v>
      </c>
      <c r="F53" t="inlineStr">
        <is>
          <t>Design</t>
        </is>
      </c>
      <c r="G53" t="inlineStr">
        <is>
          <t>Critical</t>
        </is>
      </c>
      <c r="H53" s="17" t="inlineStr">
        <is>
          <t>Garmin anchor; higher = more bearish</t>
        </is>
      </c>
    </row>
    <row r="54">
      <c r="A54" s="4" t="inlineStr">
        <is>
          <t>V11b</t>
        </is>
      </c>
      <c r="B54" s="7" t="inlineStr">
        <is>
          <t>Bucket 2 Weight (Subscription)</t>
        </is>
      </c>
      <c r="C54" s="23" t="n">
        <v>0.4</v>
      </c>
      <c r="D54" s="23" t="n">
        <v>0.4</v>
      </c>
      <c r="E54" s="23" t="n">
        <v>0.3</v>
      </c>
      <c r="F54" t="inlineStr">
        <is>
          <t>Design</t>
        </is>
      </c>
      <c r="G54" t="inlineStr">
        <is>
          <t>Critical</t>
        </is>
      </c>
      <c r="H54" s="17" t="inlineStr">
        <is>
          <t>Peloton-Spotify range; WHOOP sits where?</t>
        </is>
      </c>
    </row>
    <row r="55">
      <c r="A55" s="4" t="inlineStr">
        <is>
          <t>V11c</t>
        </is>
      </c>
      <c r="B55" s="7" t="inlineStr">
        <is>
          <t>Bucket 3 Weight (Health Data)</t>
        </is>
      </c>
      <c r="C55" s="23" t="n">
        <v>0.2</v>
      </c>
      <c r="D55" s="23" t="n">
        <v>0.4</v>
      </c>
      <c r="E55" s="23" t="n">
        <v>0.6</v>
      </c>
      <c r="F55" t="inlineStr">
        <is>
          <t>Design</t>
        </is>
      </c>
      <c r="G55" t="inlineStr">
        <is>
          <t>Critical</t>
        </is>
      </c>
      <c r="H55" s="17" t="inlineStr">
        <is>
          <t>Higher = healthcare thesis is believed</t>
        </is>
      </c>
    </row>
    <row r="56">
      <c r="A56" s="4" t="inlineStr">
        <is>
          <t>V12</t>
        </is>
      </c>
      <c r="B56" s="7" t="inlineStr">
        <is>
          <t>Implied Blended Multiple</t>
        </is>
      </c>
      <c r="C56" s="5" t="n"/>
      <c r="D56" s="5" t="n"/>
      <c r="E56" s="5" t="n"/>
      <c r="F56" t="inlineStr">
        <is>
          <t>Derived</t>
        </is>
      </c>
      <c r="G56" t="inlineStr">
        <is>
          <t>Formula</t>
        </is>
      </c>
      <c r="H56" s="17">
        <f> Σ(weight × bucket median multiple); see Comps tab</f>
        <v/>
      </c>
    </row>
    <row r="58">
      <c r="A58" s="15" t="inlineStr">
        <is>
          <t>Section 6: Discount &amp; IPO Assumptions</t>
        </is>
      </c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>
      <c r="A59" s="4" t="inlineStr">
        <is>
          <t>I1</t>
        </is>
      </c>
      <c r="B59" s="7" t="inlineStr">
        <is>
          <t>IPO Timing (months from Series G)</t>
        </is>
      </c>
      <c r="C59" s="16" t="n">
        <v>18</v>
      </c>
      <c r="D59" s="16" t="n">
        <v>15</v>
      </c>
      <c r="E59" s="16" t="n">
        <v>12</v>
      </c>
      <c r="F59" t="inlineStr">
        <is>
          <t>Tier 2</t>
        </is>
      </c>
      <c r="G59" t="inlineStr">
        <is>
          <t>High</t>
        </is>
      </c>
      <c r="H59" s="17" t="inlineStr">
        <is>
          <t>Q2 2027 - Q1 2028; "last private round"</t>
        </is>
      </c>
    </row>
    <row r="60">
      <c r="A60" s="4" t="inlineStr">
        <is>
          <t>I2</t>
        </is>
      </c>
      <c r="B60" s="7" t="inlineStr">
        <is>
          <t>IPO Discount to Fair Value</t>
        </is>
      </c>
      <c r="C60" s="23" t="n">
        <v>0.25</v>
      </c>
      <c r="D60" s="23" t="n">
        <v>0.2</v>
      </c>
      <c r="E60" s="23" t="n">
        <v>0.15</v>
      </c>
      <c r="F60" t="inlineStr">
        <is>
          <t>Tier 2</t>
        </is>
      </c>
      <c r="G60" t="inlineStr">
        <is>
          <t>Critical</t>
        </is>
      </c>
      <c r="H60" s="17" t="inlineStr">
        <is>
          <t>Loughran/Ritter IPO studies</t>
        </is>
      </c>
    </row>
    <row r="61">
      <c r="A61" s="4" t="inlineStr">
        <is>
          <t>I3</t>
        </is>
      </c>
      <c r="B61" s="7" t="inlineStr">
        <is>
          <t>Illiquidity / Timing Discount</t>
        </is>
      </c>
      <c r="C61" s="23" t="n">
        <v>0.15</v>
      </c>
      <c r="D61" s="23" t="n">
        <v>0.1</v>
      </c>
      <c r="E61" s="23" t="n">
        <v>0.05</v>
      </c>
      <c r="F61" t="inlineStr">
        <is>
          <t>Tier 2</t>
        </is>
      </c>
      <c r="G61" t="inlineStr">
        <is>
          <t>High</t>
        </is>
      </c>
      <c r="H61" s="17" t="inlineStr">
        <is>
          <t>Oura tender at 25% discount; Hiive 39-51%</t>
        </is>
      </c>
    </row>
    <row r="62">
      <c r="A62" s="4" t="inlineStr">
        <is>
          <t>S9</t>
        </is>
      </c>
      <c r="B62" s="7" t="inlineStr">
        <is>
          <t>DLOM (base case)</t>
        </is>
      </c>
      <c r="C62" s="23" t="n">
        <v>0.3</v>
      </c>
      <c r="D62" s="23" t="n">
        <v>0.22</v>
      </c>
      <c r="E62" s="23" t="n">
        <v>0.15</v>
      </c>
      <c r="F62" t="inlineStr">
        <is>
          <t>Tier 2</t>
        </is>
      </c>
      <c r="G62" t="inlineStr">
        <is>
          <t>High</t>
        </is>
      </c>
      <c r="H62" s="17" t="inlineStr">
        <is>
          <t>Oura tender 25%; EquityZen avg 13-29%</t>
        </is>
      </c>
    </row>
    <row r="63">
      <c r="A63" s="4" t="inlineStr">
        <is>
          <t>I4</t>
        </is>
      </c>
      <c r="B63" s="7" t="inlineStr">
        <is>
          <t>Series G Investor Required IRR</t>
        </is>
      </c>
      <c r="C63" s="23" t="n">
        <v>0.3</v>
      </c>
      <c r="D63" s="23" t="n">
        <v>0.25</v>
      </c>
      <c r="E63" s="23" t="n">
        <v>0.2</v>
      </c>
      <c r="F63" t="inlineStr">
        <is>
          <t>Tier 3</t>
        </is>
      </c>
      <c r="G63" t="inlineStr">
        <is>
          <t>Medium</t>
        </is>
      </c>
      <c r="H63" s="17" t="inlineStr">
        <is>
          <t>Late-stage growth equity return expectations</t>
        </is>
      </c>
    </row>
    <row r="65">
      <c r="A65" s="15" t="inlineStr">
        <is>
          <t>Section 7: Real Options (Additive — NEVER in DCF base case)</t>
        </is>
      </c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</row>
    <row r="66">
      <c r="A66" s="4" t="inlineStr">
        <is>
          <t>D19</t>
        </is>
      </c>
      <c r="B66" s="7" t="inlineStr">
        <is>
          <t>Healthcare Reimbursement</t>
        </is>
      </c>
      <c r="C66" s="23" t="n">
        <v>0.2</v>
      </c>
      <c r="D66" s="23" t="n">
        <v>0.25</v>
      </c>
      <c r="E66" s="23" t="n">
        <v>0.3</v>
      </c>
      <c r="F66" t="inlineStr">
        <is>
          <t>Probability</t>
        </is>
      </c>
      <c r="G66" t="inlineStr">
        <is>
          <t>—</t>
        </is>
      </c>
      <c r="H66" s="17" t="inlineStr">
        <is>
          <t>CMS Innovation Center selection upgrades this</t>
        </is>
      </c>
    </row>
    <row r="67">
      <c r="A67" s="4" t="inlineStr">
        <is>
          <t>D20</t>
        </is>
      </c>
      <c r="B67" s="7" t="inlineStr">
        <is>
          <t>International Expansion (incremental)</t>
        </is>
      </c>
      <c r="C67" s="23" t="n">
        <v>0.3</v>
      </c>
      <c r="D67" s="23" t="n">
        <v>0.45</v>
      </c>
      <c r="E67" s="23" t="n">
        <v>0.6</v>
      </c>
      <c r="F67" t="inlineStr">
        <is>
          <t>Probability</t>
        </is>
      </c>
      <c r="G67" t="inlineStr">
        <is>
          <t>—</t>
        </is>
      </c>
      <c r="H67" s="17" t="inlineStr">
        <is>
          <t>Partially in base (~40% intl already); incremental only</t>
        </is>
      </c>
    </row>
    <row r="68">
      <c r="A68" s="4" t="inlineStr">
        <is>
          <t>D21</t>
        </is>
      </c>
      <c r="B68" s="7" t="inlineStr">
        <is>
          <t>B2B Enterprise / Clinical</t>
        </is>
      </c>
      <c r="C68" s="23" t="n">
        <v>0.2</v>
      </c>
      <c r="D68" s="23" t="n">
        <v>0.3</v>
      </c>
      <c r="E68" s="23" t="n">
        <v>0.4</v>
      </c>
      <c r="F68" t="inlineStr">
        <is>
          <t>Probability</t>
        </is>
      </c>
      <c r="G68" t="inlineStr">
        <is>
          <t>—</t>
        </is>
      </c>
      <c r="H68" s="17" t="inlineStr">
        <is>
          <t>Unite already ~20%; incremental only</t>
        </is>
      </c>
    </row>
    <row r="69">
      <c r="A69" s="4" t="inlineStr">
        <is>
          <t>D22</t>
        </is>
      </c>
      <c r="B69" s="7" t="inlineStr">
        <is>
          <t>Women's Health / Fertility</t>
        </is>
      </c>
      <c r="C69" s="23" t="n">
        <v>0.25</v>
      </c>
      <c r="D69" s="23" t="n">
        <v>0.4</v>
      </c>
      <c r="E69" s="23" t="n">
        <v>0.5</v>
      </c>
      <c r="F69" t="inlineStr">
        <is>
          <t>Probability</t>
        </is>
      </c>
      <c r="G69" t="inlineStr">
        <is>
          <t>—</t>
        </is>
      </c>
      <c r="H69" s="17" t="inlineStr">
        <is>
          <t>150% YoY women membership growth; Apr 2026 panel launch</t>
        </is>
      </c>
    </row>
    <row r="70">
      <c r="A70" s="4" t="inlineStr">
        <is>
          <t>D23</t>
        </is>
      </c>
      <c r="B70" s="7" t="inlineStr">
        <is>
          <t>Noninvasive Glucose Monitoring</t>
        </is>
      </c>
      <c r="C70" s="23" t="n">
        <v>0.03</v>
      </c>
      <c r="D70" s="23" t="n">
        <v>0.05</v>
      </c>
      <c r="E70" s="23" t="n">
        <v>0.07000000000000001</v>
      </c>
      <c r="F70" t="inlineStr">
        <is>
          <t>Probability</t>
        </is>
      </c>
      <c r="G70" t="inlineStr">
        <is>
          <t>—</t>
        </is>
      </c>
      <c r="H70" s="17" t="inlineStr">
        <is>
          <t>Deliberately conservative; hardest unsolved problem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1" t="inlineStr">
        <is>
          <t>WHOOP — Revenue Build-Up</t>
        </is>
      </c>
    </row>
    <row r="2">
      <c r="A2" s="14" t="inlineStr">
        <is>
          <t>$M unless noted; Calendar Year</t>
        </is>
      </c>
    </row>
    <row r="4">
      <c r="A4" s="13" t="inlineStr"/>
      <c r="B4" s="13" t="inlineStr">
        <is>
          <t>Units</t>
        </is>
      </c>
      <c r="C4" s="13" t="inlineStr">
        <is>
          <t>2024</t>
        </is>
      </c>
      <c r="D4" s="13" t="inlineStr">
        <is>
          <t>2025</t>
        </is>
      </c>
      <c r="E4" s="13" t="inlineStr">
        <is>
          <t>2026</t>
        </is>
      </c>
      <c r="F4" s="13" t="inlineStr">
        <is>
          <t>2027</t>
        </is>
      </c>
      <c r="G4" s="13" t="inlineStr">
        <is>
          <t>2028</t>
        </is>
      </c>
      <c r="H4" s="13" t="inlineStr">
        <is>
          <t>2029</t>
        </is>
      </c>
      <c r="I4" s="13" t="inlineStr">
        <is>
          <t>2030</t>
        </is>
      </c>
      <c r="J4" s="13" t="inlineStr">
        <is>
          <t>2031</t>
        </is>
      </c>
      <c r="K4" s="13" t="inlineStr">
        <is>
          <t>2032</t>
        </is>
      </c>
      <c r="L4" s="13" t="inlineStr">
        <is>
          <t>2033</t>
        </is>
      </c>
    </row>
    <row r="5">
      <c r="A5" s="10" t="inlineStr"/>
      <c r="C5" s="28" t="inlineStr">
        <is>
          <t>Historical</t>
        </is>
      </c>
      <c r="D5" s="28" t="inlineStr">
        <is>
          <t>Historical</t>
        </is>
      </c>
      <c r="E5" s="28" t="inlineStr">
        <is>
          <t>Phase 1</t>
        </is>
      </c>
      <c r="F5" s="28" t="inlineStr">
        <is>
          <t>Phase 1</t>
        </is>
      </c>
      <c r="G5" s="28" t="inlineStr">
        <is>
          <t>Phase 2</t>
        </is>
      </c>
      <c r="H5" s="28" t="inlineStr">
        <is>
          <t>Phase 2</t>
        </is>
      </c>
      <c r="I5" s="28" t="inlineStr">
        <is>
          <t>Phase 2</t>
        </is>
      </c>
      <c r="J5" s="28" t="inlineStr">
        <is>
          <t>Phase 3</t>
        </is>
      </c>
      <c r="K5" s="28" t="inlineStr">
        <is>
          <t>Phase 3</t>
        </is>
      </c>
      <c r="L5" s="28" t="inlineStr">
        <is>
          <t>Phase 3</t>
        </is>
      </c>
    </row>
    <row r="7">
      <c r="A7" s="15" t="inlineStr">
        <is>
          <t>Member Economics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5" t="inlineStr">
        <is>
          <t>Beginning Members</t>
        </is>
      </c>
      <c r="B8" s="14" t="inlineStr">
        <is>
          <t>M</t>
        </is>
      </c>
      <c r="C8" s="29" t="n">
        <v>1.2</v>
      </c>
      <c r="D8" s="29" t="n">
        <v>2</v>
      </c>
      <c r="E8" s="30" t="n"/>
      <c r="F8" s="30" t="n"/>
      <c r="G8" s="30" t="n"/>
      <c r="H8" s="30" t="n"/>
      <c r="I8" s="30" t="n"/>
      <c r="J8" s="30" t="n"/>
      <c r="K8" s="30" t="n"/>
      <c r="L8" s="30" t="n"/>
    </row>
    <row r="9">
      <c r="A9" s="5" t="inlineStr">
        <is>
          <t>Gross Adds</t>
        </is>
      </c>
      <c r="B9" s="14" t="inlineStr">
        <is>
          <t>M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</row>
    <row r="10">
      <c r="A10" s="7" t="inlineStr">
        <is>
          <t>Churned Members</t>
        </is>
      </c>
      <c r="B10" s="14" t="inlineStr">
        <is>
          <t>M</t>
        </is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</row>
    <row r="11">
      <c r="A11" s="5" t="inlineStr">
        <is>
          <t>Ending Members</t>
        </is>
      </c>
      <c r="B11" s="14" t="inlineStr">
        <is>
          <t>M</t>
        </is>
      </c>
      <c r="C11" s="29" t="n">
        <v>2</v>
      </c>
      <c r="D11" s="29" t="n">
        <v>2.5</v>
      </c>
      <c r="E11" s="30" t="n"/>
      <c r="F11" s="30" t="n"/>
      <c r="G11" s="30" t="n"/>
      <c r="H11" s="30" t="n"/>
      <c r="I11" s="30" t="n"/>
      <c r="J11" s="30" t="n"/>
      <c r="K11" s="30" t="n"/>
      <c r="L11" s="30" t="n"/>
    </row>
    <row r="12">
      <c r="A12" s="7" t="inlineStr">
        <is>
          <t>Avg Members</t>
        </is>
      </c>
      <c r="B12" s="14" t="inlineStr">
        <is>
          <t>M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</row>
    <row r="13">
      <c r="A13" s="8" t="inlineStr">
        <is>
          <t>Annual Churn Rate</t>
        </is>
      </c>
      <c r="B13" s="14" t="inlineStr">
        <is>
          <t>%</t>
        </is>
      </c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</row>
    <row r="14">
      <c r="A14" s="7" t="inlineStr"/>
      <c r="B14" s="14" t="inlineStr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15" t="inlineStr">
        <is>
          <t>ARPU Build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7" t="inlineStr">
        <is>
          <t>Subscription ARPU</t>
        </is>
      </c>
      <c r="B16" s="14" t="inlineStr">
        <is>
          <t>$/yr</t>
        </is>
      </c>
      <c r="C16" s="32" t="n"/>
      <c r="D16" s="33" t="n">
        <v>262</v>
      </c>
      <c r="E16" s="32" t="n"/>
      <c r="F16" s="32" t="n"/>
      <c r="G16" s="32" t="n"/>
      <c r="H16" s="32" t="n"/>
      <c r="I16" s="32" t="n"/>
      <c r="J16" s="32" t="n"/>
      <c r="K16" s="32" t="n"/>
      <c r="L16" s="32" t="n"/>
    </row>
    <row r="17">
      <c r="A17" s="7" t="inlineStr">
        <is>
          <t>Non-Sub ARPU (Labs, Accessories)</t>
        </is>
      </c>
      <c r="B17" s="14" t="inlineStr">
        <is>
          <t>$/yr</t>
        </is>
      </c>
      <c r="C17" s="32" t="n"/>
      <c r="D17" s="33" t="n">
        <v>40</v>
      </c>
      <c r="E17" s="32" t="n"/>
      <c r="F17" s="32" t="n"/>
      <c r="G17" s="32" t="n"/>
      <c r="H17" s="32" t="n"/>
      <c r="I17" s="32" t="n"/>
      <c r="J17" s="32" t="n"/>
      <c r="K17" s="32" t="n"/>
      <c r="L17" s="32" t="n"/>
    </row>
    <row r="18">
      <c r="A18" s="7" t="inlineStr">
        <is>
          <t>Blended ARPU</t>
        </is>
      </c>
      <c r="B18" s="14" t="inlineStr">
        <is>
          <t>$/yr</t>
        </is>
      </c>
      <c r="C18" s="32" t="n"/>
      <c r="D18" s="33" t="n">
        <v>302</v>
      </c>
      <c r="E18" s="32" t="n"/>
      <c r="F18" s="32" t="n"/>
      <c r="G18" s="32" t="n"/>
      <c r="H18" s="32" t="n"/>
      <c r="I18" s="32" t="n"/>
      <c r="J18" s="32" t="n"/>
      <c r="K18" s="32" t="n"/>
      <c r="L18" s="32" t="n"/>
    </row>
    <row r="19">
      <c r="A19" s="7" t="inlineStr">
        <is>
          <t>Price Inflation (annual)</t>
        </is>
      </c>
      <c r="B19" s="14" t="inlineStr">
        <is>
          <t>%</t>
        </is>
      </c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</row>
    <row r="20">
      <c r="A20" s="7" t="inlineStr"/>
      <c r="B20" s="14" t="inlineStr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15" t="inlineStr">
        <is>
          <t>Revenue Summary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7" t="inlineStr">
        <is>
          <t>Subscription Revenue</t>
        </is>
      </c>
      <c r="B22" s="14" t="inlineStr">
        <is>
          <t>$M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</row>
    <row r="23">
      <c r="A23" s="7" t="inlineStr">
        <is>
          <t>Hardware Revenue</t>
        </is>
      </c>
      <c r="B23" s="14" t="inlineStr">
        <is>
          <t>$M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</row>
    <row r="24">
      <c r="A24" s="7" t="inlineStr">
        <is>
          <t>Non-Sub Revenue (Labs, Unite, Acc.)</t>
        </is>
      </c>
      <c r="B24" s="14" t="inlineStr">
        <is>
          <t>$M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</row>
    <row r="25">
      <c r="A25" s="7" t="inlineStr">
        <is>
          <t>Total Revenue</t>
        </is>
      </c>
      <c r="B25" s="14" t="inlineStr">
        <is>
          <t>$M</t>
        </is>
      </c>
      <c r="C25" s="16" t="n">
        <v>200</v>
      </c>
      <c r="D25" s="16" t="n">
        <v>650</v>
      </c>
      <c r="E25" s="34" t="n"/>
      <c r="F25" s="34" t="n"/>
      <c r="G25" s="34" t="n"/>
      <c r="H25" s="34" t="n"/>
      <c r="I25" s="34" t="n"/>
      <c r="J25" s="34" t="n"/>
      <c r="K25" s="34" t="n"/>
      <c r="L25" s="34" t="n"/>
    </row>
    <row r="26">
      <c r="A26" s="7" t="inlineStr">
        <is>
          <t>YoY Revenue Growth</t>
        </is>
      </c>
      <c r="B26" s="14" t="inlineStr">
        <is>
          <t>%</t>
        </is>
      </c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</row>
    <row r="27">
      <c r="A27" s="7" t="inlineStr"/>
      <c r="B27" s="14" t="inlineStr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inlineStr">
        <is>
          <t>Bookings Run-Rate (reference)</t>
        </is>
      </c>
      <c r="B28" s="14" t="inlineStr">
        <is>
          <t>$M</t>
        </is>
      </c>
      <c r="C28" s="34" t="n"/>
      <c r="D28" s="16" t="n">
        <v>1100</v>
      </c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>
      <c r="A29" s="7" t="inlineStr">
        <is>
          <t>Bookings-to-Revenue Ratio</t>
        </is>
      </c>
      <c r="B29" s="14" t="inlineStr">
        <is>
          <t>x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M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1" t="inlineStr">
        <is>
          <t>WHOOP — Projected Income Statement</t>
        </is>
      </c>
    </row>
    <row r="2">
      <c r="A2" s="14" t="inlineStr">
        <is>
          <t>$M; Calendar Year; Scenario per Assumptions toggle</t>
        </is>
      </c>
    </row>
    <row r="4">
      <c r="A4" s="13" t="inlineStr"/>
      <c r="B4" s="13" t="inlineStr">
        <is>
          <t>Units</t>
        </is>
      </c>
      <c r="C4" s="13" t="inlineStr">
        <is>
          <t>2024</t>
        </is>
      </c>
      <c r="D4" s="13" t="inlineStr">
        <is>
          <t>2025</t>
        </is>
      </c>
      <c r="E4" s="13" t="inlineStr">
        <is>
          <t>2026</t>
        </is>
      </c>
      <c r="F4" s="13" t="inlineStr">
        <is>
          <t>2027</t>
        </is>
      </c>
      <c r="G4" s="13" t="inlineStr">
        <is>
          <t>2028</t>
        </is>
      </c>
      <c r="H4" s="13" t="inlineStr">
        <is>
          <t>2029</t>
        </is>
      </c>
      <c r="I4" s="13" t="inlineStr">
        <is>
          <t>2030</t>
        </is>
      </c>
      <c r="J4" s="13" t="inlineStr">
        <is>
          <t>2031</t>
        </is>
      </c>
      <c r="K4" s="13" t="inlineStr">
        <is>
          <t>2032</t>
        </is>
      </c>
      <c r="L4" s="13" t="inlineStr">
        <is>
          <t>2033</t>
        </is>
      </c>
    </row>
    <row r="6">
      <c r="A6" s="15" t="inlineStr">
        <is>
          <t>Revenue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7" t="inlineStr">
        <is>
          <t>Total Revenue</t>
        </is>
      </c>
      <c r="B7" s="14" t="inlineStr">
        <is>
          <t>$M</t>
        </is>
      </c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10" t="inlineStr">
        <is>
          <t>← From Revenue Build tab</t>
        </is>
      </c>
    </row>
    <row r="8">
      <c r="A8" s="7" t="inlineStr">
        <is>
          <t>YoY Growth</t>
        </is>
      </c>
      <c r="B8" s="14" t="inlineStr">
        <is>
          <t>%</t>
        </is>
      </c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</row>
    <row r="10">
      <c r="A10" s="15" t="inlineStr">
        <is>
          <t>Cost of Revenue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7" t="inlineStr">
        <is>
          <t>Subscription COGS</t>
        </is>
      </c>
      <c r="B11" s="14" t="inlineStr">
        <is>
          <t>$M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</row>
    <row r="12">
      <c r="A12" s="7" t="inlineStr">
        <is>
          <t>Hardware COGS</t>
        </is>
      </c>
      <c r="B12" s="14" t="inlineStr">
        <is>
          <t>$M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>
      <c r="A13" s="7" t="inlineStr">
        <is>
          <t>Total COGS</t>
        </is>
      </c>
      <c r="B13" s="14" t="inlineStr">
        <is>
          <t>$M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>
      <c r="A14" s="7" t="inlineStr">
        <is>
          <t>Gross Profit</t>
        </is>
      </c>
      <c r="B14" s="14" t="inlineStr">
        <is>
          <t>$M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</row>
    <row r="15">
      <c r="A15" s="7" t="inlineStr">
        <is>
          <t>Gross Margin</t>
        </is>
      </c>
      <c r="B15" s="14" t="inlineStr">
        <is>
          <t>%</t>
        </is>
      </c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</row>
    <row r="16">
      <c r="A16" s="7" t="inlineStr">
        <is>
          <t xml:space="preserve">  Subscription GM</t>
        </is>
      </c>
      <c r="B16" s="14" t="inlineStr">
        <is>
          <t>%</t>
        </is>
      </c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10" t="inlineStr">
        <is>
          <t>← From Assumptions C2</t>
        </is>
      </c>
    </row>
    <row r="17">
      <c r="A17" s="7" t="inlineStr">
        <is>
          <t xml:space="preserve">  Hardware GM</t>
        </is>
      </c>
      <c r="B17" s="14" t="inlineStr">
        <is>
          <t>%</t>
        </is>
      </c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10" t="inlineStr">
        <is>
          <t>← From Assumptions C3</t>
        </is>
      </c>
    </row>
    <row r="19">
      <c r="A19" s="15" t="inlineStr">
        <is>
          <t>Operating Expenses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7" t="inlineStr">
        <is>
          <t>R&amp;D</t>
        </is>
      </c>
      <c r="B20" s="14" t="inlineStr">
        <is>
          <t>$M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</row>
    <row r="21">
      <c r="A21" s="7" t="inlineStr">
        <is>
          <t xml:space="preserve">  R&amp;D % Revenue</t>
        </is>
      </c>
      <c r="B21" s="14" t="inlineStr">
        <is>
          <t>%</t>
        </is>
      </c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10" t="inlineStr">
        <is>
          <t>← From Assumptions C7/C8</t>
        </is>
      </c>
    </row>
    <row r="22">
      <c r="A22" s="7" t="inlineStr">
        <is>
          <t>Sales &amp; Marketing</t>
        </is>
      </c>
      <c r="B22" s="14" t="inlineStr">
        <is>
          <t>$M</t>
        </is>
      </c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</row>
    <row r="23">
      <c r="A23" s="7" t="inlineStr">
        <is>
          <t xml:space="preserve">  S&amp;M % Revenue</t>
        </is>
      </c>
      <c r="B23" s="14" t="inlineStr">
        <is>
          <t>%</t>
        </is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10" t="inlineStr">
        <is>
          <t>← From Assumptions C9/C10</t>
        </is>
      </c>
    </row>
    <row r="24">
      <c r="A24" s="7" t="inlineStr">
        <is>
          <t>General &amp; Administrative</t>
        </is>
      </c>
      <c r="B24" s="14" t="inlineStr">
        <is>
          <t>$M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</row>
    <row r="25">
      <c r="A25" s="7" t="inlineStr">
        <is>
          <t xml:space="preserve">  G&amp;A % Revenue</t>
        </is>
      </c>
      <c r="B25" s="14" t="inlineStr">
        <is>
          <t>%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10" t="inlineStr">
        <is>
          <t>← From Assumptions C11/C12</t>
        </is>
      </c>
    </row>
    <row r="26">
      <c r="A26" s="7" t="inlineStr">
        <is>
          <t>Stock-Based Compensation</t>
        </is>
      </c>
      <c r="B26" s="14" t="inlineStr">
        <is>
          <t>$M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</row>
    <row r="27">
      <c r="A27" s="7" t="inlineStr">
        <is>
          <t xml:space="preserve">  SBC % Revenue</t>
        </is>
      </c>
      <c r="B27" s="14" t="inlineStr">
        <is>
          <t>%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10" t="inlineStr">
        <is>
          <t>← From Assumptions C13</t>
        </is>
      </c>
    </row>
    <row r="28">
      <c r="A28" s="7" t="inlineStr">
        <is>
          <t>Total OpEx</t>
        </is>
      </c>
      <c r="B28" s="14" t="inlineStr">
        <is>
          <t>$M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30">
      <c r="A30" s="15" t="inlineStr">
        <is>
          <t>Profitability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7" t="inlineStr">
        <is>
          <t>EBITDA</t>
        </is>
      </c>
      <c r="B31" s="14" t="inlineStr">
        <is>
          <t>$M</t>
        </is>
      </c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</row>
    <row r="32">
      <c r="A32" s="7" t="inlineStr">
        <is>
          <t>EBITDA Margin</t>
        </is>
      </c>
      <c r="B32" s="14" t="inlineStr">
        <is>
          <t>%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</row>
    <row r="33">
      <c r="A33" s="7" t="inlineStr">
        <is>
          <t>EBIT / Operating Income</t>
        </is>
      </c>
      <c r="B33" s="14" t="inlineStr">
        <is>
          <t>$M</t>
        </is>
      </c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7" t="inlineStr">
        <is>
          <t>Operating Margin</t>
        </is>
      </c>
      <c r="B34" s="14" t="inlineStr">
        <is>
          <t>%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</row>
    <row r="35">
      <c r="A35" s="7" t="inlineStr">
        <is>
          <t>Rule of 40 Score</t>
        </is>
      </c>
      <c r="B35" s="14" t="inlineStr">
        <is>
          <t>#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10">
        <f> Growth % + FCF Margin %</f>
        <v/>
      </c>
    </row>
    <row r="37">
      <c r="A37" s="15" t="inlineStr">
        <is>
          <t>Below the Line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7" t="inlineStr">
        <is>
          <t>Interest Income / (Expense)</t>
        </is>
      </c>
      <c r="B38" s="14" t="inlineStr">
        <is>
          <t>$M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7" t="inlineStr">
        <is>
          <t>Pre-Tax Income</t>
        </is>
      </c>
      <c r="B39" s="14" t="inlineStr">
        <is>
          <t>$M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7" t="inlineStr">
        <is>
          <t>Taxes</t>
        </is>
      </c>
      <c r="B40" s="14" t="inlineStr">
        <is>
          <t>$M</t>
        </is>
      </c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</row>
    <row r="41">
      <c r="A41" s="7" t="inlineStr">
        <is>
          <t>Net Income</t>
        </is>
      </c>
      <c r="B41" s="14" t="inlineStr">
        <is>
          <t>$M</t>
        </is>
      </c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</row>
    <row r="42">
      <c r="A42" s="7" t="inlineStr">
        <is>
          <t>Net Margin</t>
        </is>
      </c>
      <c r="B42" s="14" t="inlineStr">
        <is>
          <t>%</t>
        </is>
      </c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1" t="inlineStr">
        <is>
          <t>WHOOP — Discounted Cash Flow</t>
        </is>
      </c>
    </row>
    <row r="2">
      <c r="A2" s="38" t="inlineStr">
        <is>
          <t>$M; Calendar Year; BUILD YOUR FORMULAS HERE</t>
        </is>
      </c>
    </row>
    <row r="4">
      <c r="A4" s="13" t="inlineStr"/>
      <c r="B4" s="13" t="inlineStr">
        <is>
          <t>Units</t>
        </is>
      </c>
      <c r="C4" s="13" t="inlineStr">
        <is>
          <t>2025</t>
        </is>
      </c>
      <c r="D4" s="13" t="inlineStr">
        <is>
          <t>2026</t>
        </is>
      </c>
      <c r="E4" s="13" t="inlineStr">
        <is>
          <t>2027</t>
        </is>
      </c>
      <c r="F4" s="13" t="inlineStr">
        <is>
          <t>2028</t>
        </is>
      </c>
      <c r="G4" s="13" t="inlineStr">
        <is>
          <t>2029</t>
        </is>
      </c>
      <c r="H4" s="13" t="inlineStr">
        <is>
          <t>2030</t>
        </is>
      </c>
      <c r="I4" s="13" t="inlineStr">
        <is>
          <t>2031</t>
        </is>
      </c>
      <c r="J4" s="13" t="inlineStr">
        <is>
          <t>2032</t>
        </is>
      </c>
      <c r="K4" s="13" t="inlineStr">
        <is>
          <t>2033</t>
        </is>
      </c>
    </row>
    <row r="6">
      <c r="A6" s="15" t="inlineStr">
        <is>
          <t>Free Cash Flow Build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7" t="inlineStr">
        <is>
          <t>EBIT</t>
        </is>
      </c>
      <c r="B7" s="14" t="inlineStr">
        <is>
          <t>$M</t>
        </is>
      </c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10" t="inlineStr">
        <is>
          <t>← From P&amp;L</t>
        </is>
      </c>
    </row>
    <row r="8">
      <c r="A8" s="7" t="inlineStr">
        <is>
          <t>Less: Taxes on EBIT</t>
        </is>
      </c>
      <c r="B8" s="14" t="inlineStr">
        <is>
          <t>$M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</row>
    <row r="9">
      <c r="A9" s="7" t="inlineStr">
        <is>
          <t>NOPAT</t>
        </is>
      </c>
      <c r="B9" s="14" t="inlineStr">
        <is>
          <t>$M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</row>
    <row r="10">
      <c r="A10" s="7" t="inlineStr">
        <is>
          <t>Plus: D&amp;A</t>
        </is>
      </c>
      <c r="B10" s="14" t="inlineStr">
        <is>
          <t>$M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</row>
    <row r="11">
      <c r="A11" s="7" t="inlineStr">
        <is>
          <t>Less: CapEx</t>
        </is>
      </c>
      <c r="B11" s="14" t="inlineStr">
        <is>
          <t>$M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</row>
    <row r="12">
      <c r="A12" s="7" t="inlineStr">
        <is>
          <t>Less: Change in NWC</t>
        </is>
      </c>
      <c r="B12" s="14" t="inlineStr">
        <is>
          <t>$M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</row>
    <row r="13">
      <c r="A13" s="7" t="inlineStr">
        <is>
          <t>Less: SBC (real cost)</t>
        </is>
      </c>
      <c r="B13" s="14" t="inlineStr">
        <is>
          <t>$M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10" t="inlineStr">
        <is>
          <t>← From P&amp;L; SBC included per CLAUDE.md</t>
        </is>
      </c>
    </row>
    <row r="14">
      <c r="A14" s="7" t="inlineStr">
        <is>
          <t>Unlevered Free Cash Flow</t>
        </is>
      </c>
      <c r="B14" s="14" t="inlineStr">
        <is>
          <t>$M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</row>
    <row r="15">
      <c r="A15" s="7" t="inlineStr">
        <is>
          <t>FCF Margin</t>
        </is>
      </c>
      <c r="B15" s="14" t="inlineStr">
        <is>
          <t>%</t>
        </is>
      </c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</row>
    <row r="17">
      <c r="A17" s="15" t="inlineStr">
        <is>
          <t>Discounting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7" t="inlineStr">
        <is>
          <t>WACC</t>
        </is>
      </c>
      <c r="B18" s="14" t="inlineStr">
        <is>
          <t>%</t>
        </is>
      </c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10" t="inlineStr">
        <is>
          <t>← From Assumptions D1-D5</t>
        </is>
      </c>
    </row>
    <row r="19">
      <c r="A19" s="7" t="inlineStr">
        <is>
          <t>Discount Period</t>
        </is>
      </c>
      <c r="B19" s="14" t="inlineStr">
        <is>
          <t>#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10" t="inlineStr">
        <is>
          <t>Mid-year convention</t>
        </is>
      </c>
    </row>
    <row r="20">
      <c r="A20" s="7" t="inlineStr">
        <is>
          <t>Discount Factor</t>
        </is>
      </c>
      <c r="B20" s="14" t="inlineStr">
        <is>
          <t>x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</row>
    <row r="21">
      <c r="A21" s="7" t="inlineStr">
        <is>
          <t>PV of FCF</t>
        </is>
      </c>
      <c r="B21" s="14" t="inlineStr">
        <is>
          <t>$M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</row>
    <row r="23">
      <c r="A23" s="15" t="inlineStr">
        <is>
          <t>Terminal Value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7" t="inlineStr">
        <is>
          <t>Terminal Year Revenue</t>
        </is>
      </c>
      <c r="B24" s="14" t="inlineStr">
        <is>
          <t>$M</t>
        </is>
      </c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</row>
    <row r="25">
      <c r="A25" s="7" t="inlineStr">
        <is>
          <t>Terminal Year EBITDA</t>
        </is>
      </c>
      <c r="B25" s="14" t="inlineStr">
        <is>
          <t>$M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</row>
    <row r="26">
      <c r="A26" s="7" t="inlineStr">
        <is>
          <t>Terminal Year FCF</t>
        </is>
      </c>
      <c r="B26" s="14" t="inlineStr">
        <is>
          <t>$M</t>
        </is>
      </c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</row>
    <row r="27">
      <c r="A27" s="7" t="inlineStr">
        <is>
          <t>Exit Multiple (EV/Revenue)</t>
        </is>
      </c>
      <c r="B27" s="14" t="inlineStr">
        <is>
          <t>x</t>
        </is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10" t="inlineStr">
        <is>
          <t>← From Assumptions D10</t>
        </is>
      </c>
    </row>
    <row r="28">
      <c r="A28" s="7" t="inlineStr">
        <is>
          <t>Terminal Value (Exit Multiple)</t>
        </is>
      </c>
      <c r="B28" s="14" t="inlineStr">
        <is>
          <t>$M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</row>
    <row r="29">
      <c r="A29" s="7" t="inlineStr">
        <is>
          <t>Terminal Value (Gordon Growth)</t>
        </is>
      </c>
      <c r="B29" s="14" t="inlineStr">
        <is>
          <t>$M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10">
        <f> FCF × (1+g) / (WACC - g)</f>
        <v/>
      </c>
    </row>
    <row r="30">
      <c r="A30" s="7" t="inlineStr">
        <is>
          <t>TV Divergence Check</t>
        </is>
      </c>
      <c r="B30" s="14" t="inlineStr">
        <is>
          <t>%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10" t="inlineStr">
        <is>
          <t>If &gt;25%, an assumption is inconsistent</t>
        </is>
      </c>
    </row>
    <row r="31">
      <c r="A31" s="7" t="inlineStr">
        <is>
          <t>Selected Terminal Value</t>
        </is>
      </c>
      <c r="B31" s="14" t="inlineStr">
        <is>
          <t>$M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</row>
    <row r="32">
      <c r="A32" s="7" t="inlineStr">
        <is>
          <t>PV of Terminal Value</t>
        </is>
      </c>
      <c r="B32" s="14" t="inlineStr">
        <is>
          <t>$M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</row>
    <row r="33">
      <c r="A33" s="7" t="inlineStr">
        <is>
          <t>TV as % of Total EV</t>
        </is>
      </c>
      <c r="B33" s="14" t="inlineStr">
        <is>
          <t>%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10" t="inlineStr">
        <is>
          <t>If &gt;75%, explicit forecast doing too little</t>
        </is>
      </c>
    </row>
    <row r="35">
      <c r="A35" s="15" t="inlineStr">
        <is>
          <t>Enterprise Value Summary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7" t="inlineStr">
        <is>
          <t>Sum of PV of FCFs</t>
        </is>
      </c>
      <c r="B36" s="14" t="inlineStr">
        <is>
          <t>$M</t>
        </is>
      </c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</row>
    <row r="37">
      <c r="A37" s="7" t="inlineStr">
        <is>
          <t>PV of Terminal Value</t>
        </is>
      </c>
      <c r="B37" s="14" t="inlineStr">
        <is>
          <t>$M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</row>
    <row r="38">
      <c r="A38" s="7" t="inlineStr">
        <is>
          <t>Enterprise Value (DCF)</t>
        </is>
      </c>
      <c r="B38" s="14" t="inlineStr">
        <is>
          <t>$M</t>
        </is>
      </c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</row>
    <row r="40">
      <c r="A40" s="15" t="inlineStr">
        <is>
          <t>Equity Bridge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7" t="inlineStr">
        <is>
          <t>Enterprise Value</t>
        </is>
      </c>
      <c r="B41" s="14" t="inlineStr">
        <is>
          <t>$M</t>
        </is>
      </c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</row>
    <row r="42">
      <c r="A42" s="7" t="inlineStr">
        <is>
          <t>Less: Debt</t>
        </is>
      </c>
      <c r="B42" s="14" t="inlineStr">
        <is>
          <t>$M</t>
        </is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0" t="inlineStr">
        <is>
          <t>~$0 (minimal)</t>
        </is>
      </c>
    </row>
    <row r="43">
      <c r="A43" s="7" t="inlineStr">
        <is>
          <t>Plus: Cash</t>
        </is>
      </c>
      <c r="B43" s="14" t="inlineStr">
        <is>
          <t>$M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0" t="inlineStr">
        <is>
          <t>$600-800M est. post-Series G</t>
        </is>
      </c>
    </row>
    <row r="44">
      <c r="A44" s="7" t="inlineStr">
        <is>
          <t>Equity Value</t>
        </is>
      </c>
      <c r="B44" s="14" t="inlineStr">
        <is>
          <t>$M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</row>
    <row r="45">
      <c r="A45" s="7" t="inlineStr">
        <is>
          <t>Fully Diluted Shares (M)</t>
        </is>
      </c>
      <c r="B45" s="14" t="inlineStr">
        <is>
          <t>#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10" t="inlineStr">
        <is>
          <t>~900M (PremierAlts est.)</t>
        </is>
      </c>
    </row>
    <row r="46">
      <c r="A46" s="7" t="inlineStr">
        <is>
          <t>Equity Value per Share</t>
        </is>
      </c>
      <c r="B46" s="14" t="inlineStr">
        <is>
          <t>$/sh</t>
        </is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</row>
    <row r="48">
      <c r="A48" s="15" t="inlineStr">
        <is>
          <t>Real Options (Additive)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7" t="inlineStr">
        <is>
          <t>Correlated Success EV</t>
        </is>
      </c>
      <c r="B49" s="14" t="inlineStr">
        <is>
          <t>$M</t>
        </is>
      </c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10" t="inlineStr">
        <is>
          <t>← Probability × Payoff from Assumptions</t>
        </is>
      </c>
    </row>
    <row r="50">
      <c r="A50" s="7" t="inlineStr">
        <is>
          <t>Mixed Outcomes EV</t>
        </is>
      </c>
      <c r="B50" s="14" t="inlineStr">
        <is>
          <t>$M</t>
        </is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</row>
    <row r="51">
      <c r="A51" s="7" t="inlineStr">
        <is>
          <t>Correlated Failure EV</t>
        </is>
      </c>
      <c r="B51" s="14" t="inlineStr">
        <is>
          <t>$M</t>
        </is>
      </c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</row>
    <row r="52">
      <c r="A52" s="7" t="inlineStr">
        <is>
          <t>Expected Option Value</t>
        </is>
      </c>
      <c r="B52" s="14" t="inlineStr">
        <is>
          <t>$M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</row>
    <row r="53">
      <c r="A53" s="7" t="inlineStr">
        <is>
          <t>Total EV (DCF + Options)</t>
        </is>
      </c>
      <c r="B53" s="14" t="inlineStr">
        <is>
          <t>$M</t>
        </is>
      </c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</row>
    <row r="55">
      <c r="A55" s="15" t="inlineStr">
        <is>
          <t>Scenario Comparison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7" t="inlineStr">
        <is>
          <t>DCF Base Case EV</t>
        </is>
      </c>
      <c r="B56" s="14" t="inlineStr">
        <is>
          <t>$M</t>
        </is>
      </c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</row>
    <row r="57">
      <c r="A57" s="7" t="inlineStr">
        <is>
          <t>DCF + Options EV</t>
        </is>
      </c>
      <c r="B57" s="14" t="inlineStr">
        <is>
          <t>$M</t>
        </is>
      </c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</row>
    <row r="58">
      <c r="A58" s="7" t="inlineStr">
        <is>
          <t>Series G Mark</t>
        </is>
      </c>
      <c r="B58" s="14" t="inlineStr">
        <is>
          <t>$M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0" t="inlineStr">
        <is>
          <t>10100</t>
        </is>
      </c>
    </row>
    <row r="59">
      <c r="A59" s="7" t="inlineStr">
        <is>
          <t>Premium / (Discount) to Series G</t>
        </is>
      </c>
      <c r="B59" s="14" t="inlineStr">
        <is>
          <t>%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N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1" t="inlineStr">
        <is>
          <t>WHOOP — Comparable Company Analysis</t>
        </is>
      </c>
    </row>
    <row r="2">
      <c r="A2" s="14" t="inlineStr">
        <is>
          <t>As of April 16, 2026; All USD</t>
        </is>
      </c>
    </row>
    <row r="4">
      <c r="A4" s="13" t="inlineStr">
        <is>
          <t>Company</t>
        </is>
      </c>
      <c r="B4" s="13" t="inlineStr">
        <is>
          <t>Ticker</t>
        </is>
      </c>
      <c r="C4" s="13" t="inlineStr">
        <is>
          <t>Bucket</t>
        </is>
      </c>
      <c r="D4" s="13" t="inlineStr">
        <is>
          <t>Mkt Cap ($B)</t>
        </is>
      </c>
      <c r="E4" s="13" t="inlineStr">
        <is>
          <t>EV ($B)</t>
        </is>
      </c>
      <c r="F4" s="13" t="inlineStr">
        <is>
          <t>LTM Rev ($B)</t>
        </is>
      </c>
      <c r="G4" s="13" t="inlineStr">
        <is>
          <t>EV/Rev LTM</t>
        </is>
      </c>
      <c r="H4" s="13" t="inlineStr">
        <is>
          <t>EV/Rev NTM</t>
        </is>
      </c>
      <c r="I4" s="13" t="inlineStr">
        <is>
          <t>EV/EBITDA</t>
        </is>
      </c>
      <c r="J4" s="13" t="inlineStr">
        <is>
          <t>Gross Margin</t>
        </is>
      </c>
      <c r="K4" s="13" t="inlineStr">
        <is>
          <t>Op Margin</t>
        </is>
      </c>
      <c r="L4" s="13" t="inlineStr">
        <is>
          <t>Rev Growth</t>
        </is>
      </c>
      <c r="M4" s="13" t="inlineStr">
        <is>
          <t>Rule of 40</t>
        </is>
      </c>
      <c r="N4" s="13" t="inlineStr">
        <is>
          <t>Lev. Beta</t>
        </is>
      </c>
    </row>
    <row r="5">
      <c r="A5" s="41" t="inlineStr"/>
      <c r="B5" s="41" t="inlineStr"/>
      <c r="C5" s="41" t="inlineStr"/>
      <c r="D5" s="41" t="inlineStr">
        <is>
          <t>$B</t>
        </is>
      </c>
      <c r="E5" s="41" t="inlineStr">
        <is>
          <t>$B</t>
        </is>
      </c>
      <c r="F5" s="41" t="inlineStr">
        <is>
          <t>$B</t>
        </is>
      </c>
      <c r="G5" s="41" t="inlineStr">
        <is>
          <t>x</t>
        </is>
      </c>
      <c r="H5" s="41" t="inlineStr">
        <is>
          <t>x</t>
        </is>
      </c>
      <c r="I5" s="41" t="inlineStr">
        <is>
          <t>x</t>
        </is>
      </c>
      <c r="J5" s="41" t="inlineStr">
        <is>
          <t>%</t>
        </is>
      </c>
      <c r="K5" s="41" t="inlineStr">
        <is>
          <t>%</t>
        </is>
      </c>
      <c r="L5" s="41" t="inlineStr">
        <is>
          <t>%</t>
        </is>
      </c>
      <c r="M5" s="41" t="inlineStr">
        <is>
          <t>#</t>
        </is>
      </c>
      <c r="N5" s="41" t="inlineStr">
        <is>
          <t>#</t>
        </is>
      </c>
    </row>
    <row r="7">
      <c r="A7" s="15" t="inlineStr">
        <is>
          <t>Bucket 1: Consumer Hardware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5" t="inlineStr">
        <is>
          <t>Garmin</t>
        </is>
      </c>
      <c r="B8" s="5" t="inlineStr">
        <is>
          <t>GRMN</t>
        </is>
      </c>
      <c r="C8" s="5" t="inlineStr">
        <is>
          <t>B1</t>
        </is>
      </c>
      <c r="D8" s="42" t="n">
        <v>51.2</v>
      </c>
      <c r="E8" s="42" t="n">
        <v>48.6</v>
      </c>
      <c r="F8" s="43" t="n">
        <v>7.25</v>
      </c>
      <c r="G8" s="44" t="n">
        <v>6.7</v>
      </c>
      <c r="H8" s="44" t="n">
        <v>6.2</v>
      </c>
      <c r="I8" s="44" t="n">
        <v>22.9</v>
      </c>
      <c r="J8" s="45" t="n">
        <v>0.587</v>
      </c>
      <c r="K8" s="45" t="n">
        <v>0.259</v>
      </c>
      <c r="L8" s="45" t="n">
        <v>0.15</v>
      </c>
      <c r="M8" s="46" t="n">
        <v>34</v>
      </c>
      <c r="N8" s="43" t="n">
        <v>0.97</v>
      </c>
    </row>
    <row r="10">
      <c r="A10" s="15" t="inlineStr">
        <is>
          <t>Bucket 2: Consumer Subscription Hybrid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5" t="inlineStr">
        <is>
          <t>Peloton</t>
        </is>
      </c>
      <c r="B11" s="5" t="inlineStr">
        <is>
          <t>PTON</t>
        </is>
      </c>
      <c r="C11" s="5" t="inlineStr">
        <is>
          <t>B2</t>
        </is>
      </c>
      <c r="D11" s="42" t="n">
        <v>2.1</v>
      </c>
      <c r="E11" s="42" t="n">
        <v>2.8</v>
      </c>
      <c r="F11" s="43" t="n">
        <v>2.49</v>
      </c>
      <c r="G11" s="44" t="n">
        <v>1.2</v>
      </c>
      <c r="H11" s="44" t="n">
        <v>1.2</v>
      </c>
      <c r="I11" s="44" t="n">
        <v>16.4</v>
      </c>
      <c r="J11" s="45" t="n">
        <v>0.509</v>
      </c>
      <c r="K11" s="45" t="n">
        <v>-0.014</v>
      </c>
      <c r="L11" s="45" t="n">
        <v>-0.08</v>
      </c>
      <c r="M11" s="46" t="n">
        <v>5</v>
      </c>
      <c r="N11" s="43" t="n">
        <v>2.38</v>
      </c>
    </row>
    <row r="12">
      <c r="A12" s="5" t="inlineStr">
        <is>
          <t>Spotify</t>
        </is>
      </c>
      <c r="B12" s="5" t="inlineStr">
        <is>
          <t>SPOT</t>
        </is>
      </c>
      <c r="C12" s="5" t="inlineStr">
        <is>
          <t>B2</t>
        </is>
      </c>
      <c r="D12" s="42" t="n">
        <v>109.3</v>
      </c>
      <c r="E12" s="42" t="n">
        <v>102.6</v>
      </c>
      <c r="F12" s="43" t="n">
        <v>20.2</v>
      </c>
      <c r="G12" s="44" t="n">
        <v>5.1</v>
      </c>
      <c r="H12" s="44" t="n">
        <v>4.5</v>
      </c>
      <c r="I12" s="44" t="n">
        <v>38.8</v>
      </c>
      <c r="J12" s="45" t="n">
        <v>0.32</v>
      </c>
      <c r="K12" s="45" t="n">
        <v>0.128</v>
      </c>
      <c r="L12" s="45" t="n">
        <v>0.1</v>
      </c>
      <c r="M12" s="46" t="n">
        <v>27</v>
      </c>
      <c r="N12" s="43" t="n">
        <v>1.5</v>
      </c>
    </row>
    <row r="14">
      <c r="A14" s="15" t="inlineStr">
        <is>
          <t>Bucket 3: Health Data / Medical Device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5" t="inlineStr">
        <is>
          <t>Dexcom</t>
        </is>
      </c>
      <c r="B15" s="5" t="inlineStr">
        <is>
          <t>DXCM</t>
        </is>
      </c>
      <c r="C15" s="5" t="inlineStr">
        <is>
          <t>B3</t>
        </is>
      </c>
      <c r="D15" s="42" t="n">
        <v>23.7</v>
      </c>
      <c r="E15" s="42" t="n">
        <v>23.1</v>
      </c>
      <c r="F15" s="43" t="n">
        <v>4.66</v>
      </c>
      <c r="G15" s="44" t="n">
        <v>5</v>
      </c>
      <c r="H15" s="44" t="n">
        <v>4.4</v>
      </c>
      <c r="I15" s="44" t="n">
        <v>19.8</v>
      </c>
      <c r="J15" s="45" t="n">
        <v>0.6</v>
      </c>
      <c r="K15" s="45" t="n">
        <v>0.2</v>
      </c>
      <c r="L15" s="45" t="n">
        <v>0.16</v>
      </c>
      <c r="M15" s="46" t="n">
        <v>39</v>
      </c>
      <c r="N15" s="43" t="n">
        <v>1.2</v>
      </c>
    </row>
    <row r="16">
      <c r="A16" s="5" t="inlineStr">
        <is>
          <t>ResMed</t>
        </is>
      </c>
      <c r="B16" s="5" t="inlineStr">
        <is>
          <t>RMD</t>
        </is>
      </c>
      <c r="C16" s="5" t="inlineStr">
        <is>
          <t>B3</t>
        </is>
      </c>
      <c r="D16" s="42" t="n">
        <v>33.2</v>
      </c>
      <c r="E16" s="42" t="n">
        <v>32.6</v>
      </c>
      <c r="F16" s="43" t="n">
        <v>5.4</v>
      </c>
      <c r="G16" s="44" t="n">
        <v>6</v>
      </c>
      <c r="H16" s="44" t="n">
        <v>5.5</v>
      </c>
      <c r="I16" s="44" t="n">
        <v>16.1</v>
      </c>
      <c r="J16" s="45" t="n">
        <v>0.594</v>
      </c>
      <c r="K16" s="45" t="n">
        <v>0.328</v>
      </c>
      <c r="L16" s="45" t="n">
        <v>0.1</v>
      </c>
      <c r="M16" s="46" t="n">
        <v>47</v>
      </c>
      <c r="N16" s="43" t="n">
        <v>0.93</v>
      </c>
    </row>
    <row r="17">
      <c r="A17" s="5" t="inlineStr">
        <is>
          <t>Masimo</t>
        </is>
      </c>
      <c r="B17" s="5" t="inlineStr">
        <is>
          <t>MASI</t>
        </is>
      </c>
      <c r="C17" s="5" t="inlineStr">
        <is>
          <t>B3</t>
        </is>
      </c>
      <c r="D17" s="42" t="n">
        <v>9.300000000000001</v>
      </c>
      <c r="E17" s="42" t="n">
        <v>9.699999999999999</v>
      </c>
      <c r="F17" s="43" t="n">
        <v>1.52</v>
      </c>
      <c r="G17" s="44" t="n">
        <v>6.4</v>
      </c>
      <c r="H17" s="44" t="n">
        <v>6</v>
      </c>
      <c r="I17" s="44" t="n">
        <v>28.2</v>
      </c>
      <c r="J17" s="45" t="n">
        <v>0.63</v>
      </c>
      <c r="K17" s="45" t="n">
        <v>0.275</v>
      </c>
      <c r="L17" s="45" t="n">
        <v>0.09</v>
      </c>
      <c r="M17" s="46" t="n">
        <v>37</v>
      </c>
      <c r="N17" s="43" t="n">
        <v>1.2</v>
      </c>
    </row>
    <row r="18">
      <c r="A18" s="5" t="inlineStr">
        <is>
          <t>iRhythm</t>
        </is>
      </c>
      <c r="B18" s="5" t="inlineStr">
        <is>
          <t>IRTC</t>
        </is>
      </c>
      <c r="C18" s="5" t="inlineStr">
        <is>
          <t>B3</t>
        </is>
      </c>
      <c r="D18" s="42" t="n">
        <v>4</v>
      </c>
      <c r="E18" s="42" t="n">
        <v>4.2</v>
      </c>
      <c r="F18" s="43" t="n">
        <v>0.75</v>
      </c>
      <c r="G18" s="44" t="n">
        <v>5.6</v>
      </c>
      <c r="H18" s="44" t="n">
        <v>4.8</v>
      </c>
      <c r="I18" s="44" t="n">
        <v>60.5</v>
      </c>
      <c r="J18" s="45" t="n">
        <v>0.706</v>
      </c>
      <c r="K18" s="45" t="n">
        <v>-0.077</v>
      </c>
      <c r="L18" s="45" t="n">
        <v>0.26</v>
      </c>
      <c r="M18" s="46" t="n">
        <v>35</v>
      </c>
      <c r="N18" s="43" t="n">
        <v>1.26</v>
      </c>
    </row>
    <row r="21">
      <c r="A21" s="15" t="inlineStr">
        <is>
          <t>Bucket Summary Statistics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3" t="inlineStr">
        <is>
          <t>Bucket</t>
        </is>
      </c>
      <c r="B22" s="13" t="inlineStr"/>
      <c r="C22" s="13" t="inlineStr"/>
      <c r="D22" s="13" t="inlineStr"/>
      <c r="E22" s="13" t="inlineStr"/>
      <c r="F22" s="13" t="inlineStr"/>
      <c r="G22" s="13" t="inlineStr">
        <is>
          <t>EV/Rev LTM</t>
        </is>
      </c>
      <c r="H22" s="13" t="inlineStr">
        <is>
          <t>EV/Rev NTM</t>
        </is>
      </c>
      <c r="I22" s="13" t="inlineStr"/>
      <c r="J22" s="13" t="inlineStr">
        <is>
          <t>Gross Margin</t>
        </is>
      </c>
      <c r="K22" s="13" t="inlineStr"/>
      <c r="L22" s="13" t="inlineStr">
        <is>
          <t>Rev Growth</t>
        </is>
      </c>
      <c r="M22" s="13" t="inlineStr">
        <is>
          <t>Rule of 40</t>
        </is>
      </c>
      <c r="N22" s="13" t="inlineStr"/>
    </row>
    <row r="23">
      <c r="A23" s="7" t="inlineStr">
        <is>
          <t>B1: Hardware</t>
        </is>
      </c>
      <c r="B23" s="7" t="inlineStr"/>
      <c r="C23" s="7" t="inlineStr"/>
      <c r="D23" s="7" t="inlineStr"/>
      <c r="E23" s="7" t="inlineStr"/>
      <c r="F23" s="7" t="inlineStr"/>
      <c r="G23" s="35" t="n">
        <v>6.7</v>
      </c>
      <c r="H23" s="35" t="n">
        <v>6.2</v>
      </c>
      <c r="I23" s="7" t="inlineStr"/>
      <c r="J23" s="31" t="n">
        <v>0.587</v>
      </c>
      <c r="K23" s="7" t="inlineStr"/>
      <c r="L23" s="31" t="n">
        <v>0.15</v>
      </c>
      <c r="M23" s="47" t="n">
        <v>34</v>
      </c>
      <c r="N23" s="7" t="inlineStr"/>
    </row>
    <row r="24">
      <c r="A24" s="7" t="inlineStr">
        <is>
          <t>B2: Subscription (Peloton)</t>
        </is>
      </c>
      <c r="B24" s="7" t="inlineStr"/>
      <c r="C24" s="7" t="inlineStr"/>
      <c r="D24" s="7" t="inlineStr"/>
      <c r="E24" s="7" t="inlineStr"/>
      <c r="F24" s="7" t="inlineStr"/>
      <c r="G24" s="31" t="n">
        <v>1.2</v>
      </c>
      <c r="H24" s="31" t="n">
        <v>1.2</v>
      </c>
      <c r="I24" s="7" t="inlineStr"/>
      <c r="J24" s="31" t="n">
        <v>0.509</v>
      </c>
      <c r="K24" s="7" t="inlineStr"/>
      <c r="L24" s="31" t="n">
        <v>-0.08</v>
      </c>
      <c r="M24" s="47" t="n">
        <v>5</v>
      </c>
      <c r="N24" s="7" t="inlineStr"/>
    </row>
    <row r="25">
      <c r="A25" s="7" t="inlineStr">
        <is>
          <t>B2: Subscription (Spotify)</t>
        </is>
      </c>
      <c r="B25" s="7" t="inlineStr"/>
      <c r="C25" s="7" t="inlineStr"/>
      <c r="D25" s="7" t="inlineStr"/>
      <c r="E25" s="7" t="inlineStr"/>
      <c r="F25" s="7" t="inlineStr"/>
      <c r="G25" s="35" t="n">
        <v>5.1</v>
      </c>
      <c r="H25" s="35" t="n">
        <v>4.5</v>
      </c>
      <c r="I25" s="7" t="inlineStr"/>
      <c r="J25" s="31" t="n">
        <v>0.32</v>
      </c>
      <c r="K25" s="7" t="inlineStr"/>
      <c r="L25" s="31" t="n">
        <v>0.1</v>
      </c>
      <c r="M25" s="47" t="n">
        <v>27</v>
      </c>
      <c r="N25" s="7" t="inlineStr"/>
    </row>
    <row r="26">
      <c r="A26" s="7" t="inlineStr">
        <is>
          <t>B3: Health Data (Median)</t>
        </is>
      </c>
      <c r="B26" s="7" t="inlineStr"/>
      <c r="C26" s="7" t="inlineStr"/>
      <c r="D26" s="7" t="inlineStr"/>
      <c r="E26" s="7" t="inlineStr"/>
      <c r="F26" s="7" t="inlineStr"/>
      <c r="G26" s="35" t="n">
        <v>5.8</v>
      </c>
      <c r="H26" s="35" t="n">
        <v>5.2</v>
      </c>
      <c r="I26" s="7" t="inlineStr"/>
      <c r="J26" s="31" t="n">
        <v>0.615</v>
      </c>
      <c r="K26" s="7" t="inlineStr"/>
      <c r="L26" s="31" t="n">
        <v>0.13</v>
      </c>
      <c r="M26" s="47" t="n">
        <v>38</v>
      </c>
      <c r="N26" s="7" t="inlineStr"/>
    </row>
    <row r="27">
      <c r="A27" s="7" t="inlineStr">
        <is>
          <t>B3: Health Data (Range)</t>
        </is>
      </c>
      <c r="B27" s="7" t="inlineStr"/>
      <c r="C27" s="7" t="inlineStr"/>
      <c r="D27" s="7" t="inlineStr"/>
      <c r="E27" s="7" t="inlineStr"/>
      <c r="F27" s="7" t="inlineStr"/>
      <c r="G27" s="7" t="inlineStr">
        <is>
          <t>5.0-6.4</t>
        </is>
      </c>
      <c r="H27" s="7" t="inlineStr">
        <is>
          <t>4.4-6.0</t>
        </is>
      </c>
      <c r="I27" s="7" t="inlineStr"/>
      <c r="J27" s="7" t="inlineStr"/>
      <c r="K27" s="7" t="inlineStr"/>
      <c r="L27" s="7" t="inlineStr"/>
      <c r="M27" s="7" t="inlineStr"/>
      <c r="N27" s="7" t="inlineStr"/>
    </row>
    <row r="30">
      <c r="A30" s="15" t="inlineStr">
        <is>
          <t>Implied WHOOP Valuation by Bucket Weighting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48" t="inlineStr">
        <is>
          <t>Scenario</t>
        </is>
      </c>
      <c r="B31" s="48" t="inlineStr">
        <is>
          <t>B1 Wt</t>
        </is>
      </c>
      <c r="C31" s="48" t="inlineStr">
        <is>
          <t>B2 Wt</t>
        </is>
      </c>
      <c r="D31" s="48" t="inlineStr">
        <is>
          <t>B3 Wt</t>
        </is>
      </c>
      <c r="E31" s="48" t="inlineStr">
        <is>
          <t>B1 Mult</t>
        </is>
      </c>
      <c r="F31" s="48" t="inlineStr">
        <is>
          <t>B2 Mult</t>
        </is>
      </c>
      <c r="G31" s="48" t="inlineStr">
        <is>
          <t>B3 Mult</t>
        </is>
      </c>
      <c r="H31" s="48" t="inlineStr">
        <is>
          <t>Blended</t>
        </is>
      </c>
      <c r="I31" s="48" t="inlineStr">
        <is>
          <t>Impl. EV ($B)</t>
        </is>
      </c>
      <c r="J31" s="48" t="inlineStr">
        <is>
          <t>vs. $10.1B</t>
        </is>
      </c>
    </row>
    <row r="32">
      <c r="A32" s="4" t="inlineStr">
        <is>
          <t>Bear</t>
        </is>
      </c>
      <c r="B32" s="23" t="n">
        <v>0.4</v>
      </c>
      <c r="C32" s="23" t="n">
        <v>0.4</v>
      </c>
      <c r="D32" s="23" t="n">
        <v>0.2</v>
      </c>
      <c r="E32" s="27" t="n">
        <v>6.7</v>
      </c>
      <c r="F32" s="27" t="n">
        <v>2</v>
      </c>
      <c r="G32" s="27" t="n">
        <v>5.8</v>
      </c>
      <c r="H32" s="35" t="n"/>
      <c r="I32" s="30" t="n"/>
      <c r="J32" s="31" t="n"/>
    </row>
    <row r="33">
      <c r="A33" s="4" t="inlineStr">
        <is>
          <t>Base</t>
        </is>
      </c>
      <c r="B33" s="23" t="n">
        <v>0.2</v>
      </c>
      <c r="C33" s="23" t="n">
        <v>0.4</v>
      </c>
      <c r="D33" s="23" t="n">
        <v>0.4</v>
      </c>
      <c r="E33" s="27" t="n">
        <v>6.7</v>
      </c>
      <c r="F33" s="27" t="n">
        <v>3.5</v>
      </c>
      <c r="G33" s="27" t="n">
        <v>5.8</v>
      </c>
      <c r="H33" s="35" t="n"/>
      <c r="I33" s="30" t="n"/>
      <c r="J33" s="31" t="n"/>
    </row>
    <row r="34">
      <c r="A34" s="4" t="inlineStr">
        <is>
          <t>Bull</t>
        </is>
      </c>
      <c r="B34" s="23" t="n">
        <v>0.1</v>
      </c>
      <c r="C34" s="23" t="n">
        <v>0.3</v>
      </c>
      <c r="D34" s="23" t="n">
        <v>0.6</v>
      </c>
      <c r="E34" s="27" t="n">
        <v>6.7</v>
      </c>
      <c r="F34" s="27" t="n">
        <v>4</v>
      </c>
      <c r="G34" s="27" t="n">
        <v>5.8</v>
      </c>
      <c r="H34" s="35" t="n"/>
      <c r="I34" s="30" t="n"/>
      <c r="J34" s="31" t="n"/>
    </row>
    <row r="35">
      <c r="A35" s="4" t="inlineStr">
        <is>
          <t>Series G Implied</t>
        </is>
      </c>
      <c r="B35" s="23" t="n">
        <v>0.05</v>
      </c>
      <c r="C35" s="23" t="n">
        <v>0.25</v>
      </c>
      <c r="D35" s="23" t="n">
        <v>0.7</v>
      </c>
      <c r="E35" s="27" t="n">
        <v>6.7</v>
      </c>
      <c r="F35" s="27" t="n">
        <v>4</v>
      </c>
      <c r="G35" s="27" t="n">
        <v>5.8</v>
      </c>
      <c r="H35" s="35" t="n"/>
      <c r="I35" s="30" t="n"/>
      <c r="J35" s="31" t="n"/>
    </row>
    <row r="37">
      <c r="A37" s="10" t="inlineStr">
        <is>
          <t>Note: Blended = Σ(Wt × Mult). Implied EV = Blended × Revenue. Fill formulas.</t>
        </is>
      </c>
    </row>
    <row r="38">
      <c r="A38" s="10" t="inlineStr">
        <is>
          <t>Revenue base: $650M (2025 recognized) or $1,100M (bookings) — choose in Revenue Build tab.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35" customWidth="1" min="8" max="8"/>
  </cols>
  <sheetData>
    <row r="1">
      <c r="A1" s="11" t="inlineStr">
        <is>
          <t>WHOOP — Precedent Transactions</t>
        </is>
      </c>
    </row>
    <row r="2">
      <c r="A2" s="14" t="inlineStr">
        <is>
          <t>2020-2026; $500M+ EV preferred; All USD</t>
        </is>
      </c>
    </row>
    <row r="4">
      <c r="A4" s="13" t="inlineStr">
        <is>
          <t>Acquirer / Target</t>
        </is>
      </c>
      <c r="B4" s="13" t="inlineStr">
        <is>
          <t>Date</t>
        </is>
      </c>
      <c r="C4" s="13" t="inlineStr">
        <is>
          <t>EV ($B)</t>
        </is>
      </c>
      <c r="D4" s="13" t="inlineStr">
        <is>
          <t>LTM Rev ($B)</t>
        </is>
      </c>
      <c r="E4" s="13" t="inlineStr">
        <is>
          <t>EV/Rev</t>
        </is>
      </c>
      <c r="F4" s="13" t="inlineStr">
        <is>
          <t>Regime</t>
        </is>
      </c>
      <c r="G4" s="13" t="inlineStr">
        <is>
          <t>Bucket</t>
        </is>
      </c>
      <c r="H4" s="13" t="inlineStr">
        <is>
          <t>Strategic Rationale</t>
        </is>
      </c>
    </row>
    <row r="5">
      <c r="A5" s="5" t="inlineStr">
        <is>
          <t>Google / Fitbit</t>
        </is>
      </c>
      <c r="B5" s="5" t="inlineStr">
        <is>
          <t>Jan 2021</t>
        </is>
      </c>
      <c r="C5" s="29" t="n">
        <v>2.1</v>
      </c>
      <c r="D5" s="49" t="n">
        <v>1.43</v>
      </c>
      <c r="E5" s="27" t="n">
        <v>1.5</v>
      </c>
      <c r="F5" s="5" t="inlineStr">
        <is>
          <t>ZIRP-peak</t>
        </is>
      </c>
      <c r="G5" s="5" t="inlineStr">
        <is>
          <t>B1</t>
        </is>
      </c>
      <c r="H5" s="17" t="inlineStr">
        <is>
          <t>Wearable data acquisition; failed sub pivot</t>
        </is>
      </c>
    </row>
    <row r="6">
      <c r="A6" s="5" t="inlineStr">
        <is>
          <t>Lululemon / Mirror</t>
        </is>
      </c>
      <c r="B6" s="5" t="inlineStr">
        <is>
          <t>Jul 2020</t>
        </is>
      </c>
      <c r="C6" s="29" t="n">
        <v>0.5</v>
      </c>
      <c r="D6" s="49" t="n">
        <v>0.17</v>
      </c>
      <c r="E6" s="27" t="n">
        <v>2.9</v>
      </c>
      <c r="F6" s="5" t="inlineStr">
        <is>
          <t>ZIRP-peak</t>
        </is>
      </c>
      <c r="G6" s="5" t="inlineStr">
        <is>
          <t>B2</t>
        </is>
      </c>
      <c r="H6" s="17" t="inlineStr">
        <is>
          <t>Connected fitness content; 89% write-off</t>
        </is>
      </c>
    </row>
    <row r="7">
      <c r="A7" s="5" t="inlineStr">
        <is>
          <t>Teladoc / Livongo</t>
        </is>
      </c>
      <c r="B7" s="5" t="inlineStr">
        <is>
          <t>Oct 2020</t>
        </is>
      </c>
      <c r="C7" s="29" t="n">
        <v>18.5</v>
      </c>
      <c r="D7" s="49" t="n">
        <v>0.29</v>
      </c>
      <c r="E7" s="27" t="n">
        <v>63.8</v>
      </c>
      <c r="F7" s="5" t="inlineStr">
        <is>
          <t>ZIRP-peak</t>
        </is>
      </c>
      <c r="G7" s="5" t="inlineStr">
        <is>
          <t>Cross</t>
        </is>
      </c>
      <c r="H7" s="17" t="inlineStr">
        <is>
          <t>Digital health mega-deal; massive write-down</t>
        </is>
      </c>
    </row>
    <row r="8">
      <c r="A8" s="5" t="inlineStr">
        <is>
          <t>Microsoft / Nuance</t>
        </is>
      </c>
      <c r="B8" s="5" t="inlineStr">
        <is>
          <t>Mar 2022</t>
        </is>
      </c>
      <c r="C8" s="29" t="n">
        <v>19.7</v>
      </c>
      <c r="D8" s="49" t="n">
        <v>1.48</v>
      </c>
      <c r="E8" s="27" t="n">
        <v>13.3</v>
      </c>
      <c r="F8" s="5" t="inlineStr">
        <is>
          <t>Transition</t>
        </is>
      </c>
      <c r="G8" s="5" t="inlineStr">
        <is>
          <t>Cross</t>
        </is>
      </c>
      <c r="H8" s="17" t="inlineStr">
        <is>
          <t>Healthcare AI voice/NLP platform</t>
        </is>
      </c>
    </row>
    <row r="9">
      <c r="A9" s="5" t="inlineStr">
        <is>
          <t>Masimo / Sound United</t>
        </is>
      </c>
      <c r="B9" s="5" t="inlineStr">
        <is>
          <t>Apr 2022</t>
        </is>
      </c>
      <c r="C9" s="29" t="n">
        <v>1.03</v>
      </c>
      <c r="D9" s="49" t="n">
        <v>0.9</v>
      </c>
      <c r="E9" s="27" t="n">
        <v>1.1</v>
      </c>
      <c r="F9" s="5" t="inlineStr">
        <is>
          <t>Transition</t>
        </is>
      </c>
      <c r="G9" s="5" t="inlineStr">
        <is>
          <t>B1</t>
        </is>
      </c>
      <c r="H9" s="17" t="inlineStr">
        <is>
          <t>Consumer audio pivot; $675M value destruction</t>
        </is>
      </c>
    </row>
    <row r="10">
      <c r="A10" s="5" t="inlineStr">
        <is>
          <t>CVS / Signify Health</t>
        </is>
      </c>
      <c r="B10" s="5" t="inlineStr">
        <is>
          <t>Sep 2022</t>
        </is>
      </c>
      <c r="C10" s="29" t="n">
        <v>8</v>
      </c>
      <c r="D10" s="49" t="n">
        <v>0.77</v>
      </c>
      <c r="E10" s="27" t="n">
        <v>10.4</v>
      </c>
      <c r="F10" s="5" t="inlineStr">
        <is>
          <t>Transition</t>
        </is>
      </c>
      <c r="G10" s="5" t="inlineStr">
        <is>
          <t>B3</t>
        </is>
      </c>
      <c r="H10" s="17" t="inlineStr">
        <is>
          <t>Home health + value-based care platform</t>
        </is>
      </c>
    </row>
    <row r="11">
      <c r="A11" s="5" t="inlineStr">
        <is>
          <t>Amazon / One Medical</t>
        </is>
      </c>
      <c r="B11" s="5" t="inlineStr">
        <is>
          <t>Feb 2023</t>
        </is>
      </c>
      <c r="C11" s="29" t="n">
        <v>3.9</v>
      </c>
      <c r="D11" s="49" t="n">
        <v>1.1</v>
      </c>
      <c r="E11" s="27" t="n">
        <v>3.5</v>
      </c>
      <c r="F11" s="5" t="inlineStr">
        <is>
          <t>Transition</t>
        </is>
      </c>
      <c r="G11" s="5" t="inlineStr">
        <is>
          <t>Cross</t>
        </is>
      </c>
      <c r="H11" s="17" t="inlineStr">
        <is>
          <t>Primary care distribution; strategic access play</t>
        </is>
      </c>
    </row>
    <row r="12">
      <c r="A12" s="5" t="inlineStr">
        <is>
          <t>J&amp;J / Shockwave Medical</t>
        </is>
      </c>
      <c r="B12" s="5" t="inlineStr">
        <is>
          <t>May 2024</t>
        </is>
      </c>
      <c r="C12" s="29" t="n">
        <v>13.1</v>
      </c>
      <c r="D12" s="49" t="n">
        <v>0.73</v>
      </c>
      <c r="E12" s="27" t="n">
        <v>17.9</v>
      </c>
      <c r="F12" s="5" t="inlineStr">
        <is>
          <t>Current</t>
        </is>
      </c>
      <c r="G12" s="5" t="inlineStr">
        <is>
          <t>B3</t>
        </is>
      </c>
      <c r="H12" s="17" t="inlineStr">
        <is>
          <t>OUTLIER: IVL synergies drove 2x+ peer median</t>
        </is>
      </c>
    </row>
    <row r="13">
      <c r="A13" s="5" t="inlineStr">
        <is>
          <t>BSci / Axonics</t>
        </is>
      </c>
      <c r="B13" s="5" t="inlineStr">
        <is>
          <t>Nov 2024</t>
        </is>
      </c>
      <c r="C13" s="29" t="n">
        <v>3.7</v>
      </c>
      <c r="D13" s="49" t="n">
        <v>0.37</v>
      </c>
      <c r="E13" s="27" t="n">
        <v>10.1</v>
      </c>
      <c r="F13" s="5" t="inlineStr">
        <is>
          <t>Current</t>
        </is>
      </c>
      <c r="G13" s="5" t="inlineStr">
        <is>
          <t>B3</t>
        </is>
      </c>
      <c r="H13" s="17" t="inlineStr">
        <is>
          <t>Neuromodulation bolt-on</t>
        </is>
      </c>
    </row>
    <row r="14">
      <c r="A14" s="5" t="inlineStr">
        <is>
          <t>Stryker / Inari Medical</t>
        </is>
      </c>
      <c r="B14" s="5" t="inlineStr">
        <is>
          <t>Feb 2025</t>
        </is>
      </c>
      <c r="C14" s="29" t="n">
        <v>4.9</v>
      </c>
      <c r="D14" s="49" t="n">
        <v>0.6</v>
      </c>
      <c r="E14" s="27" t="n">
        <v>8.1</v>
      </c>
      <c r="F14" s="5" t="inlineStr">
        <is>
          <t>Current</t>
        </is>
      </c>
      <c r="G14" s="5" t="inlineStr">
        <is>
          <t>B3</t>
        </is>
      </c>
      <c r="H14" s="17" t="inlineStr">
        <is>
          <t>Venous thromboembolism devices</t>
        </is>
      </c>
    </row>
    <row r="15">
      <c r="A15" s="5" t="inlineStr">
        <is>
          <t>Danaher / Masimo</t>
        </is>
      </c>
      <c r="B15" s="5" t="inlineStr">
        <is>
          <t>Feb 2026</t>
        </is>
      </c>
      <c r="C15" s="29" t="n">
        <v>9.9</v>
      </c>
      <c r="D15" s="49" t="n">
        <v>1.51</v>
      </c>
      <c r="E15" s="27" t="n">
        <v>6.6</v>
      </c>
      <c r="F15" s="5" t="inlineStr">
        <is>
          <t>Current</t>
        </is>
      </c>
      <c r="G15" s="5" t="inlineStr">
        <is>
          <t>B3</t>
        </is>
      </c>
      <c r="H15" s="17" t="inlineStr">
        <is>
          <t>Patient monitoring platform; pending close</t>
        </is>
      </c>
    </row>
    <row r="18">
      <c r="A18" s="15" t="inlineStr">
        <is>
          <t>Summary by Regime &amp; Bucket</t>
        </is>
      </c>
      <c r="B18" s="15" t="n"/>
      <c r="C18" s="15" t="n"/>
      <c r="D18" s="15" t="n"/>
      <c r="E18" s="15" t="n"/>
      <c r="F18" s="15" t="n"/>
      <c r="G18" s="15" t="n"/>
      <c r="H18" s="15" t="n"/>
    </row>
    <row r="19">
      <c r="A19" s="7" t="inlineStr">
        <is>
          <t>Current-regime B3 medtech: 6.6-10.1x (median ~8.5x)</t>
        </is>
      </c>
    </row>
    <row r="20">
      <c r="A20" s="50" t="inlineStr">
        <is>
          <t>Connected fitness deals: uniformly value-destructive</t>
        </is>
      </c>
    </row>
    <row r="21">
      <c r="A21" s="7" t="inlineStr">
        <is>
          <t>Implied WHOOP range: $5-8B (control premium embedded; Series G is minority)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</cols>
  <sheetData>
    <row r="1">
      <c r="A1" s="11" t="inlineStr">
        <is>
          <t>WHOOP — Cap Table &amp; Waterfall</t>
        </is>
      </c>
    </row>
    <row r="2">
      <c r="A2" s="14" t="inlineStr">
        <is>
          <t>Sources: Pitchbook + Cap IQ; BUILD WATERFALL FORMULAS</t>
        </is>
      </c>
    </row>
    <row r="4">
      <c r="A4" s="13" t="inlineStr">
        <is>
          <t>Round</t>
        </is>
      </c>
      <c r="B4" s="13" t="inlineStr">
        <is>
          <t>Date</t>
        </is>
      </c>
      <c r="C4" s="13" t="inlineStr">
        <is>
          <t>Amount ($M)</t>
        </is>
      </c>
      <c r="D4" s="13" t="inlineStr">
        <is>
          <t>Post-Money ($B)</t>
        </is>
      </c>
      <c r="E4" s="13" t="inlineStr">
        <is>
          <t>Price/Share ($)</t>
        </is>
      </c>
      <c r="F4" s="13" t="inlineStr">
        <is>
          <t>Shares (M)</t>
        </is>
      </c>
      <c r="G4" s="13" t="inlineStr">
        <is>
          <t>Ownership %</t>
        </is>
      </c>
      <c r="H4" s="13" t="inlineStr">
        <is>
          <t>Pref Terms</t>
        </is>
      </c>
      <c r="I4" s="13" t="inlineStr">
        <is>
          <t>Lead Investor(s)</t>
        </is>
      </c>
    </row>
    <row r="5">
      <c r="A5" s="5" t="inlineStr">
        <is>
          <t>Seed</t>
        </is>
      </c>
      <c r="B5" s="5" t="inlineStr">
        <is>
          <t>2012</t>
        </is>
      </c>
      <c r="C5" s="29" t="n">
        <v>1</v>
      </c>
      <c r="D5" s="5" t="n"/>
      <c r="E5" s="5" t="n"/>
      <c r="F5" s="5" t="n"/>
      <c r="G5" s="5" t="n"/>
      <c r="H5" s="5" t="inlineStr">
        <is>
          <t>1x non-part.</t>
        </is>
      </c>
      <c r="I5" s="5" t="inlineStr">
        <is>
          <t>DraftKings founders</t>
        </is>
      </c>
    </row>
    <row r="6">
      <c r="A6" s="5" t="inlineStr">
        <is>
          <t>Series A</t>
        </is>
      </c>
      <c r="B6" s="5" t="inlineStr">
        <is>
          <t>Sep 2014</t>
        </is>
      </c>
      <c r="C6" s="29" t="n">
        <v>4</v>
      </c>
      <c r="D6" s="5" t="n"/>
      <c r="E6" s="5" t="n"/>
      <c r="F6" s="5" t="n"/>
      <c r="G6" s="5" t="n"/>
      <c r="H6" s="5" t="inlineStr">
        <is>
          <t>1x non-part.</t>
        </is>
      </c>
      <c r="I6" s="5" t="inlineStr">
        <is>
          <t>Accomplice, Mousse Partners</t>
        </is>
      </c>
    </row>
    <row r="7">
      <c r="A7" s="5" t="inlineStr">
        <is>
          <t>Series B</t>
        </is>
      </c>
      <c r="B7" s="5" t="inlineStr">
        <is>
          <t>Sep 2016</t>
        </is>
      </c>
      <c r="C7" s="29" t="n">
        <v>12</v>
      </c>
      <c r="D7" s="5" t="n"/>
      <c r="E7" s="5" t="n"/>
      <c r="F7" s="5" t="n"/>
      <c r="G7" s="5" t="n"/>
      <c r="H7" s="5" t="inlineStr">
        <is>
          <t>1x non-part.</t>
        </is>
      </c>
      <c r="I7" s="5" t="inlineStr">
        <is>
          <t>Foundry Group</t>
        </is>
      </c>
    </row>
    <row r="8">
      <c r="A8" s="5" t="inlineStr">
        <is>
          <t>Series C</t>
        </is>
      </c>
      <c r="B8" s="5" t="inlineStr">
        <is>
          <t>Oct 2018</t>
        </is>
      </c>
      <c r="C8" s="29" t="n">
        <v>55</v>
      </c>
      <c r="D8" s="49" t="n">
        <v>0.43</v>
      </c>
      <c r="E8" s="5" t="n"/>
      <c r="F8" s="5" t="n"/>
      <c r="G8" s="5" t="n"/>
      <c r="H8" s="5" t="inlineStr">
        <is>
          <t>1x non-part.</t>
        </is>
      </c>
      <c r="I8" s="5" t="inlineStr">
        <is>
          <t>IVP</t>
        </is>
      </c>
    </row>
    <row r="9">
      <c r="A9" s="5" t="inlineStr">
        <is>
          <t>Series D</t>
        </is>
      </c>
      <c r="B9" s="5" t="inlineStr">
        <is>
          <t>Oct 2020</t>
        </is>
      </c>
      <c r="C9" s="29" t="n">
        <v>100</v>
      </c>
      <c r="D9" s="49" t="n">
        <v>1.2</v>
      </c>
      <c r="E9" s="5" t="n"/>
      <c r="F9" s="5" t="n"/>
      <c r="G9" s="5" t="n"/>
      <c r="H9" s="5" t="inlineStr">
        <is>
          <t>1x non-part.</t>
        </is>
      </c>
      <c r="I9" s="5" t="inlineStr">
        <is>
          <t>IVP</t>
        </is>
      </c>
    </row>
    <row r="10">
      <c r="A10" s="5" t="inlineStr">
        <is>
          <t>Series E</t>
        </is>
      </c>
      <c r="B10" s="5" t="inlineStr">
        <is>
          <t>Aug 2021</t>
        </is>
      </c>
      <c r="C10" s="29" t="n">
        <v>200</v>
      </c>
      <c r="D10" s="49" t="n">
        <v>2.4</v>
      </c>
      <c r="E10" s="5" t="n"/>
      <c r="F10" s="5" t="n"/>
      <c r="G10" s="5" t="n"/>
      <c r="H10" s="5" t="inlineStr">
        <is>
          <t>1x non-part.</t>
        </is>
      </c>
      <c r="I10" s="5" t="inlineStr">
        <is>
          <t>SoftBank Vision Fund 2</t>
        </is>
      </c>
    </row>
    <row r="11">
      <c r="A11" s="5" t="inlineStr">
        <is>
          <t>Series F</t>
        </is>
      </c>
      <c r="B11" s="5" t="inlineStr">
        <is>
          <t>Aug 2021</t>
        </is>
      </c>
      <c r="C11" s="29" t="n">
        <v>200</v>
      </c>
      <c r="D11" s="49" t="n">
        <v>3.6</v>
      </c>
      <c r="E11" s="51" t="n">
        <v>4.76</v>
      </c>
      <c r="F11" s="5" t="n"/>
      <c r="G11" s="5" t="n"/>
      <c r="H11" s="5" t="inlineStr">
        <is>
          <t>1x non-part.</t>
        </is>
      </c>
      <c r="I11" s="5" t="inlineStr">
        <is>
          <t>SoftBank Vision Fund 2</t>
        </is>
      </c>
    </row>
    <row r="12">
      <c r="A12" s="5" t="inlineStr">
        <is>
          <t>Mezz/Bridge</t>
        </is>
      </c>
      <c r="B12" s="5" t="inlineStr">
        <is>
          <t>2022-2024</t>
        </is>
      </c>
      <c r="C12" s="29" t="n">
        <v>46</v>
      </c>
      <c r="D12" s="5" t="n"/>
      <c r="E12" s="5" t="n"/>
      <c r="F12" s="5" t="n"/>
      <c r="G12" s="5" t="n"/>
      <c r="H12" s="5" t="inlineStr">
        <is>
          <t>Various</t>
        </is>
      </c>
      <c r="I12" s="5" t="inlineStr">
        <is>
          <t>5 interim rounds (VC + debt)</t>
        </is>
      </c>
    </row>
    <row r="13">
      <c r="A13" s="5" t="inlineStr">
        <is>
          <t>Series G</t>
        </is>
      </c>
      <c r="B13" s="5" t="inlineStr">
        <is>
          <t>Mar 2026</t>
        </is>
      </c>
      <c r="C13" s="29" t="n">
        <v>575</v>
      </c>
      <c r="D13" s="49" t="n">
        <v>10.1</v>
      </c>
      <c r="E13" s="51" t="n">
        <v>11.23</v>
      </c>
      <c r="F13" s="5" t="n"/>
      <c r="G13" s="23" t="n">
        <v>0.057</v>
      </c>
      <c r="H13" s="5" t="inlineStr">
        <is>
          <t>1x non-part.</t>
        </is>
      </c>
      <c r="I13" s="5" t="inlineStr">
        <is>
          <t>Collaborative Fund</t>
        </is>
      </c>
    </row>
    <row r="15">
      <c r="A15" s="4" t="inlineStr">
        <is>
          <t>Total Equity Raised:</t>
        </is>
      </c>
      <c r="C15" s="34" t="n">
        <v>1030</v>
      </c>
    </row>
    <row r="17">
      <c r="A17" s="15" t="inlineStr">
        <is>
          <t>Key Metrics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7" t="inlineStr">
        <is>
          <t>Authorized Preferred Shares</t>
        </is>
      </c>
      <c r="C18" s="5" t="inlineStr">
        <is>
          <t>537.9M</t>
        </is>
      </c>
      <c r="E18" s="10" t="inlineStr">
        <is>
          <t>Pitchbook</t>
        </is>
      </c>
    </row>
    <row r="19">
      <c r="A19" s="7" t="inlineStr">
        <is>
          <t>Outstanding Common Shares</t>
        </is>
      </c>
      <c r="C19" s="5" t="inlineStr">
        <is>
          <t>361.2M</t>
        </is>
      </c>
      <c r="E19" s="10" t="inlineStr">
        <is>
          <t>Pitchbook</t>
        </is>
      </c>
    </row>
    <row r="20">
      <c r="A20" s="7" t="inlineStr">
        <is>
          <t>Fully Diluted Shares (est.)</t>
        </is>
      </c>
      <c r="C20" s="5" t="inlineStr">
        <is>
          <t>~900M</t>
        </is>
      </c>
      <c r="E20" s="10" t="inlineStr">
        <is>
          <t>PremierAlts/Forge</t>
        </is>
      </c>
    </row>
    <row r="21">
      <c r="A21" s="7" t="inlineStr">
        <is>
          <t>Option Pool (est.)</t>
        </is>
      </c>
      <c r="C21" s="5" t="inlineStr">
        <is>
          <t>~10-15% of FD</t>
        </is>
      </c>
      <c r="E21" s="10" t="inlineStr">
        <is>
          <t>Inferred from gap; FLAGGED_GAP</t>
        </is>
      </c>
    </row>
    <row r="22">
      <c r="A22" s="7" t="inlineStr">
        <is>
          <t>All Preferences</t>
        </is>
      </c>
      <c r="C22" s="5" t="inlineStr">
        <is>
          <t>1x non-participating pari passu</t>
        </is>
      </c>
      <c r="E22" s="10" t="inlineStr">
        <is>
          <t>Pitchbook</t>
        </is>
      </c>
    </row>
    <row r="23">
      <c r="A23" s="7" t="inlineStr">
        <is>
          <t>Total Liquidation Preference</t>
        </is>
      </c>
      <c r="C23" s="5" t="inlineStr">
        <is>
          <t>~$1.03B (floor)</t>
        </is>
      </c>
      <c r="E23" s="10" t="inlineStr">
        <is>
          <t>Sum of equity raised × 1x</t>
        </is>
      </c>
    </row>
    <row r="26">
      <c r="A26" s="15" t="inlineStr">
        <is>
          <t>Waterfall at Exit Scenarios (BUILD FORMULAS)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3" t="inlineStr"/>
      <c r="B27" s="13" t="inlineStr"/>
      <c r="C27" s="13" t="inlineStr">
        <is>
          <t>Bear ($5B)</t>
        </is>
      </c>
      <c r="D27" s="13" t="inlineStr"/>
      <c r="E27" s="13" t="inlineStr">
        <is>
          <t>Base ($10B)</t>
        </is>
      </c>
      <c r="F27" s="13" t="inlineStr"/>
      <c r="G27" s="13" t="inlineStr">
        <is>
          <t>Bull ($20B)</t>
        </is>
      </c>
      <c r="H27" s="13" t="inlineStr"/>
      <c r="I27" s="13" t="inlineStr"/>
    </row>
    <row r="28">
      <c r="A28" s="7" t="inlineStr">
        <is>
          <t>Total Exit Proceeds</t>
        </is>
      </c>
      <c r="C28" s="34" t="n"/>
      <c r="E28" s="34" t="n"/>
      <c r="G28" s="34" t="n"/>
    </row>
    <row r="29">
      <c r="A29" s="7" t="inlineStr">
        <is>
          <t>Less: Liquidation Preferences</t>
        </is>
      </c>
      <c r="C29" s="34" t="n"/>
      <c r="E29" s="34" t="n"/>
      <c r="G29" s="34" t="n"/>
    </row>
    <row r="30">
      <c r="A30" s="7" t="inlineStr">
        <is>
          <t>Remaining for Pro-Rata</t>
        </is>
      </c>
      <c r="C30" s="34" t="n"/>
      <c r="E30" s="34" t="n"/>
      <c r="G30" s="34" t="n"/>
    </row>
    <row r="31">
      <c r="A31" s="7" t="inlineStr">
        <is>
          <t>Preferred Conversion Check (convert or take pref?)</t>
        </is>
      </c>
      <c r="C31" s="34" t="n"/>
      <c r="E31" s="34" t="n"/>
      <c r="G31" s="34" t="n"/>
    </row>
    <row r="32">
      <c r="A32" s="7" t="inlineStr">
        <is>
          <t>Common Share Proceeds</t>
        </is>
      </c>
      <c r="C32" s="34" t="n"/>
      <c r="E32" s="34" t="n"/>
      <c r="G32" s="34" t="n"/>
    </row>
    <row r="33">
      <c r="A33" s="7" t="inlineStr">
        <is>
          <t>Common Value per Share</t>
        </is>
      </c>
      <c r="C33" s="34" t="n"/>
      <c r="E33" s="34" t="n"/>
      <c r="G33" s="34" t="n"/>
    </row>
    <row r="34">
      <c r="A34" s="7" t="inlineStr">
        <is>
          <t>Preferred Value per Share</t>
        </is>
      </c>
      <c r="C34" s="34" t="n"/>
      <c r="E34" s="34" t="n"/>
      <c r="G34" s="34" t="n"/>
    </row>
    <row r="35">
      <c r="A35" s="7" t="inlineStr">
        <is>
          <t>Founder Equity Value (est. 12-18% FD)</t>
        </is>
      </c>
      <c r="C35" s="34" t="n"/>
      <c r="E35" s="34" t="n"/>
      <c r="G35" s="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206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WHOOP — Valuation Football Field</t>
        </is>
      </c>
    </row>
    <row r="2">
      <c r="A2" s="14" t="inlineStr">
        <is>
          <t>Populated after DCF is complete</t>
        </is>
      </c>
    </row>
    <row r="4">
      <c r="A4" s="13" t="inlineStr">
        <is>
          <t>Method</t>
        </is>
      </c>
      <c r="B4" s="13" t="inlineStr">
        <is>
          <t>Low ($B)</t>
        </is>
      </c>
      <c r="C4" s="13" t="inlineStr">
        <is>
          <t>Mid ($B)</t>
        </is>
      </c>
      <c r="D4" s="13" t="inlineStr">
        <is>
          <t>High ($B)</t>
        </is>
      </c>
      <c r="E4" s="13" t="inlineStr">
        <is>
          <t>Weight</t>
        </is>
      </c>
      <c r="F4" s="13" t="inlineStr">
        <is>
          <t>Wtd Mid ($B)</t>
        </is>
      </c>
    </row>
    <row r="5">
      <c r="A5" s="7" t="inlineStr">
        <is>
          <t>1. Intrinsic DCF (base case)</t>
        </is>
      </c>
      <c r="B5" s="7" t="n"/>
      <c r="C5" s="7" t="n"/>
      <c r="D5" s="7" t="n"/>
      <c r="E5" s="23" t="n"/>
      <c r="F5" s="7" t="n"/>
    </row>
    <row r="6">
      <c r="A6" s="7" t="inlineStr">
        <is>
          <t xml:space="preserve">   + Real Options</t>
        </is>
      </c>
      <c r="B6" s="7" t="n"/>
      <c r="C6" s="7" t="n"/>
      <c r="D6" s="7" t="n"/>
      <c r="E6" s="23" t="n"/>
      <c r="F6" s="7" t="n"/>
    </row>
    <row r="7">
      <c r="A7" s="7" t="inlineStr">
        <is>
          <t>2. Trading Comps (bucket-wtd)</t>
        </is>
      </c>
      <c r="B7" s="29" t="n">
        <v>5.1</v>
      </c>
      <c r="C7" s="29" t="n">
        <v>5.6</v>
      </c>
      <c r="D7" s="29" t="n">
        <v>5.9</v>
      </c>
      <c r="E7" s="23" t="n"/>
      <c r="F7" s="7" t="n"/>
    </row>
    <row r="8">
      <c r="A8" s="7" t="inlineStr">
        <is>
          <t xml:space="preserve">   + Growth Premium</t>
        </is>
      </c>
      <c r="B8" s="7" t="n"/>
      <c r="C8" s="7" t="n"/>
      <c r="D8" s="7" t="n"/>
      <c r="E8" s="23" t="n"/>
      <c r="F8" s="7" t="n"/>
    </row>
    <row r="9">
      <c r="A9" s="7" t="inlineStr">
        <is>
          <t>3. Precedent Transactions</t>
        </is>
      </c>
      <c r="B9" s="29" t="n">
        <v>5</v>
      </c>
      <c r="C9" s="29" t="n">
        <v>6.5</v>
      </c>
      <c r="D9" s="29" t="n">
        <v>8</v>
      </c>
      <c r="E9" s="23" t="n"/>
      <c r="F9" s="7" t="n"/>
    </row>
    <row r="10">
      <c r="A10" s="7" t="inlineStr">
        <is>
          <t>4. Last-Round Implied</t>
        </is>
      </c>
      <c r="B10" s="29" t="n">
        <v>10.1</v>
      </c>
      <c r="C10" s="29" t="n">
        <v>10.1</v>
      </c>
      <c r="D10" s="29" t="n">
        <v>10.1</v>
      </c>
      <c r="E10" s="23" t="n"/>
      <c r="F10" s="7" t="n"/>
    </row>
    <row r="11">
      <c r="A11" s="7" t="inlineStr">
        <is>
          <t>5. Implied IPO Range</t>
        </is>
      </c>
      <c r="B11" s="7" t="n"/>
      <c r="C11" s="7" t="n"/>
      <c r="D11" s="7" t="n"/>
      <c r="E11" s="23" t="n"/>
      <c r="F11" s="7" t="n"/>
    </row>
    <row r="12">
      <c r="A12" s="7" t="inlineStr"/>
      <c r="B12" s="7" t="n"/>
      <c r="C12" s="7" t="n"/>
      <c r="D12" s="7" t="n"/>
      <c r="E12" s="23" t="n"/>
      <c r="F12" s="7" t="n"/>
    </row>
    <row r="13">
      <c r="A13" s="7" t="inlineStr">
        <is>
          <t>Weighted Average</t>
        </is>
      </c>
      <c r="B13" s="7" t="n"/>
      <c r="C13" s="7" t="n"/>
      <c r="D13" s="7" t="n"/>
      <c r="E13" s="23" t="n"/>
      <c r="F13" s="7" t="n"/>
    </row>
    <row r="14">
      <c r="A14" s="7" t="inlineStr">
        <is>
          <t>Series G Mark</t>
        </is>
      </c>
      <c r="B14" s="29" t="n">
        <v>10.1</v>
      </c>
      <c r="C14" s="29" t="n">
        <v>10.1</v>
      </c>
      <c r="D14" s="29" t="n">
        <v>10.1</v>
      </c>
      <c r="E14" s="23" t="n"/>
      <c r="F14" s="7" t="n"/>
    </row>
    <row r="15">
      <c r="A15" s="7" t="inlineStr">
        <is>
          <t>Premium / (Discount)</t>
        </is>
      </c>
      <c r="B15" s="7" t="n"/>
      <c r="C15" s="7" t="n"/>
      <c r="D15" s="7" t="n"/>
      <c r="E15" s="23" t="n"/>
      <c r="F15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WHOOP — Sensitivity Analysis</t>
        </is>
      </c>
    </row>
    <row r="2">
      <c r="A2" s="14" t="inlineStr">
        <is>
          <t>Build data tables after DCF is complete</t>
        </is>
      </c>
    </row>
    <row r="4">
      <c r="A4" s="15" t="inlineStr">
        <is>
          <t>Grid 1: WACC × Terminal Multiple → Enterprise Value ($B)</t>
        </is>
      </c>
      <c r="B4" s="15" t="n"/>
      <c r="C4" s="15" t="n"/>
      <c r="D4" s="15" t="n"/>
      <c r="E4" s="15" t="n"/>
      <c r="F4" s="15" t="n"/>
      <c r="G4" s="15" t="n"/>
      <c r="H4" s="15" t="n"/>
    </row>
    <row r="5">
      <c r="A5" s="4" t="inlineStr">
        <is>
          <t>WACC ↓ / Terminal EV/Rev →</t>
        </is>
      </c>
      <c r="B5" s="52" t="n">
        <v>3</v>
      </c>
      <c r="C5" s="52" t="n">
        <v>3.5</v>
      </c>
      <c r="D5" s="52" t="n">
        <v>4</v>
      </c>
      <c r="E5" s="52" t="n">
        <v>4.5</v>
      </c>
      <c r="F5" s="52" t="n">
        <v>5</v>
      </c>
      <c r="G5" s="52" t="n">
        <v>5.5</v>
      </c>
      <c r="H5" s="52" t="n">
        <v>6</v>
      </c>
    </row>
    <row r="6">
      <c r="A6" s="53" t="n">
        <v>0.09</v>
      </c>
    </row>
    <row r="7">
      <c r="A7" s="53" t="n">
        <v>0.095</v>
      </c>
    </row>
    <row r="8">
      <c r="A8" s="53" t="n">
        <v>0.1</v>
      </c>
    </row>
    <row r="9">
      <c r="A9" s="53" t="n">
        <v>0.105</v>
      </c>
    </row>
    <row r="10">
      <c r="A10" s="53" t="n">
        <v>0.11</v>
      </c>
    </row>
    <row r="11">
      <c r="A11" s="53" t="n">
        <v>0.115</v>
      </c>
    </row>
    <row r="12">
      <c r="A12" s="53" t="n">
        <v>0.12</v>
      </c>
    </row>
    <row r="15">
      <c r="A15" s="15" t="inlineStr">
        <is>
          <t>Grid 2: Revenue Growth × EBITDA Margin → Enterprise Value ($B)</t>
        </is>
      </c>
      <c r="B15" s="15" t="n"/>
      <c r="C15" s="15" t="n"/>
      <c r="D15" s="15" t="n"/>
      <c r="E15" s="15" t="n"/>
      <c r="F15" s="15" t="n"/>
      <c r="G15" s="15" t="n"/>
      <c r="H15" s="15" t="n"/>
    </row>
    <row r="16">
      <c r="A16" s="4" t="inlineStr">
        <is>
          <t>Growth ↓ / EBITDA Margin →</t>
        </is>
      </c>
      <c r="B16" s="53" t="n">
        <v>0.15</v>
      </c>
      <c r="C16" s="53" t="n">
        <v>0.2</v>
      </c>
      <c r="D16" s="53" t="n">
        <v>0.25</v>
      </c>
      <c r="E16" s="53" t="n">
        <v>0.28</v>
      </c>
      <c r="F16" s="53" t="n">
        <v>0.3</v>
      </c>
      <c r="G16" s="53" t="n">
        <v>0.32</v>
      </c>
      <c r="H16" s="53" t="n">
        <v>0.35</v>
      </c>
    </row>
    <row r="17">
      <c r="A17" s="53" t="n">
        <v>0.5</v>
      </c>
    </row>
    <row r="18">
      <c r="A18" s="53" t="n">
        <v>0.6</v>
      </c>
    </row>
    <row r="19">
      <c r="A19" s="53" t="n">
        <v>0.7</v>
      </c>
    </row>
    <row r="20">
      <c r="A20" s="53" t="n">
        <v>0.8</v>
      </c>
    </row>
    <row r="21">
      <c r="A21" s="53" t="n">
        <v>0.9</v>
      </c>
    </row>
    <row r="22">
      <c r="A22" s="53" t="n">
        <v>1</v>
      </c>
    </row>
    <row r="23">
      <c r="A23" s="53" t="n">
        <v>1.1</v>
      </c>
    </row>
    <row r="26">
      <c r="A26" s="15" t="inlineStr">
        <is>
          <t>Grid 3: Churn Rate × ARPU → WHOOP-Specific Unit Economics</t>
        </is>
      </c>
      <c r="B26" s="15" t="n"/>
      <c r="C26" s="15" t="n"/>
      <c r="D26" s="15" t="n"/>
      <c r="E26" s="15" t="n"/>
      <c r="F26" s="15" t="n"/>
      <c r="G26" s="15" t="n"/>
      <c r="H26" s="15" t="n"/>
    </row>
    <row r="27">
      <c r="A27" s="4" t="inlineStr">
        <is>
          <t>Churn ↓ / ARPU ($/yr) →</t>
        </is>
      </c>
      <c r="B27" s="54" t="n">
        <v>250</v>
      </c>
      <c r="C27" s="54" t="n">
        <v>275</v>
      </c>
      <c r="D27" s="54" t="n">
        <v>300</v>
      </c>
      <c r="E27" s="54" t="n">
        <v>325</v>
      </c>
      <c r="F27" s="54" t="n">
        <v>350</v>
      </c>
      <c r="G27" s="54" t="n">
        <v>375</v>
      </c>
      <c r="H27" s="54" t="n">
        <v>400</v>
      </c>
    </row>
    <row r="28">
      <c r="A28" s="53" t="n">
        <v>0.1</v>
      </c>
    </row>
    <row r="29">
      <c r="A29" s="53" t="n">
        <v>0.13</v>
      </c>
    </row>
    <row r="30">
      <c r="A30" s="53" t="n">
        <v>0.15</v>
      </c>
    </row>
    <row r="31">
      <c r="A31" s="53" t="n">
        <v>0.17</v>
      </c>
    </row>
    <row r="32">
      <c r="A32" s="53" t="n">
        <v>0.2</v>
      </c>
    </row>
    <row r="33">
      <c r="A33" s="53" t="n">
        <v>0.23</v>
      </c>
    </row>
    <row r="34">
      <c r="A34" s="53" t="n">
        <v>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5" customWidth="1" min="3" max="3"/>
  </cols>
  <sheetData>
    <row r="1">
      <c r="A1" s="11" t="inlineStr">
        <is>
          <t>Research File Index</t>
        </is>
      </c>
    </row>
    <row r="3">
      <c r="A3" s="13" t="inlineStr">
        <is>
          <t>File</t>
        </is>
      </c>
      <c r="B3" s="13" t="inlineStr">
        <is>
          <t>Contents</t>
        </is>
      </c>
      <c r="C3" s="13" t="inlineStr">
        <is>
          <t>Session</t>
        </is>
      </c>
    </row>
    <row r="4">
      <c r="A4" s="7" t="inlineStr">
        <is>
          <t>research/whoop-research-brief.md</t>
        </is>
      </c>
      <c r="B4" s="10" t="inlineStr">
        <is>
          <t>Structured research brief</t>
        </is>
      </c>
      <c r="C4" s="10" t="inlineStr">
        <is>
          <t>S0</t>
        </is>
      </c>
    </row>
    <row r="5">
      <c r="A5" s="7" t="inlineStr">
        <is>
          <t>research/whoop-pitchbook-data.md</t>
        </is>
      </c>
      <c r="B5" s="10" t="inlineStr">
        <is>
          <t>Pitchbook: cap table, funding, financials</t>
        </is>
      </c>
      <c r="C5" s="10" t="inlineStr">
        <is>
          <t>S1</t>
        </is>
      </c>
    </row>
    <row r="6">
      <c r="A6" s="7" t="inlineStr">
        <is>
          <t>research/whoop-capiq-data.md</t>
        </is>
      </c>
      <c r="B6" s="10" t="inlineStr">
        <is>
          <t>Cap IQ: dilution waterfall, investors</t>
        </is>
      </c>
      <c r="C6" s="10" t="inlineStr">
        <is>
          <t>S1</t>
        </is>
      </c>
    </row>
    <row r="7">
      <c r="A7" s="7" t="inlineStr">
        <is>
          <t>research/oura-pitchbook-data.md</t>
        </is>
      </c>
      <c r="B7" s="10" t="inlineStr">
        <is>
          <t>Oura private comp profile ($11B)</t>
        </is>
      </c>
      <c r="C7" s="10" t="inlineStr">
        <is>
          <t>S1</t>
        </is>
      </c>
    </row>
    <row r="8">
      <c r="A8" s="7" t="inlineStr">
        <is>
          <t>research/peloton-10k-analysis.md</t>
        </is>
      </c>
      <c r="B8" s="10" t="inlineStr">
        <is>
          <t>Peloton deep dive (revenue, margins, subs)</t>
        </is>
      </c>
      <c r="C8" s="10" t="inlineStr">
        <is>
          <t>S1</t>
        </is>
      </c>
    </row>
    <row r="9">
      <c r="A9" s="7" t="inlineStr">
        <is>
          <t>research/web-research-sweep.md</t>
        </is>
      </c>
      <c r="B9" s="10" t="inlineStr">
        <is>
          <t>Market data, Forge, Garmin, Strava</t>
        </is>
      </c>
      <c r="C9" s="10" t="inlineStr">
        <is>
          <t>S1</t>
        </is>
      </c>
    </row>
    <row r="10">
      <c r="A10" s="7" t="inlineStr">
        <is>
          <t>research/revenue-bookings-reconciliation.md</t>
        </is>
      </c>
      <c r="B10" s="10" t="inlineStr">
        <is>
          <t>$1.1B bookings vs revenue, ARPU, churn grids</t>
        </is>
      </c>
      <c r="C10" s="10" t="inlineStr">
        <is>
          <t>S1</t>
        </is>
      </c>
    </row>
    <row r="11">
      <c r="A11" s="7" t="inlineStr">
        <is>
          <t>research/investor-deep-research.md</t>
        </is>
      </c>
      <c r="B11" s="10" t="inlineStr">
        <is>
          <t>Series G investor analysis</t>
        </is>
      </c>
      <c r="C11" s="10" t="inlineStr">
        <is>
          <t>S1</t>
        </is>
      </c>
    </row>
    <row r="12">
      <c r="A12" s="7" t="inlineStr">
        <is>
          <t>research/stress-test-international-revenue.md</t>
        </is>
      </c>
      <c r="B12" s="10" t="inlineStr">
        <is>
          <t>60% intl claim verification</t>
        </is>
      </c>
      <c r="C12" s="10" t="inlineStr">
        <is>
          <t>S1</t>
        </is>
      </c>
    </row>
    <row r="13">
      <c r="A13" s="7" t="inlineStr">
        <is>
          <t>research/stress-test-revenue-reconciliation.md</t>
        </is>
      </c>
      <c r="B13" s="10" t="inlineStr">
        <is>
          <t>Revenue stress test (base: $650M)</t>
        </is>
      </c>
      <c r="C13" s="10" t="inlineStr">
        <is>
          <t>S1</t>
        </is>
      </c>
    </row>
    <row r="14">
      <c r="A14" s="7" t="inlineStr">
        <is>
          <t>research/comp-dexcom-dxcm.md</t>
        </is>
      </c>
      <c r="B14" s="10" t="inlineStr">
        <is>
          <t>Dexcom 10-K (5yr financials)</t>
        </is>
      </c>
      <c r="C14" s="10" t="inlineStr">
        <is>
          <t>S2</t>
        </is>
      </c>
    </row>
    <row r="15">
      <c r="A15" s="7" t="inlineStr">
        <is>
          <t>research/comp-garmin-grmn.md</t>
        </is>
      </c>
      <c r="B15" s="10" t="inlineStr">
        <is>
          <t>Garmin 10-K (5yr, 5 segments)</t>
        </is>
      </c>
      <c r="C15" s="10" t="inlineStr">
        <is>
          <t>S2</t>
        </is>
      </c>
    </row>
    <row r="16">
      <c r="A16" s="7" t="inlineStr">
        <is>
          <t>research/comp-resmed-rmd.md</t>
        </is>
      </c>
      <c r="B16" s="10" t="inlineStr">
        <is>
          <t>ResMed 10-K (connected device + SaaS)</t>
        </is>
      </c>
      <c r="C16" s="10" t="inlineStr">
        <is>
          <t>S2</t>
        </is>
      </c>
    </row>
    <row r="17">
      <c r="A17" s="7" t="inlineStr">
        <is>
          <t>research/comp-masimo-masi.md</t>
        </is>
      </c>
      <c r="B17" s="10" t="inlineStr">
        <is>
          <t>Masimo 10-K (Danaher deal, Sound United)</t>
        </is>
      </c>
      <c r="C17" s="10" t="inlineStr">
        <is>
          <t>S2</t>
        </is>
      </c>
    </row>
    <row r="18">
      <c r="A18" s="7" t="inlineStr">
        <is>
          <t>research/comp-irhythm-irtc.md</t>
        </is>
      </c>
      <c r="B18" s="10" t="inlineStr">
        <is>
          <t>iRhythm 10-K (cardiac wearable + SaaS)</t>
        </is>
      </c>
      <c r="C18" s="10" t="inlineStr">
        <is>
          <t>S2</t>
        </is>
      </c>
    </row>
    <row r="19">
      <c r="A19" s="7" t="inlineStr">
        <is>
          <t>research/comp-spotify-spot.md</t>
        </is>
      </c>
      <c r="B19" s="10" t="inlineStr">
        <is>
          <t>Spotify 20-F (751M MAU, profitability inflection)</t>
        </is>
      </c>
      <c r="C19" s="10" t="inlineStr">
        <is>
          <t>S2</t>
        </is>
      </c>
    </row>
    <row r="20">
      <c r="A20" s="7" t="inlineStr">
        <is>
          <t>research/comp-peloton-pton.md</t>
        </is>
      </c>
      <c r="B20" s="10" t="inlineStr">
        <is>
          <t>Peloton comp profile (trading multiples)</t>
        </is>
      </c>
      <c r="C20" s="10" t="inlineStr">
        <is>
          <t>S2</t>
        </is>
      </c>
    </row>
    <row r="21">
      <c r="A21" s="7" t="inlineStr">
        <is>
          <t>research/comp-trading-multiples-summary.md</t>
        </is>
      </c>
      <c r="B21" s="10" t="inlineStr">
        <is>
          <t>Master multiples + bucket analysis</t>
        </is>
      </c>
      <c r="C21" s="10" t="inlineStr">
        <is>
          <t>S2</t>
        </is>
      </c>
    </row>
    <row r="22">
      <c r="A22" s="7" t="inlineStr">
        <is>
          <t>research/damodaran-wacc-inputs.md</t>
        </is>
      </c>
      <c r="B22" s="10" t="inlineStr">
        <is>
          <t>ERP 4.23%, betas, risk-free 4.3%</t>
        </is>
      </c>
      <c r="C22" s="10" t="inlineStr">
        <is>
          <t>S2</t>
        </is>
      </c>
    </row>
    <row r="23">
      <c r="A23" s="7" t="inlineStr">
        <is>
          <t>research/comp-historical-multiples-v19.md</t>
        </is>
      </c>
      <c r="B23" s="10" t="inlineStr">
        <is>
          <t>3yr time variance: DXCM 13.8x→5.0x</t>
        </is>
      </c>
      <c r="C23" s="10" t="inlineStr">
        <is>
          <t>S2</t>
        </is>
      </c>
    </row>
    <row r="24">
      <c r="A24" s="7" t="inlineStr">
        <is>
          <t>research/peloton-10k-gaps.md</t>
        </is>
      </c>
      <c r="B24" s="10" t="inlineStr">
        <is>
          <t>S&amp;M/G&amp;A split (XBRL), SBC history</t>
        </is>
      </c>
      <c r="C24" s="10" t="inlineStr">
        <is>
          <t>S2</t>
        </is>
      </c>
    </row>
    <row r="25">
      <c r="A25" s="7" t="inlineStr">
        <is>
          <t>research/secondary-market-pricing.md</t>
        </is>
      </c>
      <c r="B25" s="10" t="inlineStr">
        <is>
          <t>Forge/Hiive/EquityZen, DLOM analysis</t>
        </is>
      </c>
      <c r="C25" s="10" t="inlineStr">
        <is>
          <t>S2</t>
        </is>
      </c>
    </row>
    <row r="26">
      <c r="A26" s="7" t="inlineStr">
        <is>
          <t>research/precedent-transactions.md</t>
        </is>
      </c>
      <c r="B26" s="10" t="inlineStr">
        <is>
          <t>14 deals, 3-bucket M&amp;A analysis</t>
        </is>
      </c>
      <c r="C26" s="10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2026-04-17T03:03:59Z</dcterms:created>
  <dcterms:modified xsi:type="dcterms:W3CDTF">2026-04-17T03:03:59Z</dcterms:modified>
</cp:coreProperties>
</file>