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1.xml" ContentType="application/vnd.openxmlformats-officedocument.drawing+xml"/>
  <Override PartName="/xl/comments1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andonprojects/Downloads/"/>
    </mc:Choice>
  </mc:AlternateContent>
  <xr:revisionPtr revIDLastSave="0" documentId="8_{B000E2B5-9D0B-1A4E-BC50-3951E3E307CC}" xr6:coauthVersionLast="47" xr6:coauthVersionMax="47" xr10:uidLastSave="{00000000-0000-0000-0000-000000000000}"/>
  <bookViews>
    <workbookView xWindow="0" yWindow="600" windowWidth="34200" windowHeight="19800" activeTab="2" xr2:uid="{00000000-000D-0000-FFFF-FFFF00000000}"/>
  </bookViews>
  <sheets>
    <sheet name="Claude Log" sheetId="22" r:id="rId1"/>
    <sheet name="Cover" sheetId="1" r:id="rId2"/>
    <sheet name="Assumptions" sheetId="2" r:id="rId3"/>
    <sheet name="Member Thesis" sheetId="21" r:id="rId4"/>
    <sheet name="Members" sheetId="3" r:id="rId5"/>
    <sheet name="ARPU" sheetId="4" r:id="rId6"/>
    <sheet name="Revenue Build" sheetId="5" r:id="rId7"/>
    <sheet name="P&amp;L" sheetId="6" r:id="rId8"/>
    <sheet name="FCF" sheetId="7" r:id="rId9"/>
    <sheet name="WC &amp; Cash" sheetId="19" r:id="rId10"/>
    <sheet name="WACC Bottom-Up" sheetId="20" r:id="rId11"/>
    <sheet name="DCF" sheetId="8" r:id="rId12"/>
    <sheet name="RealOptions" sheetId="9" r:id="rId13"/>
    <sheet name="Comps" sheetId="10" r:id="rId14"/>
    <sheet name="Precedents" sheetId="11" r:id="rId15"/>
    <sheet name="Cap Table" sheetId="12" r:id="rId16"/>
    <sheet name="Football Field" sheetId="13" r:id="rId17"/>
    <sheet name="Scenarios" sheetId="14" r:id="rId18"/>
    <sheet name="Sensitivity" sheetId="15" r:id="rId19"/>
    <sheet name="Checks" sheetId="16" r:id="rId20"/>
    <sheet name="Sources" sheetId="17" r:id="rId21"/>
    <sheet name="CalibrationLog" sheetId="18" r:id="rId22"/>
  </sheets>
  <definedNames>
    <definedName name="Scenario">Assumptions!$B$3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9" i="9" l="1"/>
  <c r="B106" i="9"/>
  <c r="B105" i="9"/>
  <c r="C104" i="9"/>
  <c r="B104" i="9"/>
  <c r="B103" i="9"/>
  <c r="B102" i="9"/>
  <c r="B95" i="9"/>
  <c r="C95" i="9"/>
  <c r="D95" i="9"/>
  <c r="E95" i="9"/>
  <c r="F95" i="9"/>
  <c r="B96" i="9"/>
  <c r="C96" i="9"/>
  <c r="D96" i="9"/>
  <c r="E96" i="9"/>
  <c r="F96" i="9"/>
  <c r="B97" i="9"/>
  <c r="C97" i="9"/>
  <c r="D97" i="9"/>
  <c r="E97" i="9"/>
  <c r="F97" i="9"/>
  <c r="B98" i="9"/>
  <c r="C98" i="9"/>
  <c r="D98" i="9"/>
  <c r="E98" i="9"/>
  <c r="F98" i="9"/>
  <c r="B99" i="9"/>
  <c r="C99" i="9"/>
  <c r="D99" i="9"/>
  <c r="E99" i="9"/>
  <c r="F99" i="9"/>
  <c r="E88" i="9"/>
  <c r="D88" i="9"/>
  <c r="C88" i="9"/>
  <c r="E87" i="9"/>
  <c r="D87" i="9"/>
  <c r="C87" i="9"/>
  <c r="B87" i="9"/>
  <c r="E86" i="9"/>
  <c r="D86" i="9"/>
  <c r="C86" i="9"/>
  <c r="B86" i="9"/>
  <c r="E85" i="9"/>
  <c r="D85" i="9"/>
  <c r="C85" i="9"/>
  <c r="B85" i="9"/>
  <c r="B39" i="9"/>
  <c r="B38" i="9"/>
  <c r="A85" i="15"/>
  <c r="D83" i="15"/>
  <c r="C83" i="15"/>
  <c r="E83" i="15" s="1"/>
  <c r="E82" i="15"/>
  <c r="G82" i="15" s="1"/>
  <c r="D82" i="15"/>
  <c r="C82" i="15"/>
  <c r="C81" i="15"/>
  <c r="D81" i="15" s="1"/>
  <c r="E80" i="15"/>
  <c r="G80" i="15" s="1"/>
  <c r="D80" i="15"/>
  <c r="C80" i="15"/>
  <c r="C79" i="15"/>
  <c r="D79" i="15" s="1"/>
  <c r="E78" i="15"/>
  <c r="F78" i="15" s="1"/>
  <c r="D78" i="15"/>
  <c r="C78" i="15"/>
  <c r="B80" i="15"/>
  <c r="A72" i="15"/>
  <c r="F70" i="15"/>
  <c r="E70" i="15"/>
  <c r="D70" i="15"/>
  <c r="C70" i="15"/>
  <c r="B70" i="15"/>
  <c r="F69" i="15"/>
  <c r="E69" i="15"/>
  <c r="D69" i="15"/>
  <c r="C69" i="15"/>
  <c r="B69" i="15"/>
  <c r="F68" i="15"/>
  <c r="E68" i="15"/>
  <c r="D68" i="15"/>
  <c r="C68" i="15"/>
  <c r="B68" i="15"/>
  <c r="F67" i="15"/>
  <c r="E67" i="15"/>
  <c r="D67" i="15"/>
  <c r="C67" i="15"/>
  <c r="B67" i="15"/>
  <c r="F66" i="15"/>
  <c r="E66" i="15"/>
  <c r="D66" i="15"/>
  <c r="C66" i="15"/>
  <c r="B66" i="15"/>
  <c r="A48" i="15"/>
  <c r="F17" i="14"/>
  <c r="D17" i="14"/>
  <c r="C17" i="14"/>
  <c r="B17" i="14"/>
  <c r="E9" i="14"/>
  <c r="D9" i="14"/>
  <c r="C9" i="14"/>
  <c r="B9" i="14"/>
  <c r="E6" i="14"/>
  <c r="D6" i="14"/>
  <c r="C6" i="14"/>
  <c r="B6" i="14"/>
  <c r="E5" i="14"/>
  <c r="D5" i="14"/>
  <c r="C5" i="14"/>
  <c r="B5" i="14"/>
  <c r="E18" i="14" s="1"/>
  <c r="H18" i="14" s="1"/>
  <c r="C72" i="1"/>
  <c r="C70" i="1"/>
  <c r="C69" i="1"/>
  <c r="C68" i="1"/>
  <c r="C67" i="1"/>
  <c r="C186" i="2"/>
  <c r="B186" i="2"/>
  <c r="A186" i="2"/>
  <c r="E65" i="8"/>
  <c r="D65" i="8"/>
  <c r="D69" i="8" s="1"/>
  <c r="C65" i="8"/>
  <c r="C71" i="1" s="1"/>
  <c r="B65" i="8"/>
  <c r="B69" i="8" s="1"/>
  <c r="F63" i="8"/>
  <c r="F62" i="8"/>
  <c r="F61" i="8"/>
  <c r="F60" i="8"/>
  <c r="I2" i="2"/>
  <c r="D186" i="2" s="1"/>
  <c r="J176" i="2"/>
  <c r="F176" i="2" s="1"/>
  <c r="J175" i="2"/>
  <c r="F175" i="2" s="1"/>
  <c r="J174" i="2"/>
  <c r="F174" i="2" s="1"/>
  <c r="J173" i="2"/>
  <c r="F173" i="2" s="1"/>
  <c r="J172" i="2"/>
  <c r="F172" i="2" s="1"/>
  <c r="J171" i="2"/>
  <c r="F171" i="2" s="1"/>
  <c r="J170" i="2"/>
  <c r="F170" i="2" s="1"/>
  <c r="J169" i="2"/>
  <c r="F169" i="2" s="1"/>
  <c r="J79" i="2"/>
  <c r="F79" i="2" s="1"/>
  <c r="J73" i="2"/>
  <c r="F73" i="2" s="1"/>
  <c r="J38" i="2"/>
  <c r="F38" i="2" s="1"/>
  <c r="J37" i="2"/>
  <c r="F37" i="2" s="1"/>
  <c r="J36" i="2"/>
  <c r="F36" i="2" s="1"/>
  <c r="J21" i="2"/>
  <c r="F21" i="2" s="1"/>
  <c r="J20" i="2"/>
  <c r="F20" i="2" s="1"/>
  <c r="J19" i="2"/>
  <c r="F19" i="2" s="1"/>
  <c r="B109" i="21"/>
  <c r="C93" i="21"/>
  <c r="D93" i="21" s="1"/>
  <c r="B78" i="21"/>
  <c r="B19" i="21" s="1"/>
  <c r="J60" i="21"/>
  <c r="D65" i="21" s="1"/>
  <c r="B55" i="21"/>
  <c r="B57" i="21" s="1"/>
  <c r="B60" i="21" s="1"/>
  <c r="B65" i="21" s="1"/>
  <c r="F54" i="21"/>
  <c r="F60" i="21" s="1"/>
  <c r="C65" i="21" s="1"/>
  <c r="B43" i="21"/>
  <c r="B17" i="21" s="1"/>
  <c r="B30" i="21"/>
  <c r="B16" i="21" s="1"/>
  <c r="C17" i="19"/>
  <c r="L23" i="20"/>
  <c r="L22" i="20"/>
  <c r="L21" i="20"/>
  <c r="L20" i="20"/>
  <c r="L19" i="20"/>
  <c r="L18" i="20"/>
  <c r="L17" i="20"/>
  <c r="F165" i="2"/>
  <c r="F164" i="2"/>
  <c r="F126" i="2"/>
  <c r="F125" i="2"/>
  <c r="E178" i="2"/>
  <c r="D13" i="9" s="1"/>
  <c r="D178" i="2"/>
  <c r="C13" i="9" s="1"/>
  <c r="C178" i="2"/>
  <c r="B13" i="9" s="1"/>
  <c r="G104" i="20"/>
  <c r="F104" i="20"/>
  <c r="E104" i="20"/>
  <c r="D104" i="20"/>
  <c r="C104" i="20"/>
  <c r="B104" i="20"/>
  <c r="G103" i="20"/>
  <c r="F103" i="20"/>
  <c r="E103" i="20"/>
  <c r="D103" i="20"/>
  <c r="C103" i="20"/>
  <c r="B103" i="20"/>
  <c r="D102" i="20"/>
  <c r="C102" i="20"/>
  <c r="B102" i="20"/>
  <c r="D101" i="20"/>
  <c r="C101" i="20"/>
  <c r="B101" i="20"/>
  <c r="G100" i="20"/>
  <c r="F100" i="20"/>
  <c r="E100" i="20"/>
  <c r="D100" i="20"/>
  <c r="C100" i="20"/>
  <c r="B100" i="20"/>
  <c r="D90" i="20"/>
  <c r="C90" i="20"/>
  <c r="B90" i="20"/>
  <c r="D86" i="20"/>
  <c r="C86" i="20"/>
  <c r="D85" i="20"/>
  <c r="C85" i="20"/>
  <c r="D84" i="20"/>
  <c r="C84" i="20"/>
  <c r="C80" i="20"/>
  <c r="C71" i="20"/>
  <c r="C70" i="20"/>
  <c r="C69" i="20"/>
  <c r="C66" i="20"/>
  <c r="I52" i="20"/>
  <c r="D52" i="20"/>
  <c r="C52" i="20"/>
  <c r="B52" i="20"/>
  <c r="I51" i="20"/>
  <c r="D51" i="20"/>
  <c r="C51" i="20"/>
  <c r="B51" i="20"/>
  <c r="I50" i="20"/>
  <c r="D50" i="20"/>
  <c r="C50" i="20"/>
  <c r="B50" i="20"/>
  <c r="I23" i="20"/>
  <c r="I22" i="20"/>
  <c r="I21" i="20"/>
  <c r="I20" i="20"/>
  <c r="I19" i="20"/>
  <c r="I18" i="20"/>
  <c r="I17" i="20"/>
  <c r="F60" i="2"/>
  <c r="F53" i="2"/>
  <c r="I14" i="13"/>
  <c r="B117" i="10"/>
  <c r="D116" i="10"/>
  <c r="C116" i="10"/>
  <c r="B116" i="10"/>
  <c r="D115" i="10"/>
  <c r="C115" i="10"/>
  <c r="B115" i="10"/>
  <c r="D114" i="10"/>
  <c r="C114" i="10"/>
  <c r="B114" i="10"/>
  <c r="D113" i="10"/>
  <c r="C113" i="10"/>
  <c r="B113" i="10"/>
  <c r="D112" i="10"/>
  <c r="C112" i="10"/>
  <c r="B112" i="10"/>
  <c r="D111" i="10"/>
  <c r="C111" i="10"/>
  <c r="B111" i="10"/>
  <c r="D110" i="10"/>
  <c r="C110" i="10"/>
  <c r="B110" i="10"/>
  <c r="D109" i="10"/>
  <c r="C109" i="10"/>
  <c r="B109" i="10"/>
  <c r="D108" i="10"/>
  <c r="C108" i="10"/>
  <c r="B108" i="10"/>
  <c r="F102" i="10"/>
  <c r="F101" i="10"/>
  <c r="F100" i="10"/>
  <c r="F99" i="10"/>
  <c r="B91" i="10"/>
  <c r="B82" i="10"/>
  <c r="B81" i="10"/>
  <c r="B74" i="10"/>
  <c r="D62" i="10"/>
  <c r="E93" i="10" s="1"/>
  <c r="C62" i="10"/>
  <c r="B62" i="10"/>
  <c r="D61" i="10"/>
  <c r="E90" i="10" s="1"/>
  <c r="C61" i="10"/>
  <c r="C65" i="10" s="1"/>
  <c r="B61" i="10"/>
  <c r="B65" i="10" s="1"/>
  <c r="D51" i="10"/>
  <c r="D93" i="10" s="1"/>
  <c r="C51" i="10"/>
  <c r="B51" i="10"/>
  <c r="D50" i="10"/>
  <c r="D91" i="10" s="1"/>
  <c r="C50" i="10"/>
  <c r="C54" i="10" s="1"/>
  <c r="B50" i="10"/>
  <c r="B54" i="10" s="1"/>
  <c r="D40" i="10"/>
  <c r="C93" i="10" s="1"/>
  <c r="C40" i="10"/>
  <c r="B40" i="10"/>
  <c r="D39" i="10"/>
  <c r="C91" i="10" s="1"/>
  <c r="C39" i="10"/>
  <c r="C43" i="10" s="1"/>
  <c r="B39" i="10"/>
  <c r="B43" i="10" s="1"/>
  <c r="I29" i="10"/>
  <c r="I28" i="10"/>
  <c r="I27" i="10"/>
  <c r="I26" i="10"/>
  <c r="I25" i="10"/>
  <c r="I24" i="10"/>
  <c r="I23" i="10"/>
  <c r="I22" i="10"/>
  <c r="I21" i="10"/>
  <c r="I20" i="10"/>
  <c r="I19" i="10"/>
  <c r="B35" i="9"/>
  <c r="D25" i="9"/>
  <c r="C25" i="9"/>
  <c r="B25" i="9"/>
  <c r="D20" i="9"/>
  <c r="C20" i="9"/>
  <c r="B20" i="9"/>
  <c r="D17" i="9"/>
  <c r="C17" i="9"/>
  <c r="B17" i="9"/>
  <c r="D14" i="9"/>
  <c r="C14" i="9"/>
  <c r="B14" i="9"/>
  <c r="D7" i="9"/>
  <c r="D30" i="9" s="1"/>
  <c r="C7" i="9"/>
  <c r="C8" i="9" s="1"/>
  <c r="B7" i="9"/>
  <c r="B8" i="9" s="1"/>
  <c r="E162" i="2"/>
  <c r="D162" i="2"/>
  <c r="C162" i="2"/>
  <c r="F161" i="2"/>
  <c r="F160" i="2"/>
  <c r="F159" i="2"/>
  <c r="F158" i="2"/>
  <c r="F157" i="2"/>
  <c r="F153" i="2"/>
  <c r="F152" i="2"/>
  <c r="C17" i="5"/>
  <c r="D32" i="4"/>
  <c r="D8" i="4" s="1"/>
  <c r="D10" i="4" s="1"/>
  <c r="D30" i="4"/>
  <c r="D21" i="4"/>
  <c r="D33" i="4" s="1"/>
  <c r="F123" i="2"/>
  <c r="F151" i="2"/>
  <c r="D9" i="4" s="1"/>
  <c r="G83" i="15" l="1"/>
  <c r="F83" i="15"/>
  <c r="F82" i="15"/>
  <c r="G78" i="15"/>
  <c r="E79" i="15"/>
  <c r="E81" i="15"/>
  <c r="F80" i="15"/>
  <c r="E17" i="14"/>
  <c r="E16" i="14"/>
  <c r="H16" i="14" s="1"/>
  <c r="H17" i="14"/>
  <c r="G17" i="14"/>
  <c r="G18" i="14"/>
  <c r="B16" i="16"/>
  <c r="D16" i="16" s="1"/>
  <c r="C74" i="1"/>
  <c r="C69" i="8"/>
  <c r="B68" i="8"/>
  <c r="C68" i="8"/>
  <c r="D68" i="8"/>
  <c r="F65" i="8"/>
  <c r="C73" i="1"/>
  <c r="C94" i="21"/>
  <c r="C121" i="10"/>
  <c r="C120" i="10"/>
  <c r="E93" i="21"/>
  <c r="D94" i="21"/>
  <c r="F65" i="21"/>
  <c r="E65" i="21"/>
  <c r="B67" i="21" s="1"/>
  <c r="B18" i="21" s="1"/>
  <c r="F162" i="2"/>
  <c r="B10" i="16" s="1"/>
  <c r="D10" i="16" s="1"/>
  <c r="D11" i="2"/>
  <c r="F11" i="2" s="1"/>
  <c r="B7" i="21" s="1"/>
  <c r="D34" i="4"/>
  <c r="D35" i="4" s="1"/>
  <c r="D36" i="4" s="1"/>
  <c r="B14" i="16" s="1"/>
  <c r="D14" i="16" s="1"/>
  <c r="D17" i="5"/>
  <c r="D65" i="10"/>
  <c r="E91" i="10"/>
  <c r="D54" i="10"/>
  <c r="F91" i="10"/>
  <c r="D43" i="10"/>
  <c r="C92" i="10"/>
  <c r="D92" i="10"/>
  <c r="C90" i="10"/>
  <c r="E92" i="10"/>
  <c r="D90" i="10"/>
  <c r="B30" i="9"/>
  <c r="F178" i="2"/>
  <c r="C30" i="9"/>
  <c r="B106" i="20"/>
  <c r="D106" i="20"/>
  <c r="D8" i="9"/>
  <c r="C106" i="20"/>
  <c r="E10" i="4"/>
  <c r="E37" i="4" s="1"/>
  <c r="L54" i="3"/>
  <c r="K54" i="3"/>
  <c r="J54" i="3"/>
  <c r="I54" i="3"/>
  <c r="H54" i="3"/>
  <c r="G54" i="3"/>
  <c r="F54" i="3"/>
  <c r="E54" i="3"/>
  <c r="N17" i="20"/>
  <c r="M17" i="20"/>
  <c r="N18" i="20"/>
  <c r="M18" i="20"/>
  <c r="N19" i="20"/>
  <c r="M19" i="20"/>
  <c r="D31" i="20" s="1"/>
  <c r="N20" i="20"/>
  <c r="M20" i="20"/>
  <c r="N21" i="20"/>
  <c r="M21" i="20"/>
  <c r="N22" i="20"/>
  <c r="M22" i="20"/>
  <c r="N23" i="20"/>
  <c r="M23" i="20"/>
  <c r="D71" i="20"/>
  <c r="E71" i="20" s="1"/>
  <c r="D70" i="20"/>
  <c r="E70" i="20" s="1"/>
  <c r="D69" i="20"/>
  <c r="E69" i="20" s="1"/>
  <c r="H100" i="20"/>
  <c r="H103" i="20"/>
  <c r="C111" i="20"/>
  <c r="H104" i="20"/>
  <c r="D17" i="13"/>
  <c r="E11" i="13"/>
  <c r="D11" i="13"/>
  <c r="D34" i="13" s="1"/>
  <c r="C11" i="13"/>
  <c r="B34" i="13" s="1"/>
  <c r="F48" i="2"/>
  <c r="C49" i="6"/>
  <c r="D46" i="6" s="1"/>
  <c r="F67" i="2"/>
  <c r="D39" i="6" s="1"/>
  <c r="E31" i="19"/>
  <c r="D31" i="19"/>
  <c r="D30" i="19"/>
  <c r="C45" i="1"/>
  <c r="C34" i="1"/>
  <c r="F150" i="2"/>
  <c r="F149" i="2"/>
  <c r="F148" i="2"/>
  <c r="F145" i="2"/>
  <c r="F144" i="2"/>
  <c r="F141" i="2"/>
  <c r="F140" i="2"/>
  <c r="F139" i="2"/>
  <c r="F138" i="2"/>
  <c r="F135" i="2"/>
  <c r="F134" i="2"/>
  <c r="F133" i="2"/>
  <c r="F132" i="2"/>
  <c r="F131" i="2"/>
  <c r="D48" i="3"/>
  <c r="D50" i="3" s="1"/>
  <c r="F124" i="2"/>
  <c r="F122" i="2"/>
  <c r="F119" i="2"/>
  <c r="F118" i="2"/>
  <c r="C10" i="5"/>
  <c r="C9" i="5"/>
  <c r="F103" i="2"/>
  <c r="F102" i="2"/>
  <c r="F101" i="2"/>
  <c r="F100" i="2"/>
  <c r="F99" i="2"/>
  <c r="F98" i="2"/>
  <c r="E95" i="2"/>
  <c r="D95" i="2"/>
  <c r="C95" i="2"/>
  <c r="F94" i="2"/>
  <c r="F92" i="2"/>
  <c r="F91" i="2"/>
  <c r="E88" i="2"/>
  <c r="D88" i="2"/>
  <c r="C88" i="2"/>
  <c r="F87" i="2"/>
  <c r="F86" i="2"/>
  <c r="F85" i="2"/>
  <c r="F82" i="2"/>
  <c r="F81" i="2"/>
  <c r="F80" i="2"/>
  <c r="C21" i="8"/>
  <c r="F78" i="2"/>
  <c r="E74" i="2"/>
  <c r="D74" i="2"/>
  <c r="C74" i="2"/>
  <c r="F72" i="2"/>
  <c r="F71" i="2"/>
  <c r="F70" i="2"/>
  <c r="F69" i="2"/>
  <c r="F65" i="2"/>
  <c r="E64" i="2"/>
  <c r="D64" i="2"/>
  <c r="C64" i="2"/>
  <c r="F63" i="2"/>
  <c r="F62" i="2"/>
  <c r="F61" i="2"/>
  <c r="F59" i="2"/>
  <c r="F58" i="2"/>
  <c r="F57" i="2"/>
  <c r="F56" i="2"/>
  <c r="F55" i="2"/>
  <c r="C39" i="8" s="1"/>
  <c r="F52" i="2"/>
  <c r="F51" i="2"/>
  <c r="F50" i="2"/>
  <c r="F49" i="2"/>
  <c r="F47" i="2"/>
  <c r="F46" i="2"/>
  <c r="F45" i="2"/>
  <c r="F44" i="2"/>
  <c r="F43" i="2"/>
  <c r="F42" i="2"/>
  <c r="F41" i="2"/>
  <c r="F40" i="2"/>
  <c r="F39" i="2"/>
  <c r="F35" i="2"/>
  <c r="F34" i="2"/>
  <c r="F33" i="2"/>
  <c r="F32" i="2"/>
  <c r="F31" i="2"/>
  <c r="F28" i="2"/>
  <c r="F27" i="2"/>
  <c r="F26" i="2"/>
  <c r="F25" i="2"/>
  <c r="F24" i="2"/>
  <c r="F23" i="2"/>
  <c r="E17" i="3"/>
  <c r="G16" i="3"/>
  <c r="I15" i="3"/>
  <c r="F18" i="2"/>
  <c r="F17" i="2"/>
  <c r="F16" i="2"/>
  <c r="F15" i="2"/>
  <c r="F14" i="2"/>
  <c r="F13" i="2"/>
  <c r="E10" i="2"/>
  <c r="E12" i="2" s="1"/>
  <c r="D10" i="2"/>
  <c r="C10" i="2"/>
  <c r="C12" i="2" s="1"/>
  <c r="F9" i="2"/>
  <c r="F8" i="2"/>
  <c r="D9" i="3" s="1"/>
  <c r="G81" i="15" l="1"/>
  <c r="F81" i="15"/>
  <c r="G79" i="15"/>
  <c r="F79" i="15"/>
  <c r="G16" i="14"/>
  <c r="C12" i="13"/>
  <c r="B35" i="13" s="1"/>
  <c r="B10" i="14"/>
  <c r="C8" i="13"/>
  <c r="B33" i="13" s="1"/>
  <c r="B7" i="14"/>
  <c r="E12" i="13"/>
  <c r="D10" i="14"/>
  <c r="F95" i="2"/>
  <c r="C10" i="14"/>
  <c r="C122" i="10"/>
  <c r="F64" i="2"/>
  <c r="F88" i="2"/>
  <c r="B7" i="16" s="1"/>
  <c r="D7" i="16" s="1"/>
  <c r="B83" i="21"/>
  <c r="B82" i="21"/>
  <c r="F93" i="21"/>
  <c r="E94" i="21"/>
  <c r="B20" i="21"/>
  <c r="B100" i="21"/>
  <c r="E34" i="13"/>
  <c r="E33" i="13"/>
  <c r="E32" i="13"/>
  <c r="E31" i="13"/>
  <c r="E35" i="13"/>
  <c r="H11" i="13"/>
  <c r="F74" i="2"/>
  <c r="B11" i="16" s="1"/>
  <c r="D11" i="16" s="1"/>
  <c r="C79" i="20"/>
  <c r="C81" i="20" s="1"/>
  <c r="G17" i="13"/>
  <c r="F10" i="4"/>
  <c r="C36" i="8"/>
  <c r="C38" i="1" s="1"/>
  <c r="L47" i="3"/>
  <c r="K47" i="3"/>
  <c r="J47" i="3"/>
  <c r="I47" i="3"/>
  <c r="H47" i="3"/>
  <c r="G47" i="3"/>
  <c r="F47" i="3"/>
  <c r="E47" i="3"/>
  <c r="E61" i="3" s="1"/>
  <c r="G101" i="20"/>
  <c r="F101" i="20"/>
  <c r="E101" i="20"/>
  <c r="F32" i="20"/>
  <c r="E32" i="20"/>
  <c r="D32" i="20"/>
  <c r="C32" i="20"/>
  <c r="F52" i="20"/>
  <c r="F51" i="20"/>
  <c r="F50" i="20"/>
  <c r="B41" i="20"/>
  <c r="F41" i="20" s="1"/>
  <c r="F31" i="20"/>
  <c r="E31" i="20"/>
  <c r="C31" i="20"/>
  <c r="F30" i="20"/>
  <c r="E30" i="20"/>
  <c r="D30" i="20"/>
  <c r="C30" i="20"/>
  <c r="D12" i="13"/>
  <c r="D35" i="13" s="1"/>
  <c r="E17" i="5"/>
  <c r="F11" i="13"/>
  <c r="J11" i="13"/>
  <c r="G11" i="13"/>
  <c r="F12" i="13"/>
  <c r="F10" i="2"/>
  <c r="D12" i="2"/>
  <c r="F12" i="2" s="1"/>
  <c r="D40" i="4" s="1"/>
  <c r="C28" i="15"/>
  <c r="D28" i="15"/>
  <c r="E28" i="15"/>
  <c r="F28" i="15"/>
  <c r="C29" i="15"/>
  <c r="D29" i="15"/>
  <c r="E29" i="15"/>
  <c r="F29" i="15"/>
  <c r="C30" i="15"/>
  <c r="D30" i="15"/>
  <c r="E30" i="15"/>
  <c r="F30" i="15"/>
  <c r="C31" i="15"/>
  <c r="D31" i="15"/>
  <c r="E31" i="15"/>
  <c r="F31" i="15"/>
  <c r="C32" i="15"/>
  <c r="D32" i="15"/>
  <c r="E32" i="15"/>
  <c r="F32" i="15"/>
  <c r="B29" i="15"/>
  <c r="B30" i="15"/>
  <c r="B31" i="15"/>
  <c r="B32" i="15"/>
  <c r="B28" i="15"/>
  <c r="D9" i="5"/>
  <c r="D12" i="3"/>
  <c r="J15" i="3"/>
  <c r="H16" i="3"/>
  <c r="F17" i="3"/>
  <c r="C15" i="3"/>
  <c r="C20" i="3" s="1"/>
  <c r="K15" i="3"/>
  <c r="I16" i="3"/>
  <c r="G17" i="3"/>
  <c r="D15" i="3"/>
  <c r="D20" i="3" s="1"/>
  <c r="L15" i="3"/>
  <c r="J16" i="3"/>
  <c r="H17" i="3"/>
  <c r="E15" i="3"/>
  <c r="C16" i="3"/>
  <c r="C21" i="3" s="1"/>
  <c r="C27" i="3" s="1"/>
  <c r="K16" i="3"/>
  <c r="I17" i="3"/>
  <c r="F15" i="3"/>
  <c r="D16" i="3"/>
  <c r="D21" i="3" s="1"/>
  <c r="D27" i="3" s="1"/>
  <c r="L16" i="3"/>
  <c r="J17" i="3"/>
  <c r="G15" i="3"/>
  <c r="E16" i="3"/>
  <c r="C17" i="3"/>
  <c r="C22" i="3" s="1"/>
  <c r="K17" i="3"/>
  <c r="H15" i="3"/>
  <c r="F16" i="3"/>
  <c r="D17" i="3"/>
  <c r="L17" i="3"/>
  <c r="C36" i="13" l="1"/>
  <c r="B36" i="13"/>
  <c r="F8" i="13"/>
  <c r="H12" i="13"/>
  <c r="C35" i="13"/>
  <c r="C18" i="21"/>
  <c r="D18" i="21" s="1"/>
  <c r="C17" i="21"/>
  <c r="D17" i="21" s="1"/>
  <c r="C19" i="21"/>
  <c r="D19" i="21" s="1"/>
  <c r="C16" i="21"/>
  <c r="D16" i="21" s="1"/>
  <c r="B84" i="21"/>
  <c r="B101" i="21"/>
  <c r="B103" i="21" s="1"/>
  <c r="F179" i="2"/>
  <c r="C20" i="21"/>
  <c r="D20" i="21" s="1"/>
  <c r="G93" i="21"/>
  <c r="F94" i="21"/>
  <c r="B85" i="21"/>
  <c r="G12" i="13"/>
  <c r="J12" i="13"/>
  <c r="F61" i="3"/>
  <c r="D36" i="13"/>
  <c r="E86" i="20"/>
  <c r="F86" i="20" s="1"/>
  <c r="E84" i="20"/>
  <c r="F84" i="20" s="1"/>
  <c r="E85" i="20"/>
  <c r="F85" i="20" s="1"/>
  <c r="C26" i="9"/>
  <c r="C27" i="9" s="1"/>
  <c r="B26" i="9"/>
  <c r="B27" i="9" s="1"/>
  <c r="D26" i="9"/>
  <c r="D27" i="9" s="1"/>
  <c r="K50" i="20"/>
  <c r="K51" i="20"/>
  <c r="K52" i="20"/>
  <c r="E52" i="20"/>
  <c r="E51" i="20"/>
  <c r="E50" i="20"/>
  <c r="B40" i="20"/>
  <c r="F40" i="20" s="1"/>
  <c r="G30" i="20"/>
  <c r="G31" i="20"/>
  <c r="G52" i="20"/>
  <c r="G51" i="20"/>
  <c r="G50" i="20"/>
  <c r="B42" i="20"/>
  <c r="F42" i="20" s="1"/>
  <c r="G32" i="20"/>
  <c r="C110" i="20"/>
  <c r="H101" i="20"/>
  <c r="F17" i="5"/>
  <c r="G10" i="4"/>
  <c r="G61" i="3" s="1"/>
  <c r="C28" i="3"/>
  <c r="D26" i="3"/>
  <c r="D22" i="3"/>
  <c r="D28" i="3" s="1"/>
  <c r="C26" i="3"/>
  <c r="C23" i="3"/>
  <c r="H93" i="21" l="1"/>
  <c r="G94" i="21"/>
  <c r="C34" i="3"/>
  <c r="C35" i="3" s="1"/>
  <c r="C13" i="5" s="1"/>
  <c r="H50" i="20"/>
  <c r="H51" i="20"/>
  <c r="H52" i="20"/>
  <c r="H10" i="4"/>
  <c r="H61" i="3" s="1"/>
  <c r="G17" i="5"/>
  <c r="E12" i="3"/>
  <c r="D31" i="3"/>
  <c r="D13" i="6" s="1"/>
  <c r="E11" i="3"/>
  <c r="D23" i="3"/>
  <c r="C11" i="5"/>
  <c r="C40" i="3"/>
  <c r="C14" i="5"/>
  <c r="C38" i="3"/>
  <c r="C12" i="5" l="1"/>
  <c r="C25" i="5" s="1"/>
  <c r="H94" i="21"/>
  <c r="I93" i="21"/>
  <c r="G102" i="20"/>
  <c r="G106" i="20" s="1"/>
  <c r="E75" i="2" s="1"/>
  <c r="J52" i="20"/>
  <c r="F102" i="20"/>
  <c r="J51" i="20"/>
  <c r="E102" i="20"/>
  <c r="E106" i="20" s="1"/>
  <c r="C75" i="2" s="1"/>
  <c r="J50" i="20"/>
  <c r="H17" i="5"/>
  <c r="I10" i="4"/>
  <c r="I61" i="3" s="1"/>
  <c r="C20" i="5"/>
  <c r="D10" i="5"/>
  <c r="D38" i="3"/>
  <c r="E10" i="3"/>
  <c r="D40" i="3"/>
  <c r="D14" i="5"/>
  <c r="D11" i="5"/>
  <c r="E21" i="3"/>
  <c r="E27" i="3" s="1"/>
  <c r="D34" i="3"/>
  <c r="E22" i="3"/>
  <c r="C26" i="5" l="1"/>
  <c r="I94" i="21"/>
  <c r="J93" i="21"/>
  <c r="D17" i="19"/>
  <c r="D23" i="19" s="1"/>
  <c r="E34" i="3"/>
  <c r="C109" i="20"/>
  <c r="C112" i="20" s="1"/>
  <c r="H102" i="20"/>
  <c r="F106" i="20"/>
  <c r="J10" i="4"/>
  <c r="J61" i="3" s="1"/>
  <c r="I17" i="5"/>
  <c r="E49" i="3"/>
  <c r="E64" i="3" s="1"/>
  <c r="C21" i="5"/>
  <c r="C8" i="6"/>
  <c r="E28" i="3"/>
  <c r="F12" i="3" s="1"/>
  <c r="E20" i="3"/>
  <c r="E23" i="3" s="1"/>
  <c r="D39" i="3"/>
  <c r="D12" i="5"/>
  <c r="D25" i="5" s="1"/>
  <c r="D41" i="3"/>
  <c r="E9" i="3"/>
  <c r="D35" i="3"/>
  <c r="K93" i="21" l="1"/>
  <c r="B102" i="21"/>
  <c r="J94" i="21"/>
  <c r="H106" i="20"/>
  <c r="D75" i="2"/>
  <c r="F75" i="2" s="1"/>
  <c r="F34" i="3"/>
  <c r="G34" i="3" s="1"/>
  <c r="H34" i="3" s="1"/>
  <c r="I34" i="3" s="1"/>
  <c r="J34" i="3" s="1"/>
  <c r="K34" i="3" s="1"/>
  <c r="L34" i="3" s="1"/>
  <c r="E31" i="3"/>
  <c r="E50" i="3" s="1"/>
  <c r="D39" i="4"/>
  <c r="D41" i="4" s="1"/>
  <c r="D42" i="4" s="1"/>
  <c r="K10" i="4"/>
  <c r="K61" i="3" s="1"/>
  <c r="J17" i="5"/>
  <c r="D13" i="5"/>
  <c r="E14" i="5"/>
  <c r="E11" i="5"/>
  <c r="E40" i="3"/>
  <c r="E56" i="3" s="1"/>
  <c r="E58" i="3" s="1"/>
  <c r="E63" i="3" s="1"/>
  <c r="E26" i="3"/>
  <c r="E9" i="5"/>
  <c r="F22" i="3"/>
  <c r="I12" i="8" l="1"/>
  <c r="I14" i="8" s="1"/>
  <c r="J12" i="8"/>
  <c r="J14" i="8" s="1"/>
  <c r="K12" i="8"/>
  <c r="K14" i="8" s="1"/>
  <c r="D12" i="8"/>
  <c r="D14" i="8" s="1"/>
  <c r="E12" i="8"/>
  <c r="E14" i="8" s="1"/>
  <c r="F12" i="8"/>
  <c r="F14" i="8" s="1"/>
  <c r="G12" i="8"/>
  <c r="G14" i="8" s="1"/>
  <c r="H12" i="8"/>
  <c r="H14" i="8" s="1"/>
  <c r="E53" i="3"/>
  <c r="E46" i="3" s="1"/>
  <c r="D120" i="2"/>
  <c r="F120" i="2" s="1"/>
  <c r="F58" i="15"/>
  <c r="F57" i="15"/>
  <c r="F56" i="15"/>
  <c r="F55" i="15"/>
  <c r="F54" i="15"/>
  <c r="L10" i="4"/>
  <c r="K17" i="5"/>
  <c r="D20" i="5"/>
  <c r="F11" i="3"/>
  <c r="L17" i="5" l="1"/>
  <c r="L61" i="3"/>
  <c r="G54" i="15"/>
  <c r="G55" i="15"/>
  <c r="G56" i="15"/>
  <c r="G57" i="15"/>
  <c r="G58" i="15"/>
  <c r="E51" i="3"/>
  <c r="E60" i="3" s="1"/>
  <c r="E55" i="3"/>
  <c r="E57" i="3" s="1"/>
  <c r="E62" i="3" s="1"/>
  <c r="E48" i="3"/>
  <c r="D22" i="5"/>
  <c r="B6" i="10"/>
  <c r="B5" i="16"/>
  <c r="D5" i="16" s="1"/>
  <c r="D8" i="6"/>
  <c r="D26" i="5"/>
  <c r="D21" i="5"/>
  <c r="D27" i="5"/>
  <c r="F21" i="3"/>
  <c r="E66" i="3" l="1"/>
  <c r="E67" i="3"/>
  <c r="B90" i="10"/>
  <c r="F90" i="10" s="1"/>
  <c r="B83" i="10"/>
  <c r="D64" i="10"/>
  <c r="C64" i="10"/>
  <c r="B64" i="10"/>
  <c r="D53" i="10"/>
  <c r="C53" i="10"/>
  <c r="B53" i="10"/>
  <c r="D42" i="10"/>
  <c r="C42" i="10"/>
  <c r="B42" i="10"/>
  <c r="D27" i="6"/>
  <c r="D28" i="6" s="1"/>
  <c r="D12" i="6"/>
  <c r="D14" i="6" s="1"/>
  <c r="D20" i="19"/>
  <c r="D26" i="19" s="1"/>
  <c r="C8" i="8"/>
  <c r="D15" i="7"/>
  <c r="D14" i="7"/>
  <c r="D25" i="6"/>
  <c r="D26" i="6" s="1"/>
  <c r="D23" i="6"/>
  <c r="D24" i="6" s="1"/>
  <c r="D21" i="6"/>
  <c r="D9" i="6"/>
  <c r="E13" i="6"/>
  <c r="E23" i="6"/>
  <c r="F27" i="3"/>
  <c r="F28" i="3" s="1"/>
  <c r="D15" i="6" l="1"/>
  <c r="D16" i="6" s="1"/>
  <c r="D19" i="19"/>
  <c r="D25" i="19" s="1"/>
  <c r="B6" i="16"/>
  <c r="D6" i="16" s="1"/>
  <c r="E38" i="3"/>
  <c r="E10" i="5"/>
  <c r="F10" i="3"/>
  <c r="E17" i="19"/>
  <c r="D22" i="6"/>
  <c r="D29" i="6"/>
  <c r="G12" i="3"/>
  <c r="F49" i="3" l="1"/>
  <c r="F64" i="3" s="1"/>
  <c r="E23" i="19"/>
  <c r="E39" i="3"/>
  <c r="E12" i="5"/>
  <c r="E25" i="5" s="1"/>
  <c r="F9" i="3"/>
  <c r="E35" i="3"/>
  <c r="E13" i="5" s="1"/>
  <c r="F20" i="3"/>
  <c r="F23" i="3" s="1"/>
  <c r="D18" i="19"/>
  <c r="D24" i="19" s="1"/>
  <c r="D27" i="19" s="1"/>
  <c r="D16" i="7" s="1"/>
  <c r="D34" i="6"/>
  <c r="D32" i="6"/>
  <c r="D33" i="6" s="1"/>
  <c r="D36" i="6" s="1"/>
  <c r="G22" i="3"/>
  <c r="F9" i="5" l="1"/>
  <c r="F31" i="3"/>
  <c r="F50" i="3" s="1"/>
  <c r="F26" i="3"/>
  <c r="G11" i="3" s="1"/>
  <c r="D9" i="7"/>
  <c r="D40" i="6"/>
  <c r="D35" i="6"/>
  <c r="F11" i="5"/>
  <c r="F40" i="3"/>
  <c r="F56" i="3" s="1"/>
  <c r="F14" i="5"/>
  <c r="E20" i="5"/>
  <c r="F58" i="3" l="1"/>
  <c r="F63" i="3" s="1"/>
  <c r="F53" i="3"/>
  <c r="F46" i="3" s="1"/>
  <c r="D121" i="2"/>
  <c r="F121" i="2" s="1"/>
  <c r="E26" i="5"/>
  <c r="E8" i="6"/>
  <c r="E12" i="6" s="1"/>
  <c r="E22" i="5"/>
  <c r="E21" i="5"/>
  <c r="G21" i="3"/>
  <c r="G27" i="3" s="1"/>
  <c r="G28" i="3" s="1"/>
  <c r="H12" i="3" s="1"/>
  <c r="D47" i="6"/>
  <c r="D48" i="6"/>
  <c r="D41" i="6" s="1"/>
  <c r="D10" i="7" s="1"/>
  <c r="D11" i="7" s="1"/>
  <c r="F51" i="3" l="1"/>
  <c r="F60" i="3" s="1"/>
  <c r="F55" i="3"/>
  <c r="F57" i="3" s="1"/>
  <c r="F62" i="3" s="1"/>
  <c r="E65" i="3"/>
  <c r="F48" i="3"/>
  <c r="E27" i="6"/>
  <c r="E28" i="6" s="1"/>
  <c r="E14" i="6"/>
  <c r="D42" i="6"/>
  <c r="D43" i="6" s="1"/>
  <c r="D18" i="7"/>
  <c r="D49" i="6"/>
  <c r="E46" i="6" s="1"/>
  <c r="F13" i="6"/>
  <c r="F23" i="6"/>
  <c r="E20" i="19"/>
  <c r="E26" i="19" s="1"/>
  <c r="D8" i="8"/>
  <c r="E15" i="7"/>
  <c r="E14" i="7"/>
  <c r="E9" i="6"/>
  <c r="E25" i="6"/>
  <c r="E26" i="6" s="1"/>
  <c r="E21" i="6"/>
  <c r="E24" i="6"/>
  <c r="H22" i="3"/>
  <c r="F66" i="3" l="1"/>
  <c r="E15" i="6"/>
  <c r="E16" i="6" s="1"/>
  <c r="B8" i="10" s="1"/>
  <c r="E19" i="19"/>
  <c r="E25" i="19" s="1"/>
  <c r="E29" i="6"/>
  <c r="E22" i="6"/>
  <c r="F10" i="5"/>
  <c r="G10" i="3"/>
  <c r="F38" i="3"/>
  <c r="F17" i="19"/>
  <c r="D32" i="19"/>
  <c r="D34" i="19" s="1"/>
  <c r="C9" i="8"/>
  <c r="C10" i="8" s="1"/>
  <c r="D21" i="7"/>
  <c r="B10" i="10" l="1"/>
  <c r="B9" i="10"/>
  <c r="E30" i="19"/>
  <c r="E39" i="6"/>
  <c r="G49" i="3"/>
  <c r="G64" i="3" s="1"/>
  <c r="F23" i="19"/>
  <c r="F39" i="3"/>
  <c r="F12" i="5"/>
  <c r="F25" i="5" s="1"/>
  <c r="G9" i="3"/>
  <c r="F35" i="3"/>
  <c r="F13" i="5" s="1"/>
  <c r="G20" i="3"/>
  <c r="G23" i="3" s="1"/>
  <c r="E18" i="19"/>
  <c r="E24" i="19" s="1"/>
  <c r="E27" i="19" s="1"/>
  <c r="E16" i="7" s="1"/>
  <c r="E34" i="6"/>
  <c r="E32" i="6"/>
  <c r="E33" i="6" s="1"/>
  <c r="E36" i="6" s="1"/>
  <c r="G31" i="3" l="1"/>
  <c r="G50" i="3" s="1"/>
  <c r="G53" i="3" s="1"/>
  <c r="G46" i="3" s="1"/>
  <c r="B92" i="10"/>
  <c r="B84" i="10"/>
  <c r="D66" i="10"/>
  <c r="C66" i="10"/>
  <c r="B66" i="10"/>
  <c r="D55" i="10"/>
  <c r="C55" i="10"/>
  <c r="B55" i="10"/>
  <c r="D44" i="10"/>
  <c r="C44" i="10"/>
  <c r="B44" i="10"/>
  <c r="B93" i="10"/>
  <c r="F93" i="10" s="1"/>
  <c r="D67" i="10"/>
  <c r="C67" i="10"/>
  <c r="B67" i="10"/>
  <c r="D56" i="10"/>
  <c r="C56" i="10"/>
  <c r="B56" i="10"/>
  <c r="D45" i="10"/>
  <c r="C45" i="10"/>
  <c r="B45" i="10"/>
  <c r="G26" i="3"/>
  <c r="H11" i="3" s="1"/>
  <c r="H21" i="3" s="1"/>
  <c r="H27" i="3" s="1"/>
  <c r="H28" i="3" s="1"/>
  <c r="I12" i="3" s="1"/>
  <c r="I22" i="3" s="1"/>
  <c r="E9" i="7"/>
  <c r="E35" i="6"/>
  <c r="G11" i="5"/>
  <c r="G40" i="3"/>
  <c r="G56" i="3" s="1"/>
  <c r="G14" i="5"/>
  <c r="F20" i="5"/>
  <c r="G9" i="5"/>
  <c r="E40" i="6"/>
  <c r="E8" i="13" l="1"/>
  <c r="D7" i="14"/>
  <c r="B72" i="10"/>
  <c r="G58" i="3"/>
  <c r="G63" i="3" s="1"/>
  <c r="G51" i="3"/>
  <c r="G60" i="3" s="1"/>
  <c r="G55" i="3"/>
  <c r="G57" i="3" s="1"/>
  <c r="G62" i="3" s="1"/>
  <c r="C33" i="13"/>
  <c r="H8" i="13"/>
  <c r="B71" i="10"/>
  <c r="D8" i="13"/>
  <c r="B73" i="10"/>
  <c r="C123" i="10"/>
  <c r="C124" i="10" s="1"/>
  <c r="C117" i="10"/>
  <c r="F92" i="10"/>
  <c r="F26" i="5"/>
  <c r="E47" i="6"/>
  <c r="E48" i="6"/>
  <c r="E41" i="6" s="1"/>
  <c r="E10" i="7" s="1"/>
  <c r="E11" i="7" s="1"/>
  <c r="F8" i="6"/>
  <c r="F27" i="6" s="1"/>
  <c r="F22" i="5"/>
  <c r="F21" i="5"/>
  <c r="G66" i="3" l="1"/>
  <c r="D33" i="13"/>
  <c r="J8" i="13"/>
  <c r="G8" i="13"/>
  <c r="F28" i="6"/>
  <c r="F12" i="6"/>
  <c r="F14" i="6" s="1"/>
  <c r="E42" i="6"/>
  <c r="E43" i="6" s="1"/>
  <c r="F20" i="19"/>
  <c r="F26" i="19" s="1"/>
  <c r="E8" i="8"/>
  <c r="F15" i="7"/>
  <c r="F14" i="7"/>
  <c r="F9" i="6"/>
  <c r="F25" i="6"/>
  <c r="F26" i="6" s="1"/>
  <c r="F21" i="6"/>
  <c r="F24" i="6"/>
  <c r="E18" i="7"/>
  <c r="E49" i="6"/>
  <c r="F46" i="6" s="1"/>
  <c r="F15" i="6" l="1"/>
  <c r="F16" i="6" s="1"/>
  <c r="E32" i="19"/>
  <c r="E34" i="19" s="1"/>
  <c r="C37" i="8" s="1"/>
  <c r="C37" i="1" s="1"/>
  <c r="D9" i="8"/>
  <c r="E21" i="7"/>
  <c r="E22" i="7" s="1"/>
  <c r="F19" i="19"/>
  <c r="F25" i="19" s="1"/>
  <c r="F29" i="6"/>
  <c r="F22" i="6"/>
  <c r="G10" i="5"/>
  <c r="H10" i="3"/>
  <c r="H20" i="3" s="1"/>
  <c r="G38" i="3"/>
  <c r="G17" i="19"/>
  <c r="H49" i="3" l="1"/>
  <c r="H64" i="3" s="1"/>
  <c r="G23" i="19"/>
  <c r="G12" i="5"/>
  <c r="G25" i="5" s="1"/>
  <c r="H9" i="3"/>
  <c r="G39" i="3"/>
  <c r="G35" i="3"/>
  <c r="G13" i="5" s="1"/>
  <c r="H26" i="3"/>
  <c r="H23" i="3"/>
  <c r="F34" i="6"/>
  <c r="F32" i="6"/>
  <c r="F33" i="6" s="1"/>
  <c r="F36" i="6" s="1"/>
  <c r="D15" i="8"/>
  <c r="D10" i="8"/>
  <c r="F30" i="19"/>
  <c r="F39" i="6"/>
  <c r="H31" i="3" l="1"/>
  <c r="H50" i="3" s="1"/>
  <c r="H53" i="3" s="1"/>
  <c r="H46" i="3" s="1"/>
  <c r="F40" i="6"/>
  <c r="F47" i="6" s="1"/>
  <c r="F9" i="7"/>
  <c r="F35" i="6"/>
  <c r="H11" i="5"/>
  <c r="H40" i="3"/>
  <c r="H56" i="3" s="1"/>
  <c r="H14" i="5"/>
  <c r="I11" i="3"/>
  <c r="G20" i="5"/>
  <c r="H9" i="5"/>
  <c r="H58" i="3" l="1"/>
  <c r="H63" i="3" s="1"/>
  <c r="H51" i="3"/>
  <c r="H60" i="3" s="1"/>
  <c r="H55" i="3"/>
  <c r="H57" i="3" s="1"/>
  <c r="H62" i="3" s="1"/>
  <c r="G26" i="5"/>
  <c r="F48" i="6"/>
  <c r="F41" i="6" s="1"/>
  <c r="F10" i="7" s="1"/>
  <c r="F11" i="7" s="1"/>
  <c r="G8" i="6"/>
  <c r="G27" i="6" s="1"/>
  <c r="G21" i="5"/>
  <c r="G22" i="5"/>
  <c r="I21" i="3"/>
  <c r="I27" i="3" s="1"/>
  <c r="I28" i="3" s="1"/>
  <c r="J12" i="3" s="1"/>
  <c r="H66" i="3" l="1"/>
  <c r="G12" i="6"/>
  <c r="G14" i="6" s="1"/>
  <c r="F49" i="6"/>
  <c r="G46" i="6" s="1"/>
  <c r="F42" i="6"/>
  <c r="F43" i="6" s="1"/>
  <c r="J22" i="3"/>
  <c r="G20" i="19"/>
  <c r="G26" i="19" s="1"/>
  <c r="F8" i="8"/>
  <c r="G15" i="7"/>
  <c r="G14" i="7"/>
  <c r="G9" i="6"/>
  <c r="G28" i="6"/>
  <c r="G25" i="6"/>
  <c r="G26" i="6" s="1"/>
  <c r="G21" i="6"/>
  <c r="G15" i="6" l="1"/>
  <c r="G16" i="6" s="1"/>
  <c r="G19" i="19"/>
  <c r="G25" i="19" s="1"/>
  <c r="G22" i="6"/>
  <c r="H10" i="5"/>
  <c r="I10" i="3"/>
  <c r="H38" i="3"/>
  <c r="H17" i="19"/>
  <c r="I49" i="3" l="1"/>
  <c r="I64" i="3" s="1"/>
  <c r="H23" i="19"/>
  <c r="H12" i="5"/>
  <c r="H25" i="5" s="1"/>
  <c r="I9" i="3"/>
  <c r="H39" i="3"/>
  <c r="H35" i="3"/>
  <c r="H13" i="5" s="1"/>
  <c r="I20" i="3"/>
  <c r="I23" i="3" s="1"/>
  <c r="I31" i="3" l="1"/>
  <c r="I50" i="3" s="1"/>
  <c r="I53" i="3" s="1"/>
  <c r="I46" i="3" s="1"/>
  <c r="I26" i="3"/>
  <c r="J11" i="3" s="1"/>
  <c r="I11" i="5"/>
  <c r="I40" i="3"/>
  <c r="I56" i="3" s="1"/>
  <c r="I14" i="5"/>
  <c r="H20" i="5"/>
  <c r="I9" i="5"/>
  <c r="I58" i="3" l="1"/>
  <c r="I63" i="3" s="1"/>
  <c r="I51" i="3"/>
  <c r="I60" i="3" s="1"/>
  <c r="I55" i="3"/>
  <c r="I57" i="3" s="1"/>
  <c r="I62" i="3" s="1"/>
  <c r="H26" i="5"/>
  <c r="H8" i="6"/>
  <c r="H22" i="5"/>
  <c r="H21" i="5"/>
  <c r="J21" i="3"/>
  <c r="J27" i="3" s="1"/>
  <c r="J28" i="3" s="1"/>
  <c r="K12" i="3" s="1"/>
  <c r="I66" i="3" l="1"/>
  <c r="H27" i="6"/>
  <c r="H28" i="6" s="1"/>
  <c r="H12" i="6"/>
  <c r="H14" i="6" s="1"/>
  <c r="K22" i="3"/>
  <c r="H20" i="19"/>
  <c r="H26" i="19" s="1"/>
  <c r="G8" i="8"/>
  <c r="H15" i="7"/>
  <c r="H14" i="7"/>
  <c r="H9" i="6"/>
  <c r="H25" i="6"/>
  <c r="H26" i="6" s="1"/>
  <c r="H21" i="6"/>
  <c r="H15" i="6" l="1"/>
  <c r="H16" i="6" s="1"/>
  <c r="H19" i="19"/>
  <c r="H25" i="19" s="1"/>
  <c r="H22" i="6"/>
  <c r="I10" i="5"/>
  <c r="J10" i="3"/>
  <c r="I38" i="3"/>
  <c r="I17" i="19"/>
  <c r="J49" i="3" l="1"/>
  <c r="J64" i="3" s="1"/>
  <c r="I23" i="19"/>
  <c r="I12" i="5"/>
  <c r="I25" i="5" s="1"/>
  <c r="J9" i="3"/>
  <c r="I39" i="3"/>
  <c r="I35" i="3"/>
  <c r="I13" i="5" s="1"/>
  <c r="J20" i="3"/>
  <c r="J23" i="3" s="1"/>
  <c r="J31" i="3" l="1"/>
  <c r="J50" i="3" s="1"/>
  <c r="J53" i="3" s="1"/>
  <c r="J46" i="3" s="1"/>
  <c r="J26" i="3"/>
  <c r="K11" i="3" s="1"/>
  <c r="J11" i="5"/>
  <c r="J40" i="3"/>
  <c r="J56" i="3" s="1"/>
  <c r="J14" i="5"/>
  <c r="I20" i="5"/>
  <c r="J9" i="5"/>
  <c r="J58" i="3" l="1"/>
  <c r="J63" i="3" s="1"/>
  <c r="J51" i="3"/>
  <c r="J60" i="3" s="1"/>
  <c r="J55" i="3"/>
  <c r="J57" i="3" s="1"/>
  <c r="J62" i="3" s="1"/>
  <c r="I26" i="5"/>
  <c r="I8" i="6"/>
  <c r="I22" i="5"/>
  <c r="I21" i="5"/>
  <c r="K21" i="3"/>
  <c r="K27" i="3" s="1"/>
  <c r="K28" i="3" s="1"/>
  <c r="L12" i="3" s="1"/>
  <c r="J66" i="3" l="1"/>
  <c r="I27" i="6"/>
  <c r="I28" i="6" s="1"/>
  <c r="I12" i="6"/>
  <c r="I14" i="6" s="1"/>
  <c r="L22" i="3"/>
  <c r="I20" i="19"/>
  <c r="I26" i="19" s="1"/>
  <c r="H8" i="8"/>
  <c r="I15" i="7"/>
  <c r="I14" i="7"/>
  <c r="I9" i="6"/>
  <c r="I25" i="6"/>
  <c r="I26" i="6" s="1"/>
  <c r="I21" i="6"/>
  <c r="I15" i="6" l="1"/>
  <c r="I16" i="6" s="1"/>
  <c r="I19" i="19"/>
  <c r="I25" i="19" s="1"/>
  <c r="I22" i="6"/>
  <c r="J10" i="5"/>
  <c r="K10" i="3"/>
  <c r="K20" i="3" s="1"/>
  <c r="J38" i="3"/>
  <c r="J17" i="19"/>
  <c r="K49" i="3" l="1"/>
  <c r="K64" i="3" s="1"/>
  <c r="J23" i="19"/>
  <c r="K9" i="3"/>
  <c r="J39" i="3"/>
  <c r="J12" i="5"/>
  <c r="J25" i="5" s="1"/>
  <c r="J35" i="3"/>
  <c r="J13" i="5" s="1"/>
  <c r="K26" i="3"/>
  <c r="K23" i="3"/>
  <c r="K31" i="3" l="1"/>
  <c r="K50" i="3" s="1"/>
  <c r="K53" i="3" s="1"/>
  <c r="K46" i="3" s="1"/>
  <c r="K11" i="5"/>
  <c r="K40" i="3"/>
  <c r="K56" i="3" s="1"/>
  <c r="K14" i="5"/>
  <c r="L11" i="3"/>
  <c r="J20" i="5"/>
  <c r="K9" i="5"/>
  <c r="K58" i="3" l="1"/>
  <c r="K63" i="3" s="1"/>
  <c r="K51" i="3"/>
  <c r="K60" i="3" s="1"/>
  <c r="K55" i="3"/>
  <c r="K57" i="3" s="1"/>
  <c r="K62" i="3" s="1"/>
  <c r="J26" i="5"/>
  <c r="J8" i="6"/>
  <c r="J22" i="5"/>
  <c r="J21" i="5"/>
  <c r="L21" i="3"/>
  <c r="L27" i="3" s="1"/>
  <c r="L28" i="3" s="1"/>
  <c r="K66" i="3" l="1"/>
  <c r="J27" i="6"/>
  <c r="J28" i="6" s="1"/>
  <c r="J12" i="6"/>
  <c r="J14" i="6" s="1"/>
  <c r="J20" i="19"/>
  <c r="J26" i="19" s="1"/>
  <c r="I8" i="8"/>
  <c r="J15" i="7"/>
  <c r="J14" i="7"/>
  <c r="J9" i="6"/>
  <c r="J25" i="6"/>
  <c r="J26" i="6" s="1"/>
  <c r="J21" i="6"/>
  <c r="J15" i="6" l="1"/>
  <c r="J16" i="6" s="1"/>
  <c r="J19" i="19"/>
  <c r="J25" i="19" s="1"/>
  <c r="J22" i="6"/>
  <c r="K10" i="5"/>
  <c r="L10" i="3"/>
  <c r="K38" i="3"/>
  <c r="K17" i="19"/>
  <c r="C58" i="15" l="1"/>
  <c r="D58" i="15" s="1"/>
  <c r="C57" i="15"/>
  <c r="D57" i="15" s="1"/>
  <c r="C56" i="15"/>
  <c r="D56" i="15" s="1"/>
  <c r="C55" i="15"/>
  <c r="D55" i="15" s="1"/>
  <c r="C54" i="15"/>
  <c r="D54" i="15" s="1"/>
  <c r="K23" i="19"/>
  <c r="L49" i="3"/>
  <c r="L64" i="3" s="1"/>
  <c r="L9" i="3"/>
  <c r="K39" i="3"/>
  <c r="K12" i="5"/>
  <c r="K25" i="5" s="1"/>
  <c r="K35" i="3"/>
  <c r="K13" i="5" s="1"/>
  <c r="L20" i="3"/>
  <c r="L23" i="3" s="1"/>
  <c r="L31" i="3" l="1"/>
  <c r="L50" i="3" s="1"/>
  <c r="L53" i="3" s="1"/>
  <c r="L46" i="3" s="1"/>
  <c r="L26" i="3"/>
  <c r="L40" i="3"/>
  <c r="L56" i="3" s="1"/>
  <c r="L14" i="5"/>
  <c r="L11" i="5"/>
  <c r="K20" i="5"/>
  <c r="L9" i="5"/>
  <c r="L58" i="3" l="1"/>
  <c r="L63" i="3" s="1"/>
  <c r="L51" i="3"/>
  <c r="L60" i="3" s="1"/>
  <c r="L55" i="3"/>
  <c r="K26" i="5"/>
  <c r="K8" i="6"/>
  <c r="K22" i="5"/>
  <c r="K21" i="5"/>
  <c r="L57" i="3" l="1"/>
  <c r="L62" i="3" s="1"/>
  <c r="L66" i="3" s="1"/>
  <c r="E58" i="15"/>
  <c r="E57" i="15"/>
  <c r="E56" i="15"/>
  <c r="E55" i="15"/>
  <c r="E54" i="15"/>
  <c r="K27" i="6"/>
  <c r="K28" i="6" s="1"/>
  <c r="K12" i="6"/>
  <c r="K14" i="6" s="1"/>
  <c r="K20" i="19"/>
  <c r="K26" i="19" s="1"/>
  <c r="J8" i="8"/>
  <c r="K15" i="7"/>
  <c r="K14" i="7"/>
  <c r="K9" i="6"/>
  <c r="K25" i="6"/>
  <c r="K26" i="6" s="1"/>
  <c r="K21" i="6"/>
  <c r="K15" i="6" l="1"/>
  <c r="K16" i="6" s="1"/>
  <c r="K19" i="19"/>
  <c r="K25" i="19" s="1"/>
  <c r="K22" i="6"/>
  <c r="L10" i="5"/>
  <c r="L38" i="3"/>
  <c r="B12" i="16"/>
  <c r="D12" i="16" s="1"/>
  <c r="B15" i="9" l="1"/>
  <c r="B18" i="9" s="1"/>
  <c r="B21" i="9" s="1"/>
  <c r="B28" i="9" s="1"/>
  <c r="B31" i="9" s="1"/>
  <c r="L17" i="19"/>
  <c r="L23" i="19" s="1"/>
  <c r="D15" i="9"/>
  <c r="D18" i="9" s="1"/>
  <c r="D21" i="9" s="1"/>
  <c r="D28" i="9" s="1"/>
  <c r="D31" i="9" s="1"/>
  <c r="C15" i="9"/>
  <c r="C18" i="9" s="1"/>
  <c r="C21" i="9" s="1"/>
  <c r="C28" i="9" s="1"/>
  <c r="C31" i="9" s="1"/>
  <c r="L39" i="3"/>
  <c r="L12" i="5"/>
  <c r="L25" i="5" s="1"/>
  <c r="L35" i="3"/>
  <c r="L13" i="5" l="1"/>
  <c r="H54" i="15"/>
  <c r="H55" i="15"/>
  <c r="H56" i="15"/>
  <c r="H57" i="15"/>
  <c r="H58" i="15"/>
  <c r="C32" i="9"/>
  <c r="B36" i="9"/>
  <c r="D32" i="9"/>
  <c r="C44" i="8"/>
  <c r="C43" i="8"/>
  <c r="B32" i="9"/>
  <c r="L20" i="5"/>
  <c r="L26" i="5" s="1"/>
  <c r="C45" i="8" l="1"/>
  <c r="C46" i="8" s="1"/>
  <c r="C42" i="1" s="1"/>
  <c r="B37" i="9"/>
  <c r="L8" i="6"/>
  <c r="L22" i="5"/>
  <c r="L21" i="5"/>
  <c r="L27" i="6" l="1"/>
  <c r="L28" i="6" s="1"/>
  <c r="L12" i="6"/>
  <c r="L14" i="6" s="1"/>
  <c r="L20" i="19"/>
  <c r="L26" i="19" s="1"/>
  <c r="K8" i="8"/>
  <c r="L15" i="7"/>
  <c r="L14" i="7"/>
  <c r="L9" i="6"/>
  <c r="L25" i="6"/>
  <c r="L26" i="6" s="1"/>
  <c r="L21" i="6"/>
  <c r="C18" i="8" l="1"/>
  <c r="C22" i="8" s="1"/>
  <c r="L15" i="6"/>
  <c r="L16" i="6" s="1"/>
  <c r="L19" i="19"/>
  <c r="L25" i="19" s="1"/>
  <c r="L22" i="6"/>
  <c r="G13" i="6" l="1"/>
  <c r="F18" i="19" s="1"/>
  <c r="F24" i="19" s="1"/>
  <c r="F27" i="19" s="1"/>
  <c r="F16" i="7" s="1"/>
  <c r="F18" i="7" s="1"/>
  <c r="H13" i="6"/>
  <c r="G18" i="19" s="1"/>
  <c r="I13" i="6"/>
  <c r="H18" i="19" s="1"/>
  <c r="J13" i="6"/>
  <c r="I18" i="19" s="1"/>
  <c r="K13" i="6"/>
  <c r="J18" i="19" s="1"/>
  <c r="L13" i="6"/>
  <c r="K18" i="19" s="1"/>
  <c r="G23" i="6"/>
  <c r="G24" i="6" s="1"/>
  <c r="G24" i="19" l="1"/>
  <c r="G27" i="19" s="1"/>
  <c r="G16" i="7" s="1"/>
  <c r="I24" i="19"/>
  <c r="I27" i="19" s="1"/>
  <c r="I16" i="7" s="1"/>
  <c r="G29" i="6"/>
  <c r="G32" i="6" s="1"/>
  <c r="G33" i="6" s="1"/>
  <c r="G36" i="6" s="1"/>
  <c r="J24" i="19"/>
  <c r="J27" i="19" s="1"/>
  <c r="J16" i="7" s="1"/>
  <c r="H24" i="19"/>
  <c r="H27" i="19" s="1"/>
  <c r="H16" i="7" s="1"/>
  <c r="K24" i="19"/>
  <c r="K27" i="19" s="1"/>
  <c r="K16" i="7" s="1"/>
  <c r="L18" i="19"/>
  <c r="L24" i="19" s="1"/>
  <c r="L27" i="19" s="1"/>
  <c r="L16" i="7" s="1"/>
  <c r="F32" i="19"/>
  <c r="F34" i="19" s="1"/>
  <c r="E9" i="8"/>
  <c r="F21" i="7"/>
  <c r="F22" i="7" s="1"/>
  <c r="G48" i="3"/>
  <c r="G52" i="3"/>
  <c r="G34" i="6" l="1"/>
  <c r="G9" i="7" s="1"/>
  <c r="E15" i="8"/>
  <c r="E10" i="8"/>
  <c r="G30" i="19"/>
  <c r="G39" i="6"/>
  <c r="G40" i="6" l="1"/>
  <c r="G48" i="6" s="1"/>
  <c r="G41" i="6" s="1"/>
  <c r="G10" i="7" s="1"/>
  <c r="G11" i="7" s="1"/>
  <c r="G18" i="7" s="1"/>
  <c r="G35" i="6"/>
  <c r="G42" i="6" l="1"/>
  <c r="G43" i="6" s="1"/>
  <c r="G47" i="6"/>
  <c r="G49" i="6" s="1"/>
  <c r="H46" i="6" s="1"/>
  <c r="G21" i="7"/>
  <c r="G22" i="7" s="1"/>
  <c r="G32" i="19"/>
  <c r="G34" i="19" s="1"/>
  <c r="F9" i="8"/>
  <c r="F10" i="8" l="1"/>
  <c r="F15" i="8"/>
  <c r="H39" i="6"/>
  <c r="H30" i="19"/>
  <c r="H23" i="6"/>
  <c r="H24" i="6" s="1"/>
  <c r="H29" i="6" l="1"/>
  <c r="H32" i="6" s="1"/>
  <c r="H33" i="6" s="1"/>
  <c r="H36" i="6" s="1"/>
  <c r="H48" i="3"/>
  <c r="H34" i="6" l="1"/>
  <c r="H35" i="6" s="1"/>
  <c r="H9" i="7" l="1"/>
  <c r="H40" i="6"/>
  <c r="H48" i="6" l="1"/>
  <c r="H41" i="6" s="1"/>
  <c r="H47" i="6"/>
  <c r="I23" i="6"/>
  <c r="I24" i="6" s="1"/>
  <c r="H49" i="6" l="1"/>
  <c r="I46" i="6" s="1"/>
  <c r="H10" i="7"/>
  <c r="H11" i="7" s="1"/>
  <c r="H18" i="7" s="1"/>
  <c r="H42" i="6"/>
  <c r="H43" i="6" s="1"/>
  <c r="I29" i="6"/>
  <c r="I32" i="6" s="1"/>
  <c r="I33" i="6" s="1"/>
  <c r="I36" i="6" s="1"/>
  <c r="I48" i="3"/>
  <c r="H32" i="19" l="1"/>
  <c r="H34" i="19" s="1"/>
  <c r="H21" i="7"/>
  <c r="H22" i="7" s="1"/>
  <c r="G9" i="8"/>
  <c r="I34" i="6"/>
  <c r="G15" i="8" l="1"/>
  <c r="G10" i="8"/>
  <c r="I30" i="19"/>
  <c r="I39" i="6"/>
  <c r="I40" i="6" s="1"/>
  <c r="I9" i="7"/>
  <c r="I35" i="6"/>
  <c r="I48" i="6" l="1"/>
  <c r="I41" i="6" s="1"/>
  <c r="I47" i="6"/>
  <c r="I49" i="6" l="1"/>
  <c r="J46" i="6" s="1"/>
  <c r="I42" i="6"/>
  <c r="I43" i="6" s="1"/>
  <c r="I10" i="7"/>
  <c r="I11" i="7" s="1"/>
  <c r="I18" i="7" s="1"/>
  <c r="J23" i="6"/>
  <c r="J24" i="6" s="1"/>
  <c r="J29" i="6" l="1"/>
  <c r="J32" i="6" s="1"/>
  <c r="J33" i="6" s="1"/>
  <c r="J36" i="6" s="1"/>
  <c r="I21" i="7"/>
  <c r="I22" i="7" s="1"/>
  <c r="I32" i="19"/>
  <c r="I34" i="19" s="1"/>
  <c r="H9" i="8"/>
  <c r="J34" i="6"/>
  <c r="J9" i="7" s="1"/>
  <c r="J48" i="3"/>
  <c r="J39" i="6" l="1"/>
  <c r="J40" i="6" s="1"/>
  <c r="J47" i="6" s="1"/>
  <c r="J30" i="19"/>
  <c r="H10" i="8"/>
  <c r="H15" i="8"/>
  <c r="J35" i="6"/>
  <c r="J48" i="6" l="1"/>
  <c r="J41" i="6" s="1"/>
  <c r="J10" i="7" s="1"/>
  <c r="J11" i="7" s="1"/>
  <c r="J18" i="7" s="1"/>
  <c r="J21" i="7" s="1"/>
  <c r="J22" i="7" s="1"/>
  <c r="J49" i="6" l="1"/>
  <c r="K46" i="6" s="1"/>
  <c r="I9" i="8"/>
  <c r="I15" i="8" s="1"/>
  <c r="J32" i="19"/>
  <c r="J34" i="19" s="1"/>
  <c r="K39" i="6" s="1"/>
  <c r="J42" i="6"/>
  <c r="J43" i="6" s="1"/>
  <c r="K23" i="6"/>
  <c r="K24" i="6" s="1"/>
  <c r="I10" i="8" l="1"/>
  <c r="K29" i="6"/>
  <c r="K32" i="6" s="1"/>
  <c r="K33" i="6" s="1"/>
  <c r="K36" i="6" s="1"/>
  <c r="K30" i="19"/>
  <c r="K48" i="3"/>
  <c r="K34" i="6" l="1"/>
  <c r="K9" i="7" s="1"/>
  <c r="K35" i="6" l="1"/>
  <c r="K40" i="6"/>
  <c r="K47" i="6" s="1"/>
  <c r="K48" i="6" l="1"/>
  <c r="K41" i="6" s="1"/>
  <c r="K10" i="7" s="1"/>
  <c r="K11" i="7" s="1"/>
  <c r="K18" i="7" s="1"/>
  <c r="K32" i="19" s="1"/>
  <c r="K34" i="19" s="1"/>
  <c r="J9" i="8" l="1"/>
  <c r="K21" i="7"/>
  <c r="K22" i="7" s="1"/>
  <c r="K49" i="6"/>
  <c r="L46" i="6" s="1"/>
  <c r="K42" i="6"/>
  <c r="K43" i="6" s="1"/>
  <c r="J10" i="8"/>
  <c r="J15" i="8"/>
  <c r="L39" i="6"/>
  <c r="L30" i="19"/>
  <c r="L23" i="6"/>
  <c r="L24" i="6" s="1"/>
  <c r="L29" i="6" l="1"/>
  <c r="L32" i="6" s="1"/>
  <c r="C19" i="8" s="1"/>
  <c r="L48" i="3"/>
  <c r="L33" i="6" l="1"/>
  <c r="L36" i="6" s="1"/>
  <c r="B15" i="16" s="1"/>
  <c r="D15" i="16" s="1"/>
  <c r="L34" i="6"/>
  <c r="L9" i="7" s="1"/>
  <c r="L35" i="6" l="1"/>
  <c r="L40" i="6"/>
  <c r="L47" i="6" s="1"/>
  <c r="L48" i="6" l="1"/>
  <c r="L41" i="6" l="1"/>
  <c r="L49" i="6"/>
  <c r="L10" i="7" l="1"/>
  <c r="L11" i="7" s="1"/>
  <c r="L18" i="7" s="1"/>
  <c r="L42" i="6"/>
  <c r="L43" i="6" s="1"/>
  <c r="L32" i="19" l="1"/>
  <c r="L34" i="19" s="1"/>
  <c r="K9" i="8"/>
  <c r="L21" i="7"/>
  <c r="L22" i="7" s="1"/>
  <c r="B13" i="16" s="1"/>
  <c r="D13" i="16" s="1"/>
  <c r="B11" i="15" l="1" a="1"/>
  <c r="B11" i="15" s="1"/>
  <c r="C12" i="15" a="1"/>
  <c r="C12" i="15" s="1"/>
  <c r="E10" i="15" a="1"/>
  <c r="E10" i="15" s="1"/>
  <c r="F8" i="15" a="1"/>
  <c r="F8" i="15" s="1"/>
  <c r="H6" i="15" a="1"/>
  <c r="H6" i="15" s="1"/>
  <c r="B19" i="15" a="1"/>
  <c r="B19" i="15" s="1"/>
  <c r="F22" i="15" a="1"/>
  <c r="F22" i="15" s="1"/>
  <c r="H20" i="15" a="1"/>
  <c r="H20" i="15" s="1"/>
  <c r="C19" i="15" a="1"/>
  <c r="C19" i="15" s="1"/>
  <c r="E17" i="15" a="1"/>
  <c r="E17" i="15" s="1"/>
  <c r="C40" i="15" a="1"/>
  <c r="C40" i="15" s="1"/>
  <c r="E37" i="15" a="1"/>
  <c r="E37" i="15" s="1"/>
  <c r="B8" i="15" a="1"/>
  <c r="B8" i="15" s="1"/>
  <c r="C8" i="15" a="1"/>
  <c r="C8" i="15" s="1"/>
  <c r="C22" i="15" a="1"/>
  <c r="C22" i="15" s="1"/>
  <c r="B40" i="15" a="1"/>
  <c r="B40" i="15" s="1"/>
  <c r="B7" i="15" a="1"/>
  <c r="B7" i="15" s="1"/>
  <c r="H7" i="15" a="1"/>
  <c r="H7" i="15" s="1"/>
  <c r="H21" i="15" a="1"/>
  <c r="H21" i="15" s="1"/>
  <c r="B39" i="15" a="1"/>
  <c r="B39" i="15" s="1"/>
  <c r="H12" i="15" a="1"/>
  <c r="H12" i="15" s="1"/>
  <c r="G7" i="15" a="1"/>
  <c r="G7" i="15" s="1"/>
  <c r="G21" i="15" a="1"/>
  <c r="G21" i="15" s="1"/>
  <c r="B38" i="15" a="1"/>
  <c r="B38" i="15" s="1"/>
  <c r="G12" i="15" a="1"/>
  <c r="G12" i="15" s="1"/>
  <c r="F7" i="15" a="1"/>
  <c r="F7" i="15" s="1"/>
  <c r="F21" i="15" a="1"/>
  <c r="F21" i="15" s="1"/>
  <c r="E38" i="15" a="1"/>
  <c r="E38" i="15" s="1"/>
  <c r="B22" i="15" a="1"/>
  <c r="B22" i="15" s="1"/>
  <c r="E21" i="15" a="1"/>
  <c r="E21" i="15" s="1"/>
  <c r="D38" i="15" a="1"/>
  <c r="D38" i="15" s="1"/>
  <c r="H8" i="15" a="1"/>
  <c r="H8" i="15" s="1"/>
  <c r="E19" i="15" a="1"/>
  <c r="E19" i="15" s="1"/>
  <c r="E20" i="15" a="1"/>
  <c r="E20" i="15" s="1"/>
  <c r="C45" i="15" s="1"/>
  <c r="B10" i="15" a="1"/>
  <c r="B10" i="15" s="1"/>
  <c r="H11" i="15" a="1"/>
  <c r="H11" i="15" s="1"/>
  <c r="D10" i="15" a="1"/>
  <c r="D10" i="15" s="1"/>
  <c r="E8" i="15" a="1"/>
  <c r="E8" i="15" s="1"/>
  <c r="G6" i="15" a="1"/>
  <c r="G6" i="15" s="1"/>
  <c r="B18" i="15" a="1"/>
  <c r="B18" i="15" s="1"/>
  <c r="E22" i="15" a="1"/>
  <c r="E22" i="15" s="1"/>
  <c r="G20" i="15" a="1"/>
  <c r="G20" i="15" s="1"/>
  <c r="H18" i="15" a="1"/>
  <c r="H18" i="15" s="1"/>
  <c r="D17" i="15" a="1"/>
  <c r="D17" i="15" s="1"/>
  <c r="F39" i="15" a="1"/>
  <c r="F39" i="15" s="1"/>
  <c r="C37" i="15" a="1"/>
  <c r="C37" i="15" s="1"/>
  <c r="F11" i="15" a="1"/>
  <c r="F11" i="15" s="1"/>
  <c r="G23" i="15" a="1"/>
  <c r="G23" i="15" s="1"/>
  <c r="F18" i="15" a="1"/>
  <c r="F18" i="15" s="1"/>
  <c r="E36" i="15" a="1"/>
  <c r="E36" i="15" s="1"/>
  <c r="G9" i="15" a="1"/>
  <c r="G9" i="15" s="1"/>
  <c r="F23" i="15" a="1"/>
  <c r="F23" i="15" s="1"/>
  <c r="E18" i="15" a="1"/>
  <c r="E18" i="15" s="1"/>
  <c r="D36" i="15" a="1"/>
  <c r="D36" i="15" s="1"/>
  <c r="F9" i="15" a="1"/>
  <c r="F9" i="15" s="1"/>
  <c r="E23" i="15" a="1"/>
  <c r="E23" i="15" s="1"/>
  <c r="D18" i="15" a="1"/>
  <c r="D18" i="15" s="1"/>
  <c r="C36" i="15" a="1"/>
  <c r="C36" i="15" s="1"/>
  <c r="D9" i="15" a="1"/>
  <c r="D9" i="15" s="1"/>
  <c r="D23" i="15" a="1"/>
  <c r="D23" i="15" s="1"/>
  <c r="C18" i="15" a="1"/>
  <c r="C18" i="15" s="1"/>
  <c r="H10" i="15" a="1"/>
  <c r="H10" i="15" s="1"/>
  <c r="C23" i="15" a="1"/>
  <c r="C23" i="15" s="1"/>
  <c r="F19" i="15" a="1"/>
  <c r="F19" i="15" s="1"/>
  <c r="C20" i="8"/>
  <c r="C23" i="8" s="1"/>
  <c r="G10" i="15" a="1"/>
  <c r="G10" i="15" s="1"/>
  <c r="D21" i="15" a="1"/>
  <c r="D21" i="15" s="1"/>
  <c r="B9" i="15" a="1"/>
  <c r="B9" i="15" s="1"/>
  <c r="G11" i="15" a="1"/>
  <c r="G11" i="15" s="1"/>
  <c r="C10" i="15" a="1"/>
  <c r="C10" i="15" s="1"/>
  <c r="D8" i="15" a="1"/>
  <c r="D8" i="15" s="1"/>
  <c r="F6" i="15" a="1"/>
  <c r="F6" i="15" s="1"/>
  <c r="H23" i="15" a="1"/>
  <c r="H23" i="15" s="1"/>
  <c r="D22" i="15" a="1"/>
  <c r="D22" i="15" s="1"/>
  <c r="F20" i="15" a="1"/>
  <c r="F20" i="15" s="1"/>
  <c r="G18" i="15" a="1"/>
  <c r="G18" i="15" s="1"/>
  <c r="C17" i="15" a="1"/>
  <c r="C17" i="15" s="1"/>
  <c r="E39" i="15" a="1"/>
  <c r="E39" i="15" s="1"/>
  <c r="F36" i="15" a="1"/>
  <c r="F36" i="15" s="1"/>
  <c r="H9" i="15" a="1"/>
  <c r="H9" i="15" s="1"/>
  <c r="E6" i="15" a="1"/>
  <c r="E6" i="15" s="1"/>
  <c r="D20" i="15" a="1"/>
  <c r="D20" i="15" s="1"/>
  <c r="D39" i="15" a="1"/>
  <c r="D39" i="15" s="1"/>
  <c r="E11" i="15" a="1"/>
  <c r="E11" i="15" s="1"/>
  <c r="D6" i="15" a="1"/>
  <c r="D6" i="15" s="1"/>
  <c r="C20" i="15" a="1"/>
  <c r="C20" i="15" s="1"/>
  <c r="C39" i="15" a="1"/>
  <c r="C39" i="15" s="1"/>
  <c r="D11" i="15" a="1"/>
  <c r="D11" i="15" s="1"/>
  <c r="C6" i="15" a="1"/>
  <c r="C6" i="15" s="1"/>
  <c r="H19" i="15" a="1"/>
  <c r="H19" i="15" s="1"/>
  <c r="F38" i="15" a="1"/>
  <c r="F38" i="15" s="1"/>
  <c r="C11" i="15" a="1"/>
  <c r="C11" i="15" s="1"/>
  <c r="B23" i="15" a="1"/>
  <c r="B23" i="15" s="1"/>
  <c r="G19" i="15" a="1"/>
  <c r="G19" i="15" s="1"/>
  <c r="K10" i="8"/>
  <c r="E7" i="15" a="1"/>
  <c r="E7" i="15" s="1"/>
  <c r="H17" i="15" a="1"/>
  <c r="H17" i="15" s="1"/>
  <c r="E9" i="15" a="1"/>
  <c r="E9" i="15" s="1"/>
  <c r="C44" i="15" s="1"/>
  <c r="D6" i="13" s="1"/>
  <c r="B21" i="15" a="1"/>
  <c r="B21" i="15" s="1"/>
  <c r="G17" i="15" a="1"/>
  <c r="G17" i="15" s="1"/>
  <c r="F40" i="15" a="1"/>
  <c r="F40" i="15" s="1"/>
  <c r="B6" i="15" a="1"/>
  <c r="B6" i="15" s="1"/>
  <c r="B37" i="15" a="1"/>
  <c r="B37" i="15" s="1"/>
  <c r="D7" i="15" a="1"/>
  <c r="D7" i="15" s="1"/>
  <c r="B17" i="15" a="1"/>
  <c r="B17" i="15" s="1"/>
  <c r="B36" i="15" a="1"/>
  <c r="B36" i="15" s="1"/>
  <c r="K15" i="8"/>
  <c r="C30" i="8" s="1"/>
  <c r="F12" i="15" a="1"/>
  <c r="F12" i="15" s="1"/>
  <c r="C9" i="15" a="1"/>
  <c r="C9" i="15" s="1"/>
  <c r="E40" i="15" a="1"/>
  <c r="E40" i="15" s="1"/>
  <c r="B12" i="15" a="1"/>
  <c r="B12" i="15" s="1"/>
  <c r="D12" i="15" a="1"/>
  <c r="D12" i="15" s="1"/>
  <c r="F10" i="15" a="1"/>
  <c r="F10" i="15" s="1"/>
  <c r="G8" i="15" a="1"/>
  <c r="G8" i="15" s="1"/>
  <c r="C7" i="15" a="1"/>
  <c r="C7" i="15" s="1"/>
  <c r="B20" i="15" a="1"/>
  <c r="B20" i="15" s="1"/>
  <c r="G22" i="15" a="1"/>
  <c r="G22" i="15" s="1"/>
  <c r="C21" i="15" a="1"/>
  <c r="C21" i="15" s="1"/>
  <c r="D19" i="15" a="1"/>
  <c r="D19" i="15" s="1"/>
  <c r="F17" i="15" a="1"/>
  <c r="F17" i="15" s="1"/>
  <c r="D40" i="15" a="1"/>
  <c r="D40" i="15" s="1"/>
  <c r="F37" i="15" a="1"/>
  <c r="F37" i="15" s="1"/>
  <c r="D37" i="15" a="1"/>
  <c r="D37" i="15" s="1"/>
  <c r="C46" i="15" s="1"/>
  <c r="E12" i="15" a="1"/>
  <c r="E12" i="15" s="1"/>
  <c r="H22" i="15" a="1"/>
  <c r="H22" i="15" s="1"/>
  <c r="C38" i="15" a="1"/>
  <c r="C38" i="15" s="1"/>
  <c r="D46" i="15" l="1"/>
  <c r="B46" i="15"/>
  <c r="E46" i="15" s="1"/>
  <c r="B45" i="15"/>
  <c r="D45" i="15"/>
  <c r="C25" i="8"/>
  <c r="C26" i="8" s="1"/>
  <c r="C24" i="8"/>
  <c r="B9" i="16" s="1"/>
  <c r="D9" i="16" s="1"/>
  <c r="D31" i="13"/>
  <c r="D21" i="13"/>
  <c r="G21" i="13" s="1"/>
  <c r="D7" i="13"/>
  <c r="B21" i="13" s="1"/>
  <c r="J6" i="13"/>
  <c r="D16" i="13" s="1"/>
  <c r="G6" i="13"/>
  <c r="D22" i="13"/>
  <c r="B44" i="15"/>
  <c r="D44" i="15"/>
  <c r="E6" i="13" s="1"/>
  <c r="E45" i="15" l="1"/>
  <c r="C6" i="13"/>
  <c r="C31" i="13" s="1"/>
  <c r="E44" i="15"/>
  <c r="E7" i="13"/>
  <c r="H7" i="13" s="1"/>
  <c r="H6" i="13"/>
  <c r="C31" i="8"/>
  <c r="C32" i="8" s="1"/>
  <c r="C27" i="8"/>
  <c r="B8" i="16" s="1"/>
  <c r="D8" i="16" s="1"/>
  <c r="G22" i="13"/>
  <c r="G23" i="13" s="1"/>
  <c r="D23" i="13"/>
  <c r="B37" i="13"/>
  <c r="C49" i="1"/>
  <c r="D18" i="13"/>
  <c r="C51" i="1" s="1"/>
  <c r="D37" i="13"/>
  <c r="G16" i="13"/>
  <c r="B22" i="13"/>
  <c r="G7" i="13"/>
  <c r="D32" i="13"/>
  <c r="B21" i="16" l="1"/>
  <c r="B19" i="16"/>
  <c r="C54" i="1" s="1"/>
  <c r="B18" i="16"/>
  <c r="B20" i="16"/>
  <c r="C55" i="1" s="1"/>
  <c r="C47" i="8"/>
  <c r="C43" i="1" s="1"/>
  <c r="C35" i="8"/>
  <c r="C38" i="8" s="1"/>
  <c r="C36" i="1"/>
  <c r="C50" i="1"/>
  <c r="G18" i="13"/>
  <c r="C7" i="13"/>
  <c r="F6" i="13"/>
  <c r="B31" i="13"/>
  <c r="C32" i="13" l="1"/>
  <c r="F7" i="13"/>
  <c r="B32" i="13"/>
  <c r="C51" i="8"/>
  <c r="C54" i="8" s="1"/>
  <c r="C47" i="1" s="1"/>
  <c r="C40" i="8"/>
  <c r="C50" i="8"/>
  <c r="C53" i="8" s="1"/>
  <c r="C46" i="1" s="1"/>
  <c r="C39" i="1"/>
  <c r="B22" i="16"/>
  <c r="C57" i="1" s="1"/>
  <c r="C56" i="1"/>
  <c r="B10" i="21" l="1"/>
  <c r="B110" i="21" s="1"/>
  <c r="I57" i="15"/>
  <c r="J57" i="15" s="1"/>
  <c r="I56" i="15"/>
  <c r="J56" i="15" s="1"/>
  <c r="I54" i="15"/>
  <c r="J54" i="15" s="1"/>
  <c r="C40" i="1"/>
  <c r="I58" i="15"/>
  <c r="J58" i="15" s="1"/>
  <c r="I55" i="15"/>
  <c r="J55" i="15" s="1"/>
  <c r="B111" i="21" l="1"/>
  <c r="B112" i="21"/>
  <c r="B113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Landon Brice </author>
    <author>Landon Brice</author>
  </authors>
  <commentList>
    <comment ref="A2" authorId="0" shapeId="0" xr:uid="{DD07C2BA-E2AE-B14B-8F71-3F4229A95471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equal 1.00. Conditional format flags red if weights don't sum to unity.</t>
        </r>
      </text>
    </comment>
    <comment ref="D11" authorId="1" shapeId="0" xr:uid="{C49ED1DF-25B7-4EC2-A534-A6A648FAA384}">
      <text>
        <r>
          <rPr>
            <sz val="11"/>
            <color theme="1"/>
            <rFont val="Calibri"/>
            <family val="2"/>
            <scheme val="minor"/>
          </rPr>
          <t>Base: linked to ARPU!D10 (year-specific bottoms-up). DO NOT hardcode — changes to tier mix or add-on attach on the ARPU tab must propagate here. TODO: Bear/Bull at C11/E11 are still $ overrides; rebuild as tier-mix + attach scenarios in a follow-up pass (Item 1b).</t>
        </r>
      </text>
    </comment>
    <comment ref="C40" authorId="1" shapeId="0" xr:uid="{F24EE6C8-DB2D-4E32-BFB0-481F60541CED}">
      <text>
        <r>
          <rPr>
            <sz val="11"/>
            <color theme="1"/>
            <rFont val="Calibri"/>
            <family val="2"/>
            <scheme val="minor"/>
          </rPr>
          <t>REMEDIATION (R&amp;D floor): Bear R&amp;D terminal raised 12%→13%. Garmin-anchored floor; commodity-device path still requires structural sensor + AI investment.</t>
        </r>
      </text>
    </comment>
    <comment ref="D40" authorId="1" shapeId="0" xr:uid="{9B0AC414-2FD2-4A20-8709-7052841012F2}">
      <text>
        <r>
          <rPr>
            <sz val="11"/>
            <color theme="1"/>
            <rFont val="Calibri"/>
            <family val="2"/>
            <scheme val="minor"/>
          </rPr>
          <t>REMEDIATION (R&amp;D floor): Base R&amp;D terminal raised 15%→16%. WHOOP is hardware/software/AI/healthcare — sensor iteration, AI models, Labs platform, regulatory all structural. 15% was a hard floor; 16% is honest target. Above Adobe (17% slightly), in line with Salesforce (16%), above Garmin (14%).</t>
        </r>
      </text>
    </comment>
    <comment ref="E40" authorId="1" shapeId="0" xr:uid="{664E147F-774B-48A0-A4AF-D5DFBBAAA808}">
      <text>
        <r>
          <rPr>
            <sz val="11"/>
            <color theme="1"/>
            <rFont val="Calibri"/>
            <family val="2"/>
            <scheme val="minor"/>
          </rPr>
          <t>REMEDIATION (R&amp;D floor): Bull R&amp;D terminal raised 18%→19%. Dexcom-plus thesis: continuous sensor/AI investment is the moat at platform-stage maturity.</t>
        </r>
      </text>
    </comment>
    <comment ref="C46" authorId="1" shapeId="0" xr:uid="{8730474C-3835-4AD2-B916-8B752657C500}">
      <text>
        <r>
          <rPr>
            <sz val="11"/>
            <color theme="1"/>
            <rFont val="Calibri"/>
            <family val="2"/>
            <scheme val="minor"/>
          </rPr>
          <t>BEAR G&amp;A terminal: 13% — inefficient global org, healthcare compliance overhead. Above iRhythm 14% but below early-stage.</t>
        </r>
      </text>
    </comment>
    <comment ref="D46" authorId="1" shapeId="0" xr:uid="{BFBC1A7F-FC1D-45E9-A6A0-A1C54D489ADC}">
      <text>
        <r>
          <rPr>
            <sz val="11"/>
            <color theme="1"/>
            <rFont val="Calibri"/>
            <family val="2"/>
            <scheme val="minor"/>
          </rPr>
          <t>BASE G&amp;A terminal: 11% — Dexcom benchmark; reflects multi-jurisdiction regulated public co with healthcare partnerships.</t>
        </r>
      </text>
    </comment>
    <comment ref="E46" authorId="1" shapeId="0" xr:uid="{D5B2855B-0A74-4E87-AFFF-93284FAF70EC}">
      <text>
        <r>
          <rPr>
            <sz val="11"/>
            <color theme="1"/>
            <rFont val="Calibri"/>
            <family val="2"/>
            <scheme val="minor"/>
          </rPr>
          <t>BULL G&amp;A terminal: 9% — ResMed-like efficiency. Achievable but aspirational for a regulated global health platform.</t>
        </r>
      </text>
    </comment>
    <comment ref="C47" authorId="1" shapeId="0" xr:uid="{75A666E5-4974-46C8-89E4-F37D0E8E3936}">
      <text>
        <r>
          <rPr>
            <sz val="11"/>
            <color theme="1"/>
            <rFont val="Calibri"/>
            <family val="2"/>
            <scheme val="minor"/>
          </rPr>
          <t>BEAR SBC current: 16% — pre-IPO unicorn norm 12-18%. Aggressive grant pace from 600+ planned hires.</t>
        </r>
      </text>
    </comment>
    <comment ref="D47" authorId="1" shapeId="0" xr:uid="{472C5778-4274-4AC9-B059-4E23F622469E}">
      <text>
        <r>
          <rPr>
            <sz val="11"/>
            <color theme="1"/>
            <rFont val="Calibri"/>
            <family val="2"/>
            <scheme val="minor"/>
          </rPr>
          <t>BASE SBC current: 14% — mid-range pre-IPO.</t>
        </r>
      </text>
    </comment>
    <comment ref="E47" authorId="1" shapeId="0" xr:uid="{ACC962E2-E8FD-44AA-B644-EB6A18953B98}">
      <text>
        <r>
          <rPr>
            <sz val="11"/>
            <color theme="1"/>
            <rFont val="Calibri"/>
            <family val="2"/>
            <scheme val="minor"/>
          </rPr>
          <t>BULL SBC current: 12% — lower end of pre-IPO range; suggests disciplined granting.</t>
        </r>
      </text>
    </comment>
    <comment ref="C48" authorId="1" shapeId="0" xr:uid="{F61BA9F7-5815-4581-88A3-966D0268F258}">
      <text>
        <r>
          <rPr>
            <sz val="11"/>
            <color theme="1"/>
            <rFont val="Calibri"/>
            <family val="2"/>
            <scheme val="minor"/>
          </rPr>
          <t>REMEDIATION (SBC terminal): Bear SBC terminal raised 10%→13%. Tech companies at WHOOP scale rarely run SBC below 10%; Bear reflects slow-scaling discipline failure (above iRhythm 13%).</t>
        </r>
      </text>
    </comment>
    <comment ref="D48" authorId="1" shapeId="0" xr:uid="{2A9DA7AD-87CC-4F89-8474-AB9D53B99F36}">
      <text>
        <r>
          <rPr>
            <sz val="11"/>
            <color theme="1"/>
            <rFont val="Calibri"/>
            <family val="2"/>
            <scheme val="minor"/>
          </rPr>
          <t>REMEDIATION (SBC terminal): Base SBC terminal raised 8%→11%. Mid-range Salesforce (14%) / Adobe (12%); 8% was achievable only at Microsoft-class scale or post-decade-of-discipline. 11% is honest for a public health-data co at WHOOP’s scale.</t>
        </r>
      </text>
    </comment>
    <comment ref="E48" authorId="1" shapeId="0" xr:uid="{A39F8ADF-A92F-4DA3-929A-41F445A70D5E}">
      <text>
        <r>
          <rPr>
            <sz val="11"/>
            <color theme="1"/>
            <rFont val="Calibri"/>
            <family val="2"/>
            <scheme val="minor"/>
          </rPr>
          <t>REMEDIATION (SBC terminal): Bull SBC terminal raised 6%→8%. Spotify/ResMed range; disciplined granting at scale but not Microsoft-tier.</t>
        </r>
      </text>
    </comment>
    <comment ref="C67" authorId="1" shapeId="0" xr:uid="{892B3EE0-CAA8-4155-9BFD-97E2735E9489}">
      <text>
        <r>
          <rPr>
            <sz val="11"/>
            <color theme="1"/>
            <rFont val="Calibri"/>
            <family val="2"/>
            <scheme val="minor"/>
          </rPr>
          <t>Bear: rates fall to ~2.5% with Fed cuts. Conservative.</t>
        </r>
      </text>
    </comment>
    <comment ref="D67" authorId="1" shapeId="0" xr:uid="{2279693B-D0FB-4747-ADE8-3C660232F4B6}">
      <text>
        <r>
          <rPr>
            <sz val="11"/>
            <color theme="1"/>
            <rFont val="Calibri"/>
            <family val="2"/>
            <scheme val="minor"/>
          </rPr>
          <t>Base: ~3.5% — institutional money market / Treasury bill yields. SOFR proxy.</t>
        </r>
      </text>
    </comment>
    <comment ref="E67" authorId="1" shapeId="0" xr:uid="{FE2FEEEA-3CFC-4EDA-9FED-3A979061923F}">
      <text>
        <r>
          <rPr>
            <sz val="11"/>
            <color theme="1"/>
            <rFont val="Calibri"/>
            <family val="2"/>
            <scheme val="minor"/>
          </rPr>
          <t>Bull: ~4.5% — elevated rates persist; corporate cash earns at upper end.</t>
        </r>
      </text>
    </comment>
    <comment ref="D120" authorId="1" shapeId="0" xr:uid="{13F734D6-0765-4C33-B971-2491AAD2673F}">
      <text>
        <r>
          <rPr>
            <sz val="11"/>
            <color theme="1"/>
            <rFont val="Calibri"/>
            <family val="2"/>
            <scheme val="minor"/>
          </rPr>
          <t>ORPHANED diagnostic: was driver pre-member-anchored framework (Item 2). Now derived at Members!E31 via membership identity (Δ Ending + Churned). Displayed here for audit-trail continuity. Active scenario only — Bear/Bull no longer meaningful at this row.</t>
        </r>
      </text>
    </comment>
    <comment ref="D121" authorId="1" shapeId="0" xr:uid="{B35B756A-6025-4C81-87AE-E33E849C0405}">
      <text>
        <r>
          <rPr>
            <sz val="11"/>
            <color theme="1"/>
            <rFont val="Calibri"/>
            <family val="2"/>
            <scheme val="minor"/>
          </rPr>
          <t>ORPHANED diagnostic: see D119 note. 2027 derived gross adds.</t>
        </r>
      </text>
    </comment>
    <comment ref="C126" authorId="1" shapeId="0" xr:uid="{46B8AAE3-5ED8-455D-B5BF-7DC506A465F7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$50→$210M (Bear). Sustains S&amp;M-of-revenue ~14% terminal (vs prior ~9%) — peer-anchored to mature consumer-subscription brand spend. Bear case: leaner brand at ~5% of 2033 revenue ($4.0B). Layer 5 calibration narrative replaced by Layer 6 (EBITDA remediation per spec).</t>
        </r>
      </text>
    </comment>
    <comment ref="D126" authorId="1" shapeId="0" xr:uid="{57802573-942F-49A6-A0B5-3134B2B59FF7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$130→$335M (Base). Sustains S&amp;M-of-revenue ~15% terminal (vs prior 10.3%) — Spotify ~11% floor + ~400bps drag for hardware/healthcare. Variable S&amp;M architecture (Gross Adds × CAC) was structurally producing sub-Spotify intensity at terminal because gross adds decelerate while revenue compounds. Brand $ is the lever that scales independently. $335M = 7.6% of 2033 revenue ($4.4B), defensible vs Peloton peak (~$400M brand) and Spotify (~$1B brand at maturity). See CalibrationLog row for Layer 6 spec.</t>
        </r>
      </text>
    </comment>
    <comment ref="E126" authorId="1" shapeId="0" xr:uid="{D6BEE50E-ED0E-42CE-BC18-DC8D4AE3C994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$150→$420M (Bull). Aggressive Series G deployment toward category-defining brand spend; sustains S&amp;M-of-revenue ~16% terminal (vs prior ~9%). Bull thesis: WHOOP achieves Peloton-2020-peak brand presence at scale.</t>
        </r>
      </text>
    </comment>
    <comment ref="I138" authorId="1" shapeId="0" xr:uid="{D6C5EAE7-B3CA-4F1B-88FA-E95489DD2379}">
      <text>
        <r>
          <rPr>
            <sz val="11"/>
            <color theme="1"/>
            <rFont val="Calibri"/>
            <family val="2"/>
            <scheme val="minor"/>
          </rPr>
          <t>Source: BusinessWire 9/30/2025 launch press release. 350K waitlist disclosed; member count from Series G.</t>
        </r>
      </text>
    </comment>
    <comment ref="I139" authorId="1" shapeId="0" xr:uid="{43FD3CF9-DC09-476F-B29D-A009C9793098}">
      <text>
        <r>
          <rPr>
            <sz val="11"/>
            <color theme="1"/>
            <rFont val="Calibri"/>
            <family val="2"/>
            <scheme val="minor"/>
          </rPr>
          <t>Source: BusinessWire WHOOP press release 9/30/2025. https://www.businesswire.com/news/home/20250930178710/en/</t>
        </r>
      </text>
    </comment>
    <comment ref="B152" authorId="1" shapeId="0" xr:uid="{1BB55DBB-53B4-414D-98FC-C4D51E28CF97}">
      <text>
        <r>
          <rPr>
            <sz val="11"/>
            <color theme="1"/>
            <rFont val="Calibri"/>
            <family val="2"/>
            <scheme val="minor"/>
          </rPr>
          <t>Captures BOTH subscription delivery cost AND hardware giveaway as cost-of-revenue. Hardware is given free with the service, so it's bundled here per GAAP-aligned treatment of free hardware in service contracts. Calibrated to reflect total cost (sub COGS + hardware load) divided by sub revenue. NOT a 'mix' — there's no hardware revenue.</t>
        </r>
      </text>
    </comment>
    <comment ref="B153" authorId="1" shapeId="0" xr:uid="{AED60DEF-89C7-42AE-B9A2-4E45608FB7C8}">
      <text>
        <r>
          <rPr>
            <sz val="11"/>
            <color theme="1"/>
            <rFont val="Calibri"/>
            <family val="2"/>
            <scheme val="minor"/>
          </rPr>
          <t>Terminal blended COGS%. Lower than 2026 because hardware load shrinks relative to revenue at scale.</t>
        </r>
      </text>
    </comment>
    <comment ref="C164" authorId="1" shapeId="0" xr:uid="{3805E9A5-72BA-410A-B175-DD0E3D907391}">
      <text>
        <r>
          <rPr>
            <sz val="11"/>
            <color theme="1"/>
            <rFont val="Calibri"/>
            <family val="2"/>
            <scheme val="minor"/>
          </rPr>
          <t>BEAR 2027: 19% — heavy grant acceleration + slow lockup; aggressive dilution.</t>
        </r>
      </text>
    </comment>
    <comment ref="D164" authorId="1" shapeId="0" xr:uid="{3CDF0B1D-2215-403F-A3EF-02671098AA41}">
      <text>
        <r>
          <rPr>
            <sz val="11"/>
            <color theme="1"/>
            <rFont val="Calibri"/>
            <family val="2"/>
            <scheme val="minor"/>
          </rPr>
          <t>BASE 2027: 17% — +400bps over smooth taper (13.1%) for grant acceleration, retention refresh, ESPP launch. Mid-range vs Snowflake +1200, Airbnb +700, Coinbase +1000.</t>
        </r>
      </text>
    </comment>
    <comment ref="E164" authorId="1" shapeId="0" xr:uid="{81428B28-8BF5-4233-84D6-3D0D087249EE}">
      <text>
        <r>
          <rPr>
            <sz val="11"/>
            <color theme="1"/>
            <rFont val="Calibri"/>
            <family val="2"/>
            <scheme val="minor"/>
          </rPr>
          <t>BULL 2027: 15% — disciplined granting; modest IPO premium only.</t>
        </r>
      </text>
    </comment>
    <comment ref="C165" authorId="1" shapeId="0" xr:uid="{DB2C7333-26C8-481D-BD7D-5DB1C06AFC71}">
      <text>
        <r>
          <rPr>
            <sz val="11"/>
            <color theme="1"/>
            <rFont val="Calibri"/>
            <family val="2"/>
            <scheme val="minor"/>
          </rPr>
          <t>BEAR 2028: 17% — lockup-expiry refresh + retention top-ups; slow normalization.</t>
        </r>
      </text>
    </comment>
    <comment ref="D165" authorId="1" shapeId="0" xr:uid="{09AB9B49-00BB-4492-B7AF-7FECCBEB87F9}">
      <text>
        <r>
          <rPr>
            <sz val="11"/>
            <color theme="1"/>
            <rFont val="Calibri"/>
            <family val="2"/>
            <scheme val="minor"/>
          </rPr>
          <t>BASE 2028: 15% — +275bps over smooth taper (12.3%) for post-lockup refresh + ESPP. Begin convergence back to taper.</t>
        </r>
      </text>
    </comment>
    <comment ref="E165" authorId="1" shapeId="0" xr:uid="{318F01AC-8CFB-4B1B-9EA8-14B0BF312575}">
      <text>
        <r>
          <rPr>
            <sz val="11"/>
            <color theme="1"/>
            <rFont val="Calibri"/>
            <family val="2"/>
            <scheme val="minor"/>
          </rPr>
          <t>BULL 2028: 13% — IPO bump fades quickly.</t>
        </r>
      </text>
    </comment>
    <comment ref="C169" authorId="1" shapeId="0" xr:uid="{7D9D962C-FAFD-4920-8B2A-862AFAB92DFA}">
      <text>
        <r>
          <rPr>
            <sz val="11"/>
            <color theme="1"/>
            <rFont val="Calibri"/>
            <family val="2"/>
            <scheme val="minor"/>
          </rPr>
          <t>Bear: capital-trimmed deployment + slower trial-to-paid conversion. ~50% of Base.</t>
        </r>
      </text>
    </comment>
    <comment ref="D169" authorId="1" shapeId="0" xr:uid="{26588BBE-30CE-450F-91C4-6DA345BFF198}">
      <text>
        <r>
          <rPr>
            <sz val="11"/>
            <color rgb="FF000000"/>
            <rFont val="Calibri"/>
            <family val="2"/>
          </rPr>
          <t>Base: 114% → 50% reflects normalization of WHOOP 4.0 launch cohort + measured Series G ramp. NOT company maturation. Triangulated to Member Thesis Lens C.</t>
        </r>
      </text>
    </comment>
    <comment ref="E169" authorId="1" shapeId="0" xr:uid="{D8EB3DD2-7D2D-4110-9966-739168FB3743}">
      <text>
        <r>
          <rPr>
            <sz val="11"/>
            <color theme="1"/>
            <rFont val="Calibri"/>
            <family val="2"/>
            <scheme val="minor"/>
          </rPr>
          <t>Bull: full Series G deployment + brand step-fn from launch carryover.</t>
        </r>
      </text>
    </comment>
    <comment ref="D171" authorId="1" shapeId="0" xr:uid="{48587740-95B1-4B72-A8EF-4F03B1039CC1}">
      <text>
        <r>
          <rPr>
            <sz val="11"/>
            <color theme="1"/>
            <rFont val="Calibri"/>
            <family val="2"/>
            <scheme val="minor"/>
          </rPr>
          <t>2028 = Peloton-stage IPO+1 transition; growth phase begins</t>
        </r>
      </text>
    </comment>
    <comment ref="D174" authorId="1" shapeId="0" xr:uid="{12C4A94A-23CD-428E-9DEF-EF91C83AE9DC}">
      <text>
        <r>
          <rPr>
            <sz val="11"/>
            <color theme="1"/>
            <rFont val="Calibri"/>
            <family val="2"/>
            <scheme val="minor"/>
          </rPr>
          <t>2031 = Phase 3 transition; saturation begins to drag CAC up but cohort base inflates absolute gross adds</t>
        </r>
      </text>
    </comment>
    <comment ref="F178" authorId="1" shapeId="0" xr:uid="{11D50B97-9AFA-4557-8DD4-F04210DF62F6}">
      <text>
        <r>
          <rPr>
            <sz val="11"/>
            <color theme="1"/>
            <rFont val="Calibri"/>
            <family val="2"/>
            <scheme val="minor"/>
          </rPr>
          <t>Derived ending = 2.5M anchor compounded through 8 years of YoY growth. Wires to Members!E34:L34 in Layer 3.</t>
        </r>
      </text>
    </comment>
    <comment ref="F179" authorId="1" shapeId="0" xr:uid="{03C3FCD8-BFCC-4D2E-A935-0F2DDD5584E4}">
      <text>
        <r>
          <rPr>
            <sz val="11"/>
            <color theme="1"/>
            <rFont val="Calibri"/>
            <family val="2"/>
            <scheme val="minor"/>
          </rPr>
          <t>Active scenario's compounded ending vs. Member Thesis median across four lenses (B20). Should be within ±15% — if larger, the chosen trajectory has lost triangulation.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Landon Brice </author>
  </authors>
  <commentList>
    <comment ref="B6" authorId="0" shapeId="0" xr:uid="{F214B97B-2B7C-8648-AA17-3BCD222B833F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Anchored to current PA member count (~2.4-2.5M based on Series G disclosure March 2026).</t>
        </r>
      </text>
    </comment>
    <comment ref="B7" authorId="0" shapeId="0" xr:uid="{FF11DD2E-F8C7-AC48-BB23-D7002668E82E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Live link to Assumptions!F11.</t>
        </r>
      </text>
    </comment>
    <comment ref="B8" authorId="0" shapeId="0" xr:uid="{C46443CD-EF8B-094B-B02C-EE0CE6A974A4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Series G post-money March 2026, Pitchbook + press.</t>
        </r>
      </text>
    </comment>
    <comment ref="B9" authorId="0" shapeId="0" xr:uid="{937EE7AC-796B-CD44-BFF0-CC5654B91BE9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Series G mark used as DCF benchmark.</t>
        </r>
      </text>
    </comment>
    <comment ref="B10" authorId="0" shapeId="0" xr:uid="{66D4364C-AEC1-AE4B-A961-325DD772678A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Live link to DCF C40.</t>
        </r>
      </text>
    </comment>
    <comment ref="C20" authorId="0" shapeId="0" xr:uid="{398AE4F2-E87C-274C-934B-36DE0D7B42EB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Coefficient of variation across the four lenses. &lt;10% tight; 10-20% acceptable; &gt;20% diverge.</t>
        </r>
      </text>
    </comment>
    <comment ref="M25" authorId="0" shapeId="0" xr:uid="{E028BE83-C063-AF4F-A9F9-563BDFDAAF3A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Source URL: https://www.fortunebusinessinsights.com/industry-reports/wearable-medical-devices-market-101070</t>
        </r>
      </text>
    </comment>
    <comment ref="F27" authorId="0" shapeId="0" xr:uid="{D349652F-7CF1-1B43-BE57-A4AA1C99CDD0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Source URL: https://www.fortunebusinessinsights.com/industry-reports/wearable-medical-devices-market-101070</t>
        </r>
      </text>
    </comment>
    <comment ref="B92" authorId="0" shapeId="0" xr:uid="{D5C42573-1160-B844-ACFE-4A1E281B70AE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Hardcoded uniform multiplier on raw growth rates so compounded endpoint = lens median (B20). Math: 2.5 × ∏(1+gi*k) = lens median → k = 0.9781. Re-solve if lens median shifts materially.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E31" authorId="0" shapeId="0" xr:uid="{05631980-EB4B-4574-ABFD-47D6820A8870}">
      <text>
        <r>
          <rPr>
            <sz val="11"/>
            <color theme="1"/>
            <rFont val="Calibri"/>
            <family val="2"/>
            <scheme val="minor"/>
          </rPr>
          <t>Gross Adds DERIVED via membership identity: Δ Ending Members + Total Churned. Under member-anchored framework, Ending is the driver (row 34); Gross Adds falls out as residual. Replaces prior Phase 1 hardcode + Phase 2-3 S&amp;M÷CAC formula.</t>
        </r>
      </text>
    </comment>
    <comment ref="E34" authorId="0" shapeId="0" xr:uid="{C7A123DE-C14A-4282-AB38-B0E48F7CD388}">
      <text>
        <r>
          <rPr>
            <sz val="11"/>
            <color rgb="FF000000"/>
            <rFont val="Calibri"/>
            <family val="2"/>
          </rPr>
          <t xml:space="preserve">Ending Members 2026 = prior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(1 + YoY trajectory), HARD-CAPPED at 45% of TAM. Cap inactive at Base/Bear; binds in Bull case at Phase 3. Layer 5 row 65 flags when cap engages.</t>
        </r>
      </text>
    </comment>
    <comment ref="D46" authorId="0" shapeId="0" xr:uid="{11AD4866-A1A5-4394-9818-33466F526430}">
      <text>
        <r>
          <rPr>
            <sz val="11"/>
            <color theme="1"/>
            <rFont val="Calibri"/>
            <family val="2"/>
            <scheme val="minor"/>
          </rPr>
          <t>2025 S&amp;M back-solve: ~30% of $650M revenue. Hardcoded historical anchor.</t>
        </r>
      </text>
    </comment>
    <comment ref="E46" authorId="0" shapeId="0" xr:uid="{1B6A4946-6B40-463C-AC20-578A6015FAD9}">
      <text>
        <r>
          <rPr>
            <sz val="11"/>
            <color theme="1"/>
            <rFont val="Calibri"/>
            <family val="2"/>
            <scheme val="minor"/>
          </rPr>
          <t>Total S&amp;M = Variable (row 54, Adds×CAC) + Brand (row 55, fixed). P&amp;L pulls from this row. Hardware giveaway stays in COGS (sub + hardware bundled in blended COGS%) per GAAP-aligned treatment of free hardware in subscription contracts.</t>
        </r>
      </text>
    </comment>
    <comment ref="F46" authorId="0" shapeId="0" xr:uid="{6D2D1D76-55A6-45CD-AAD6-5CA896B43AED}">
      <text>
        <r>
          <rPr>
            <sz val="11"/>
            <color theme="1"/>
            <rFont val="Calibri"/>
            <family val="2"/>
            <scheme val="minor"/>
          </rPr>
          <t>PHASE 1 (2027): S&amp;M $ DERIVED = Gross Adds Target × Blended CAC.</t>
        </r>
      </text>
    </comment>
    <comment ref="G46" authorId="0" shapeId="0" xr:uid="{BF765D63-D061-430D-9402-BB76AA7FF186}">
      <text>
        <r>
          <rPr>
            <sz val="11"/>
            <color theme="1"/>
            <rFont val="Calibri"/>
            <family val="2"/>
            <scheme val="minor"/>
          </rPr>
          <t>S&amp;M $ = Gross Adds × CAC (was Revenue × S&amp;M% pre-refactor). Phase 2-3 now uses same logic as Phase 1.</t>
        </r>
      </text>
    </comment>
    <comment ref="A47" authorId="0" shapeId="0" xr:uid="{7DAE4043-307D-4E94-82E6-848125436A93}">
      <text>
        <r>
          <rPr>
            <sz val="11"/>
            <color theme="1"/>
            <rFont val="Calibri"/>
            <family val="2"/>
            <scheme val="minor"/>
          </rPr>
          <t>Paid marketing CAC per gross add: digital, partnerships, performance. Excludes brand $ (row 55). Sourced from Assumptions F121 (2026) interpolated to F122 (2033).</t>
        </r>
      </text>
    </comment>
    <comment ref="D47" authorId="0" shapeId="0" xr:uid="{772E57F7-231F-4B19-A5A2-2339BEDC5068}">
      <text>
        <r>
          <rPr>
            <sz val="11"/>
            <color theme="1"/>
            <rFont val="Calibri"/>
            <family val="2"/>
            <scheme val="minor"/>
          </rPr>
          <t>2025 calibration blended CAC ($195M / 1.5M gross adds = $130).</t>
        </r>
      </text>
    </comment>
    <comment ref="E48" authorId="0" shapeId="0" xr:uid="{B3C37420-4C05-4DDF-A579-2DC2FBD06971}">
      <text>
        <r>
          <rPr>
            <sz val="11"/>
            <color theme="1"/>
            <rFont val="Calibri"/>
            <family val="2"/>
            <scheme val="minor"/>
          </rPr>
          <t>Memo: legacy 'unconstrained S&amp;M÷CAC' view. Under member-anchored framework this is identical to row 51 by construction. Kept for audit clarity.</t>
        </r>
      </text>
    </comment>
    <comment ref="D49" authorId="0" shapeId="0" xr:uid="{2E4B12BB-32E1-4BE4-8415-18DFE34D3EB7}">
      <text>
        <r>
          <rPr>
            <sz val="11"/>
            <color theme="1"/>
            <rFont val="Calibri"/>
            <family val="2"/>
            <scheme val="minor"/>
          </rPr>
          <t>2025: calibration year, penetration diagnostic begins 2026.</t>
        </r>
      </text>
    </comment>
    <comment ref="E50" authorId="0" shapeId="0" xr:uid="{13122117-899C-4ED0-9459-E94BB90E91D3}">
      <text>
        <r>
          <rPr>
            <sz val="11"/>
            <color theme="1"/>
            <rFont val="Calibri"/>
            <family val="2"/>
            <scheme val="minor"/>
          </rPr>
          <t>Final Gross Adds = derived row 31 (membership identity). Phase distinction collapsed under member-anchored framework. Assumptions!F119/F120 are now orphaned — see notes there.</t>
        </r>
      </text>
    </comment>
    <comment ref="F50" authorId="0" shapeId="0" xr:uid="{1C8F0526-3AE7-437C-AE66-19FDC678E99C}">
      <text>
        <r>
          <rPr>
            <sz val="11"/>
            <color theme="1"/>
            <rFont val="Calibri"/>
            <family val="2"/>
            <scheme val="minor"/>
          </rPr>
          <t>PHASE 1 INPUT yr2: hardcoded gross adds target from Assumptions!F120. S&amp;M $ at F47 derives from this × CAC.</t>
        </r>
      </text>
    </comment>
    <comment ref="E51" authorId="0" shapeId="0" xr:uid="{6294E5C4-F2BF-417E-9C49-8467372268A3}">
      <text>
        <r>
          <rPr>
            <sz val="11"/>
            <color theme="1"/>
            <rFont val="Calibri"/>
            <family val="2"/>
            <scheme val="minor"/>
          </rPr>
          <t>2026 implied S&amp;M%: green 35-55%, yellow 30-35% or 55-65%, red otherwise. High % = aggressive deployment thesis; low % = under-deploying Series G.</t>
        </r>
      </text>
    </comment>
    <comment ref="G52" authorId="0" shapeId="0" xr:uid="{150D19CF-9109-498B-A31E-068A00E2DF8B}">
      <text>
        <r>
          <rPr>
            <sz val="11"/>
            <color theme="1"/>
            <rFont val="Calibri"/>
            <family val="2"/>
            <scheme val="minor"/>
          </rPr>
          <t>Step = 2028 S&amp;M% (Phase 2 formula) minus 2027 implied (Phase 1). Large negative step = Phase 1 over-deployed; consider easing GA0a/GA0b.</t>
        </r>
      </text>
    </comment>
    <comment ref="E53" authorId="0" shapeId="0" xr:uid="{2EAE62CA-8205-4FEF-9AFE-31AD08644D20}">
      <text>
        <r>
          <rPr>
            <sz val="11"/>
            <color theme="1"/>
            <rFont val="Calibri"/>
            <family val="2"/>
            <scheme val="minor"/>
          </rPr>
          <t>Variable S&amp;M = Gross Adds (row 51) × Variable CAC (row 48). True paid acquisition cost. Excludes brand spend.</t>
        </r>
      </text>
    </comment>
    <comment ref="E54" authorId="0" shapeId="0" xr:uid="{0383494E-AF3D-483A-919F-05770C1207D8}">
      <text>
        <r>
          <rPr>
            <sz val="11"/>
            <color theme="1"/>
            <rFont val="Calibri"/>
            <family val="2"/>
            <scheme val="minor"/>
          </rPr>
          <t>Brand $ linearly interpolated from Assumptions!F124 (2026 start) to Assumptions!F125 (2033 end). Athlete partnerships, sponsorships, content production. FIXED, not per-acquisition.</t>
        </r>
      </text>
    </comment>
    <comment ref="A55" authorId="0" shapeId="0" xr:uid="{86C0FB9E-3BA0-4AEA-8315-609C135EDE6D}">
      <text>
        <r>
          <rPr>
            <sz val="11"/>
            <color theme="1"/>
            <rFont val="Calibri"/>
            <family val="2"/>
            <scheme val="minor"/>
          </rPr>
          <t>All-in CAC = Total S&amp;M ÷ Gross Adds. Brand cost amortized across acquisition. Compare to ARPU — should be ≤ 50% (Layer 5 guardrail). Hardware NOT included here — it's in COGS, not S&amp;M.</t>
        </r>
      </text>
    </comment>
    <comment ref="E55" authorId="0" shapeId="0" xr:uid="{8E96C94B-68C6-4196-A205-79DF3222DEA1}">
      <text>
        <r>
          <rPr>
            <sz val="11"/>
            <color theme="1"/>
            <rFont val="Calibri"/>
            <family val="2"/>
            <scheme val="minor"/>
          </rPr>
          <t>All-in CAC = Total S&amp;M ÷ Gross Adds. Brand cost amortized across acquisition. Compare to ARPU — should be ≤ 50% (Layer 5 guardrail).</t>
        </r>
      </text>
    </comment>
    <comment ref="E56" authorId="0" shapeId="0" xr:uid="{A907F590-8DD4-4DC9-B3B7-9CA0FD66B9C9}">
      <text>
        <r>
          <rPr>
            <sz val="11"/>
            <color theme="1"/>
            <rFont val="Calibri"/>
            <family val="2"/>
            <scheme val="minor"/>
          </rPr>
          <t>LTV = ARPU × Phase GM% ÷ Blended Churn. P1 GM (Assumptions!F36) for 2026-27.</t>
        </r>
      </text>
    </comment>
    <comment ref="G56" authorId="0" shapeId="0" xr:uid="{CDE702D1-D86A-4245-AC85-4557CB46882F}">
      <text>
        <r>
          <rPr>
            <sz val="11"/>
            <color theme="1"/>
            <rFont val="Calibri"/>
            <family val="2"/>
            <scheme val="minor"/>
          </rPr>
          <t>P2 GM (Assumptions!F37) for 2028-30.</t>
        </r>
      </text>
    </comment>
    <comment ref="J56" authorId="0" shapeId="0" xr:uid="{8D8E333D-2FE5-46DB-A9B9-4C3A61027FEC}">
      <text>
        <r>
          <rPr>
            <sz val="11"/>
            <color theme="1"/>
            <rFont val="Calibri"/>
            <family val="2"/>
            <scheme val="minor"/>
          </rPr>
          <t>Terminal GM (Assumptions!F38) for 2031-33.</t>
        </r>
      </text>
    </comment>
    <comment ref="E57" authorId="0" shapeId="0" xr:uid="{A3E891BB-4691-4984-8B25-4E7315068E0A}">
      <text>
        <r>
          <rPr>
            <sz val="11"/>
            <color theme="1"/>
            <rFont val="Calibri"/>
            <family val="2"/>
            <scheme val="minor"/>
          </rPr>
          <t>LTV ÷ All-in CAC. ≥3x = healthy unit economics. &lt;2x flag at Layer 5.</t>
        </r>
      </text>
    </comment>
    <comment ref="E58" authorId="0" shapeId="0" xr:uid="{A802468C-6117-4745-B231-0B96A1D03037}">
      <text>
        <r>
          <rPr>
            <sz val="11"/>
            <color theme="1"/>
            <rFont val="Calibri"/>
            <family val="2"/>
            <scheme val="minor"/>
          </rPr>
          <t>LTV ÷ Variable CAC. Stricter test — what acquisition itself earns, ignoring brand subsidy.</t>
        </r>
      </text>
    </comment>
    <comment ref="E60" authorId="0" shapeId="0" xr:uid="{E64C294A-C1B6-4155-B227-C08E4CDE1D0A}">
      <text>
        <r>
          <rPr>
            <sz val="11"/>
            <color theme="1"/>
            <rFont val="Calibri"/>
            <family val="2"/>
            <scheme val="minor"/>
          </rPr>
          <t>Phase-aware band test. P1 (2026-27) target 35-55% ±5pp tolerance. P2 (2028-30) target 20-30% ±3pp. P3 (2031-33) target 12-18% ±2pp. ✓ in band; ⚠ in tolerance; ✗ outside.</t>
        </r>
      </text>
    </comment>
    <comment ref="E61" authorId="0" shapeId="0" xr:uid="{EB5B6170-5C6B-4D18-9AB6-48F48C7195C5}">
      <text>
        <r>
          <rPr>
            <sz val="11"/>
            <color theme="1"/>
            <rFont val="Calibri"/>
            <family val="2"/>
            <scheme val="minor"/>
          </rPr>
          <t>Variable CAC ≤ 50% of year-specific ARPU. ✓ healthy; ⚠ 50-60%; ✗ above 60%. Tests acquisition unit economics excl. brand.</t>
        </r>
      </text>
    </comment>
    <comment ref="E62" authorId="0" shapeId="0" xr:uid="{6454975E-053B-4C99-B46A-E245B1C1ECDD}">
      <text>
        <r>
          <rPr>
            <sz val="11"/>
            <color theme="1"/>
            <rFont val="Calibri"/>
            <family val="2"/>
            <scheme val="minor"/>
          </rPr>
          <t>LTV/All-in CAC ≥ 3x. Healthy unit economics threshold.</t>
        </r>
      </text>
    </comment>
    <comment ref="E63" authorId="0" shapeId="0" xr:uid="{48072CBD-3232-4C0F-A302-1F88B75F5F63}">
      <text>
        <r>
          <rPr>
            <sz val="11"/>
            <color theme="1"/>
            <rFont val="Calibri"/>
            <family val="2"/>
            <scheme val="minor"/>
          </rPr>
          <t>LTV/Variable CAC ≥ 5x. Stricter — acquisition itself earning, ignoring brand subsidy.</t>
        </r>
      </text>
    </comment>
    <comment ref="E64" authorId="0" shapeId="0" xr:uid="{1291898A-5817-4373-9DA8-07B639DD939F}">
      <text>
        <r>
          <rPr>
            <sz val="11"/>
            <color theme="1"/>
            <rFont val="Calibri"/>
            <family val="2"/>
            <scheme val="minor"/>
          </rPr>
          <t>Ending Members / TAM ≤ 45%. Flag-only at Base/Bear; hard cap kicks in if ✗ triggers (Item 6). Bull case may bind by 2032-33.</t>
        </r>
      </text>
    </comment>
    <comment ref="E65" authorId="0" shapeId="0" xr:uid="{E7BF62E2-0640-442E-BC4E-3E14F1358ADB}">
      <text>
        <r>
          <rPr>
            <sz val="11"/>
            <color theme="1"/>
            <rFont val="Calibri"/>
            <family val="2"/>
            <scheme val="minor"/>
          </rPr>
          <t>Cumulative 2026-27 Total S&amp;M ≤ $700M Series G envelope. Single cell at 2026 column. ✓ fits Series G; ⚠ needs supplementary capital; ✗ requires additional raise.</t>
        </r>
      </text>
    </comment>
    <comment ref="E66" authorId="0" shapeId="0" xr:uid="{69146348-DF6E-4AB5-AF1B-75DCFC75AD7A}">
      <text>
        <r>
          <rPr>
            <sz val="11"/>
            <color theme="1"/>
            <rFont val="Calibri"/>
            <family val="2"/>
            <scheme val="minor"/>
          </rPr>
          <t>Year roll-up: worst status across rows 61-65. ✓ = all guardrails pass; ⚠ = at least one warning; ✗ = at least one violation. The cell to scan.</t>
        </r>
      </text>
    </comment>
    <comment ref="E67" authorId="0" shapeId="0" xr:uid="{625B1701-3C6F-400C-AE29-A5A775F6B21C}">
      <text>
        <r>
          <rPr>
            <sz val="11"/>
            <color theme="1"/>
            <rFont val="Calibri"/>
            <family val="2"/>
            <scheme val="minor"/>
          </rPr>
          <t>Reads Assumptions!F178 (trajectory ending vs Member Thesis median). Currently 0.4% — well within band. If diverged, every guardrail above is suspect because the trajectory itself is no longer cross-validated.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8" authorId="0" shapeId="0" xr:uid="{D6008ADF-3016-48B1-B5B3-D42E190FDB22}">
      <text>
        <r>
          <rPr>
            <sz val="11"/>
            <color theme="1"/>
            <rFont val="Calibri"/>
            <family val="2"/>
            <scheme val="minor"/>
          </rPr>
          <t>2025 driver = year-specific bottoms-up (D32): consumer 80% × $278 + Unite 20% × $260 = $274. Reflects partial Labs ramp (3mo at 7.5% of full-year) and pre-launch BP/Healthspan.</t>
        </r>
      </text>
    </comment>
    <comment ref="C10" authorId="0" shapeId="0" xr:uid="{CBEFB5A1-1593-D745-A2A1-8F308488D73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2024 historical: not used (engine fully runs from 2025).</t>
        </r>
      </text>
    </comment>
    <comment ref="E10" authorId="0" shapeId="0" xr:uid="{8A78DB82-D14E-44BC-9D32-00AFEE7AAF70}">
      <text>
        <r>
          <rPr>
            <sz val="11"/>
            <color rgb="FF000000"/>
            <rFont val="Calibri"/>
            <family val="2"/>
          </rPr>
          <t xml:space="preserve">2026 driver = mature bottoms-up (D33): consumer 80%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$319 + Unite 20%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$260 = $307. Step-up from 2025 reflects full Labs at maturity and BP/Healthspan launch at 5% attach.</t>
        </r>
      </text>
    </comment>
    <comment ref="D19" authorId="0" shapeId="0" xr:uid="{542AFE5F-A704-4929-AA43-75A4437CF5AE}">
      <text>
        <r>
          <rPr>
            <sz val="11"/>
            <color rgb="FF000000"/>
            <rFont val="Calibri"/>
            <family val="2"/>
          </rPr>
          <t xml:space="preserve">2025: launched 9/30. ~3mo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~30% ramp = ~7.5% of full-year potential.</t>
        </r>
      </text>
    </comment>
    <comment ref="D22" authorId="0" shapeId="0" xr:uid="{F89669B0-521E-2841-A9FB-3AA30FE51C5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Matches old 5-component build for 2025: $258.68 sub + $1.41 partial Labs + $18 acc + $0 BP = $278.</t>
        </r>
      </text>
    </comment>
    <comment ref="D26" authorId="0" shapeId="0" xr:uid="{E0A44CF0-0467-4DCD-BF90-1AFDF22232F8}">
      <text>
        <r>
          <rPr>
            <sz val="11"/>
            <color theme="1"/>
            <rFont val="Calibri"/>
            <family val="2"/>
            <scheme val="minor"/>
          </rPr>
          <t>2025: feature in beta, no paid add-on yet.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26" authorId="0" shapeId="0" xr:uid="{EBA817D1-5E3E-40D2-A509-BDC8F9682543}">
      <text>
        <r>
          <rPr>
            <sz val="11"/>
            <color theme="1"/>
            <rFont val="Calibri"/>
            <family val="2"/>
            <scheme val="minor"/>
          </rPr>
          <t>Memo only: Ending Members × current-yr ARPU ÷ Recognized Revenue. Not the same as Series G $1.1B run-rate, which is Dec exit-rate × 12. Run-rate gap to recognized rev = full-year ramp through 2025 (free-hardware launch 9/2025).</t>
        </r>
      </text>
    </comment>
    <comment ref="D27" authorId="0" shapeId="0" xr:uid="{7BC730F2-613C-4038-9875-A7DA1150B2F6}">
      <text>
        <r>
          <rPr>
            <sz val="11"/>
            <color theme="1"/>
            <rFont val="Calibri"/>
            <family val="2"/>
            <scheme val="minor"/>
          </rPr>
          <t>After Item 1 rewire: F12 derives from D10×D11 = Avg Members × Bottoms-up ARPU. Variance should be 0% (both pull from ARPU!D10).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12" authorId="0" shapeId="0" xr:uid="{D3CE433F-DDC7-804E-AA33-F991F1D930AD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2025 historical: hardcoded 40% blended COGS = 60% GM. Methodology Sec 6 anchor.</t>
        </r>
      </text>
    </comment>
    <comment ref="A13" authorId="0" shapeId="0" xr:uid="{CDB414E8-6A8E-46E6-A25A-5CA52A280065}">
      <text>
        <r>
          <rPr>
            <sz val="11"/>
            <color theme="1"/>
            <rFont val="Calibri"/>
            <family val="2"/>
            <scheme val="minor"/>
          </rPr>
          <t>Hardware $ is captured inside the blended COGS% on row 12. This row is for WC inventory accounting only — it does NOT add to total COGS (row 14).</t>
        </r>
      </text>
    </comment>
    <comment ref="L24" authorId="0" shapeId="0" xr:uid="{889D7046-4208-4BDC-96D0-5BEF5F82AB8D}">
      <text>
        <r>
          <rPr>
            <sz val="11"/>
            <color theme="1"/>
            <rFont val="Calibri"/>
            <family val="2"/>
            <scheme val="minor"/>
          </rPr>
          <t>FLAG: S&amp;M as % of current revenue runs 16-20%, vs methodology stated ~30% current. Architecture-driven gap: Members tab computes S&amp;M = prior-yr revenue × phase S&amp;M%, so as revenue grows, current-year S&amp;M / current-year revenue is structurally lower than the input rate. NOT an error — it's the consequence of fixed-S&amp;M%-of-prior-rev design. Two reconciliation paths: (a) restate methodology to prior-yr basis, or (b) raise S&amp;M phase % inputs to compensate.</t>
        </r>
      </text>
    </comment>
    <comment ref="D27" authorId="0" shapeId="0" xr:uid="{60ACBF2B-38EB-4FA2-B67F-E2AA9A0C2A23}">
      <text>
        <r>
          <rPr>
            <sz val="11"/>
            <color theme="1"/>
            <rFont val="Calibri"/>
            <family val="2"/>
            <scheme val="minor"/>
          </rPr>
          <t>2025 historical: SBC at current rate (no interpolation). 2026+ tapers from current to terminal.</t>
        </r>
      </text>
    </comment>
    <comment ref="F27" authorId="0" shapeId="0" xr:uid="{7A97E40D-DFE8-4994-B3DD-06A3832526CC}">
      <text>
        <r>
          <rPr>
            <sz val="11"/>
            <color theme="1"/>
            <rFont val="Calibri"/>
            <family val="2"/>
            <scheme val="minor"/>
          </rPr>
          <t>2027 IPO YEAR: SBC overrides smooth taper. Uses Assumptions F163 (17% Base) instead of interpolated 13.1%. Captures grant acceleration + retention refresh + ESPP launch typical in IPO year. See Assumptions row 162-163 for benchmarks.</t>
        </r>
      </text>
    </comment>
    <comment ref="G27" authorId="0" shapeId="0" xr:uid="{88351E74-BF57-4DEE-868C-DC6F4A21E5F4}">
      <text>
        <r>
          <rPr>
            <sz val="11"/>
            <color theme="1"/>
            <rFont val="Calibri"/>
            <family val="2"/>
            <scheme val="minor"/>
          </rPr>
          <t>2028 POST-LOCKUP: SBC overrides smooth taper. Uses Assumptions F164 (15% Base) instead of interpolated 12.3%. Captures lockup-expiry refresh grants. From 2029 onwards, smooth taper resumes (Assumptions F47 → F48).</t>
        </r>
      </text>
    </comment>
    <comment ref="F32" authorId="0" shapeId="0" xr:uid="{FDCCDD18-56DF-40E6-8DF1-D1F0EDB21C0E}">
      <text>
        <r>
          <rPr>
            <sz val="11"/>
            <color rgb="FF000000"/>
            <rFont val="Calibri"/>
            <family val="2"/>
          </rPr>
          <t>FLAG: 2027 EBITDA margin DIPS to 12% from 18% in 2026 despite revenue growth 28%. Driver: Members!F30 gross adds spike to 1.24M (Phase 1 deployment year), bulging hardware COGS to $148M. Mechanically correct but visually jarring. If we accept Phase 1 = 2026-2027 lump deployment, this is real. If smoother gross adds curve preferred, revisit Members!E50:F50 logic.</t>
        </r>
      </text>
    </comment>
    <comment ref="L32" authorId="0" shapeId="0" xr:uid="{AC5777F6-C777-43D9-827D-340B63ECD868}">
      <text>
        <r>
          <rPr>
            <sz val="11"/>
            <color theme="1"/>
            <rFont val="Calibri"/>
            <family val="2"/>
            <scheme val="minor"/>
          </rPr>
          <t>EBITDA margin 2033 = 33%. CALIBRATED: R&amp;D scenarios (12/15/18 Bear/Base/Bull), G&amp;A (13/11/9), SBC tapering 14%→8%. Squarely in methodology terminal range (28-32%, slight edge over). Per Assumptions C40/D40/E40, C46/D46/E46, F47/F48.</t>
        </r>
      </text>
    </comment>
    <comment ref="D39" authorId="0" shapeId="0" xr:uid="{A6C0CB2D-3DD8-446F-B22A-1F9F90448F54}">
      <text>
        <r>
          <rPr>
            <sz val="11"/>
            <color theme="1"/>
            <rFont val="Calibri"/>
            <family val="2"/>
            <scheme val="minor"/>
          </rPr>
          <t>Interest income on idle cash — NOW WIRED. Uses prior-year ending cash × yield (Assumptions F66, 3.5% base). Non-circular by construction. Does NOT flow into UFCF (DCF uses NOPAT, not NI).</t>
        </r>
      </text>
    </comment>
    <comment ref="E39" authorId="0" shapeId="0" xr:uid="{0262E4E5-1198-48B2-970B-B1FFFCB283E9}">
      <text>
        <r>
          <rPr>
            <sz val="11"/>
            <color theme="1"/>
            <rFont val="Calibri"/>
            <family val="2"/>
            <scheme val="minor"/>
          </rPr>
          <t>2026: prior-yr ending cash + half of Series G proceeds (deployed Q1, half-year convention) × yield.</t>
        </r>
      </text>
    </comment>
    <comment ref="D41" authorId="0" shapeId="0" xr:uid="{0B0D33CD-886A-41FF-9777-6EB785084765}">
      <text>
        <r>
          <rPr>
            <sz val="11"/>
            <color theme="1"/>
            <rFont val="Calibri"/>
            <family val="2"/>
            <scheme val="minor"/>
          </rPr>
          <t>Tax = MAX(0, Pretax − NOL utilized) × 23% effective rate. NOL utilization on row 47 (capped at 80% of pretax per TCJA). Schedule rows 44-48.</t>
        </r>
      </text>
    </comment>
    <comment ref="L43" authorId="0" shapeId="0" xr:uid="{286B1F4A-61A8-485B-B5C4-E2A3EAFA6334}">
      <text>
        <r>
          <rPr>
            <sz val="11"/>
            <color theme="1"/>
            <rFont val="Calibri"/>
            <family val="2"/>
            <scheme val="minor"/>
          </rPr>
          <t>Net Margin 2033 = 22%. Reflects calibrated OpEx tapers (R&amp;D/G&amp;A/SBC) + NOL + interest income. UFCF / DCF NOT affected by NI items (uses NOPAT, unlevered).</t>
        </r>
      </text>
    </comment>
    <comment ref="C46" authorId="0" shapeId="0" xr:uid="{39EC7610-01BA-433A-A4A8-BF41F74FC0E5}">
      <text>
        <r>
          <rPr>
            <sz val="11"/>
            <color theme="1"/>
            <rFont val="Calibri"/>
            <family val="2"/>
            <scheme val="minor"/>
          </rPr>
          <t>Pre-2025 NOL balance assumed $0. WHOOP has been pre-tax loss-making historically; revise if known carryforward exists.</t>
        </r>
      </text>
    </comment>
    <comment ref="D48" authorId="0" shapeId="0" xr:uid="{BB041C0B-1061-4F59-8BE9-8F29A5D5D7A3}">
      <text>
        <r>
          <rPr>
            <sz val="11"/>
            <color theme="1"/>
            <rFont val="Calibri"/>
            <family val="2"/>
            <scheme val="minor"/>
          </rPr>
          <t>NOL utilization capped at 80% of current pretax income (post-TCJA rule). Cannot exceed beginning NOL balance.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18" authorId="0" shapeId="0" xr:uid="{768607A7-240E-457E-9C83-B2B473199A65}">
      <text>
        <r>
          <rPr>
            <sz val="11"/>
            <color theme="1"/>
            <rFont val="Calibri"/>
            <family val="2"/>
            <scheme val="minor"/>
          </rPr>
          <t>FLAG: 2027 UFCF dips to $15M from $67M in 2026 — cascade from P&amp;L 2027 EBITDA dip (gross adds bulge → hardware COGS spike). Same root cause as P&amp;L F31. Mechanically correct.</t>
        </r>
      </text>
    </comment>
    <comment ref="L18" authorId="0" shapeId="0" xr:uid="{0A39DE51-46B0-4369-9F81-B9C7F924EC03}">
      <text>
        <r>
          <rPr>
            <sz val="11"/>
            <color rgb="FF000000"/>
            <rFont val="Calibri"/>
            <family val="2"/>
          </rPr>
          <t>FCF margin trajectory: 18% → 25% across forecast (improved from prior 8% → 19% before WC wiring). Now within methodology priors (Phase 3: 20-26%, terminal: 25-28%).</t>
        </r>
      </text>
    </comment>
    <comment ref="L22" authorId="0" shapeId="0" xr:uid="{5186CF52-2A2A-4510-9114-E52D0970AA4B}">
      <text>
        <r>
          <rPr>
            <sz val="11"/>
            <color theme="1"/>
            <rFont val="Calibri"/>
            <family val="2"/>
            <scheme val="minor"/>
          </rPr>
          <t>Rule of 40 (Growth + FCF Margin): 86 (2026) → 42 (2033). Methodology check passes (Phase 3 ≥ 20). Healthy cash generation profile.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8" authorId="0" shapeId="0" xr:uid="{51F56F2A-1758-49FC-B2B6-00F330FA5673}">
      <text>
        <r>
          <rPr>
            <sz val="11"/>
            <color theme="1"/>
            <rFont val="Calibri"/>
            <family val="2"/>
            <scheme val="minor"/>
          </rPr>
          <t>Mid-period assumption: average annual subscriber is 6 months into their contract, so 6 months of revenue still to recognize. → Deferred Rev = Members × ARPU × 0.5</t>
        </r>
      </text>
    </comment>
    <comment ref="D9" authorId="0" shapeId="0" xr:uid="{8F4BD9A7-1B42-4E45-835F-77C14C807093}">
      <text>
        <r>
          <rPr>
            <sz val="11"/>
            <color theme="1"/>
            <rFont val="Calibri"/>
            <family val="2"/>
            <scheme val="minor"/>
          </rPr>
          <t>Inventory = ~45 days of next-year hardware COGS. Reflects buffer stock for new member acquisitions; consumer hardware norm 30-60 days.</t>
        </r>
      </text>
    </comment>
    <comment ref="D10" authorId="0" shapeId="0" xr:uid="{139ED07F-7C72-46C2-93DB-1E4903CF826A}">
      <text>
        <r>
          <rPr>
            <sz val="11"/>
            <color theme="1"/>
            <rFont val="Calibri"/>
            <family val="2"/>
            <scheme val="minor"/>
          </rPr>
          <t>AP = ~18 days of COGS payable. Within 15-20 day range typical for hardware/subscription hybrid.</t>
        </r>
      </text>
    </comment>
    <comment ref="D11" authorId="0" shapeId="0" xr:uid="{14C3E613-B66A-43FD-B543-2907C313AAB9}">
      <text>
        <r>
          <rPr>
            <sz val="11"/>
            <color theme="1"/>
            <rFont val="Calibri"/>
            <family val="2"/>
            <scheme val="minor"/>
          </rPr>
          <t>Plug bucket: prepaids, accrued comp/marketing, other receivables. ~1.5% of revenue is a typical fitness/subscription benchmark.</t>
        </r>
      </text>
    </comment>
    <comment ref="D12" authorId="0" shapeId="0" xr:uid="{07F85D4B-D572-4A89-A8E8-054C8BFDACF5}">
      <text>
        <r>
          <rPr>
            <sz val="11"/>
            <color theme="1"/>
            <rFont val="Calibri"/>
            <family val="2"/>
            <scheme val="minor"/>
          </rPr>
          <t>Cash on BS pre-Series G. Estimate $50-100M from 2024 ops + pre-Series G runway.</t>
        </r>
      </text>
    </comment>
    <comment ref="D14" authorId="0" shapeId="0" xr:uid="{C483F1B5-1250-483C-9133-7A78E936B737}">
      <text>
        <r>
          <rPr>
            <sz val="11"/>
            <color theme="1"/>
            <rFont val="Calibri"/>
            <family val="2"/>
            <scheme val="minor"/>
          </rPr>
          <t>$575M Series G closed Q1 2026, lands in 2026 column.</t>
        </r>
      </text>
    </comment>
    <comment ref="L18" authorId="0" shapeId="0" xr:uid="{4C3CB2DB-30EC-4E06-96A0-CB790F92050F}">
      <text>
        <r>
          <rPr>
            <sz val="11"/>
            <color theme="1"/>
            <rFont val="Calibri"/>
            <family val="2"/>
            <scheme val="minor"/>
          </rPr>
          <t>2033 inventory = 2032 × 1.05 (no 2034 hardware COGS available; assume 5% growth)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J17" authorId="0" shapeId="0" xr:uid="{0AF18AD4-5C17-40B7-BC2C-53F480776B7B}">
      <text>
        <r>
          <rPr>
            <sz val="11"/>
            <color theme="1"/>
            <rFont val="Calibri"/>
            <family val="2"/>
            <scheme val="minor"/>
          </rPr>
          <t>Source: 3Y aggregate income tax / pre-tax income from 10-K via StockAnalysis (FY23-FY25).</t>
        </r>
      </text>
    </comment>
    <comment ref="K17" authorId="0" shapeId="0" xr:uid="{421BBA9B-2D56-46AE-A750-DA95755D5EB2}">
      <text>
        <r>
          <rPr>
            <sz val="11"/>
            <color theme="1"/>
            <rFont val="Calibri"/>
            <family val="2"/>
            <scheme val="minor"/>
          </rPr>
          <t>GRMN Swiss/Olathe domicile = 21%.</t>
        </r>
      </text>
    </comment>
    <comment ref="L17" authorId="0" shapeId="0" xr:uid="{AF2183F0-8AE0-4609-BEB3-F68A32717BD2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J18" authorId="0" shapeId="0" xr:uid="{97D661AF-0D94-471A-88E0-03DE3F45ECEB}">
      <text>
        <r>
          <rPr>
            <sz val="11"/>
            <color theme="1"/>
            <rFont val="Calibri"/>
            <family val="2"/>
            <scheme val="minor"/>
          </rPr>
          <t>Loss-maker — aggregate pre-tax income negative; use marginal rate per methodology.</t>
        </r>
      </text>
    </comment>
    <comment ref="L18" authorId="0" shapeId="0" xr:uid="{0579B2DC-D1D8-CD41-9B2A-AF93F5D2B890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18" authorId="0" shapeId="0" xr:uid="{040AAA25-6A3D-4D91-86D2-BD58D510889E}">
      <text>
        <r>
          <rPr>
            <sz val="11"/>
            <color rgb="FF000000"/>
            <rFont val="Calibri"/>
            <family val="2"/>
          </rPr>
          <t>PTON βᵤ likely upward-biased by distress dynamics; SPOT is the cleaner B2 anchor.</t>
        </r>
      </text>
    </comment>
    <comment ref="K19" authorId="0" shapeId="0" xr:uid="{BB63DF53-3F1B-472B-9FE2-31ADB4BCBB37}">
      <text>
        <r>
          <rPr>
            <sz val="11"/>
            <color theme="1"/>
            <rFont val="Calibri"/>
            <family val="2"/>
            <scheme val="minor"/>
          </rPr>
          <t>SPOT Lux statutory + Swedish ops blended.</t>
        </r>
      </text>
    </comment>
    <comment ref="L19" authorId="0" shapeId="0" xr:uid="{B398020B-B727-E944-858D-DD4CC4085B1C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L20" authorId="0" shapeId="0" xr:uid="{06CA0C70-5948-B242-B972-5BDC13161F84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K21" authorId="0" shapeId="0" xr:uid="{31BD3796-A07B-4B7E-B8D2-DBB022B99DB0}">
      <text>
        <r>
          <rPr>
            <sz val="11"/>
            <color theme="1"/>
            <rFont val="Calibri"/>
            <family val="2"/>
            <scheme val="minor"/>
          </rPr>
          <t>RMD US/dual-listed AU = 27% blended.</t>
        </r>
      </text>
    </comment>
    <comment ref="L21" authorId="0" shapeId="0" xr:uid="{8971AD30-E5B0-C440-ACDF-7E9A4BAD56E8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J22" authorId="0" shapeId="0" xr:uid="{E938CB56-CF71-489E-A4D5-18350F652BCA}">
      <text>
        <r>
          <rPr>
            <sz val="11"/>
            <color theme="1"/>
            <rFont val="Calibri"/>
            <family val="2"/>
            <scheme val="minor"/>
          </rPr>
          <t>Loss-maker — use marginal rate.</t>
        </r>
      </text>
    </comment>
    <comment ref="L22" authorId="0" shapeId="0" xr:uid="{E1F6B303-6E7B-0841-9069-AC7DF294B280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22" authorId="0" shapeId="0" xr:uid="{50F1AA17-D9A9-4CBC-846E-14DE4D624A05}">
      <text>
        <r>
          <rPr>
            <sz val="11"/>
            <color theme="1"/>
            <rFont val="Calibri"/>
            <family val="2"/>
            <scheme val="minor"/>
          </rPr>
          <t>MASI deal-pending compression: stock pinned to $180 since Feb 2026 Danaher deal announcement — recent vol artificially low. MASI exits comp set at H2 2026 close.</t>
        </r>
      </text>
    </comment>
    <comment ref="E23" authorId="0" shapeId="0" xr:uid="{7294CCD8-5C31-4A7C-94D5-F2234E40E4C3}">
      <text>
        <r>
          <rPr>
            <sz val="11"/>
            <color theme="1"/>
            <rFont val="Calibri"/>
            <family val="2"/>
            <scheme val="minor"/>
          </rPr>
          <t>Lowest R² in set; idiosyncratic variance dominates (reimbursement risk, FDA actions, payer mix).</t>
        </r>
      </text>
    </comment>
    <comment ref="F23" authorId="0" shapeId="0" xr:uid="{56E2C613-1264-40DA-B02C-62584BD9308E}">
      <text>
        <r>
          <rPr>
            <sz val="11"/>
            <color theme="1"/>
            <rFont val="Calibri"/>
            <family val="2"/>
            <scheme val="minor"/>
          </rPr>
          <t>Estimate.</t>
        </r>
      </text>
    </comment>
    <comment ref="G23" authorId="0" shapeId="0" xr:uid="{C51A658F-DBD9-4317-B05A-9597A1A97B78}">
      <text>
        <r>
          <rPr>
            <sz val="11"/>
            <color theme="1"/>
            <rFont val="Calibri"/>
            <family val="2"/>
            <scheme val="minor"/>
          </rPr>
          <t>Convertible debt: treating as debt = primary (D/E 0.18 → βᵤ 0.774). Treating as equity = upper sensitivity (βᵤ 0.877).</t>
        </r>
      </text>
    </comment>
    <comment ref="L23" authorId="0" shapeId="0" xr:uid="{8F5656DC-D7CF-6F44-81B8-CC7200D11DAA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23" authorId="0" shapeId="0" xr:uid="{AAF00A1B-408F-4763-9228-DF2AA8410F6D}">
      <text>
        <r>
          <rPr>
            <sz val="11"/>
            <color theme="1"/>
            <rFont val="Calibri"/>
            <family val="2"/>
            <scheme val="minor"/>
          </rPr>
          <t>Methodology Sec 2 biggest gain: 2021 CMS reimbursement crash (-83% over 7mo) is OUTSIDE the 3Y window.</t>
        </r>
      </text>
    </comment>
    <comment ref="C62" authorId="0" shapeId="0" xr:uid="{B70C201A-33DE-4E2B-9BCE-DCD2130C4C74}">
      <text>
        <r>
          <rPr>
            <sz val="11"/>
            <color theme="1"/>
            <rFont val="Calibri"/>
            <family val="2"/>
            <scheme val="minor"/>
          </rPr>
          <t>Avg of UK 5.01%, Germany/France/Sweden/Switzerland/Netherlands ~4.23-5.01%.</t>
        </r>
      </text>
    </comment>
    <comment ref="C63" authorId="0" shapeId="0" xr:uid="{79279B60-CBBD-4BF6-B768-E85B9FC82EBD}">
      <text>
        <r>
          <rPr>
            <sz val="11"/>
            <color theme="1"/>
            <rFont val="Calibri"/>
            <family val="2"/>
            <scheme val="minor"/>
          </rPr>
          <t>Avg of Japan 5.14%, Australia 4.23%, Singapore 4.23%.</t>
        </r>
      </text>
    </comment>
    <comment ref="C64" authorId="0" shapeId="0" xr:uid="{AB917B02-D5C8-4D4B-A47A-3ABF21EEE81B}">
      <text>
        <r>
          <rPr>
            <sz val="11"/>
            <color theme="1"/>
            <rFont val="Calibri"/>
            <family val="2"/>
            <scheme val="minor"/>
          </rPr>
          <t>Estimate.</t>
        </r>
      </text>
    </comment>
    <comment ref="C79" authorId="0" shapeId="0" xr:uid="{45506C36-5CD4-4BF3-96DD-EA43FC019CA8}">
      <text>
        <r>
          <rPr>
            <sz val="11"/>
            <color theme="1"/>
            <rFont val="Calibri"/>
            <family val="2"/>
            <scheme val="minor"/>
          </rPr>
          <t>Damodaran sector WACC ex-CSRP/liquidity = Rf + ERP*β + size = 8.85% Base. The 10% used in spec rounding is the WACC inclusive of CSRP.</t>
        </r>
      </text>
    </comment>
    <comment ref="B85" authorId="0" shapeId="0" xr:uid="{902F16F9-58CE-4262-918B-AAB16C722B07}">
      <text>
        <r>
          <rPr>
            <sz val="11"/>
            <color rgb="FF000000"/>
            <rFont val="Calibri"/>
            <family val="2"/>
          </rPr>
          <t>Oura Health tender Jan 2026 at 25% discount to Oct 2025 Series E. Source: Bloomberg / research/secondary-market-pricing.md.</t>
        </r>
      </text>
    </comment>
    <comment ref="E101" authorId="0" shapeId="0" xr:uid="{2B6C27CD-58BB-4DA4-8828-7E47FF9B44D0}">
      <text>
        <r>
          <rPr>
            <sz val="11"/>
            <color theme="1"/>
            <rFont val="Calibri"/>
            <family val="2"/>
            <scheme val="minor"/>
          </rPr>
          <t>Revenue-weighted ERP at 42% intl mix from Section 5.</t>
        </r>
      </text>
    </comment>
    <comment ref="E102" authorId="0" shapeId="0" xr:uid="{D2EB9C22-CDB8-47C5-B9AD-85A49EF1FCBA}">
      <text>
        <r>
          <rPr>
            <sz val="11"/>
            <color theme="1"/>
            <rFont val="Calibri"/>
            <family val="2"/>
            <scheme val="minor"/>
          </rPr>
          <t>Bottom-up bucket-weighted, ex-PTON. From Section 4.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24" authorId="0" shapeId="0" xr:uid="{5EFD5891-BFCB-4AA4-81B6-BE317CC8A692}">
      <text>
        <r>
          <rPr>
            <sz val="11"/>
            <color rgb="FF000000"/>
            <rFont val="Calibri"/>
            <family val="2"/>
          </rPr>
          <t>FLAG: 30% divergence between Exit Multiple TV ($16.1B) and Gordon TV ($11.8B). Methodology Sec 4 threshold: 25%. Improved from 55% pre-WC wiring — higher terminal FCF tightened the Gordon side. Still slightly above threshold; reflects 4.5x exit multiple's implied ~5-6% terminal growth vs Gordon's 3%.</t>
        </r>
      </text>
    </comment>
    <comment ref="C25" authorId="0" shapeId="0" xr:uid="{4C5BD419-911C-45D8-886E-7870CFAA4349}">
      <text>
        <r>
          <rPr>
            <sz val="11"/>
            <color rgb="FF000000"/>
            <rFont val="Calibri"/>
            <family val="2"/>
          </rPr>
          <t>Selected = Exit Multiple per Assumptions F76. To switch to Gordon, change to =C29.</t>
        </r>
      </text>
    </comment>
    <comment ref="C26" authorId="0" shapeId="0" xr:uid="{0E568DA4-CE97-429E-9112-C9C37BCB7B4C}">
      <text>
        <r>
          <rPr>
            <sz val="11"/>
            <color rgb="FF000000"/>
            <rFont val="Calibri"/>
            <family val="2"/>
          </rPr>
          <t>TV is at end of 2033 (year 8.5 mid-year equivalent). Discounted using K13 = 7.5-year discount factor (TV received at end of forecast period, discounted same as terminal year FCF).</t>
        </r>
      </text>
    </comment>
    <comment ref="C27" authorId="0" shapeId="0" xr:uid="{3D89DECD-4B56-4B23-AA64-F2BFCB3E1D11}">
      <text>
        <r>
          <rPr>
            <sz val="11"/>
            <color theme="1"/>
            <rFont val="Calibri"/>
            <family val="2"/>
            <scheme val="minor"/>
          </rPr>
          <t>FLAG: TV is 78% of total EV. Methodology Sec 4 threshold: 75%. Improved from 85% pre-WC wiring — forecast-period PV jumped from $1.3B to $2.1B. Still slightly above threshold. Mitigations: tighten R&amp;D/G&amp;A tapers (Cal item), extend horizon, or accept structure as appropriate for hypergrowth.</t>
        </r>
      </text>
    </comment>
    <comment ref="C37" authorId="0" shapeId="0" xr:uid="{619BA4F1-E636-7F4F-ABB5-BF525332029F}">
      <text>
        <r>
          <rPr>
            <b/>
            <sz val="10"/>
            <color rgb="FF000000"/>
            <rFont val="Tahoma"/>
            <family val="2"/>
          </rPr>
          <t>Cash add-back sourced from WC &amp; Cash!E33 (year-end 2026 ending cash, post-Series G close). Valuation as-of date = Series G close (Mar 2026). Includes: $75M beginning + $247M 2025 UFCF + $575M Series G proceeds + $112M 2026 UFCF = $1,008M. Was previously $700M hardcoded placeholder, then briefly $322M (year-end 2025, pre-Series G).</t>
        </r>
      </text>
    </comment>
    <comment ref="C45" authorId="0" shapeId="0" xr:uid="{A63CBE75-3251-C24B-82B5-B92E04CA855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RealOptions!B36 — active scenario expected option value. Replaces 3-cluster correlated framework. Single binary-gate decision tree on healthcare reimbursement pathway. Probability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eligible members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payer ARPU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medtech multiple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discount factor.</t>
        </r>
      </text>
    </comment>
    <comment ref="C46" authorId="0" shapeId="0" xr:uid="{5EBBBBFB-0165-46D0-9D7E-AE0F7D43D3DE}">
      <text>
        <r>
          <rPr>
            <sz val="11"/>
            <color rgb="FF000000"/>
            <rFont val="Calibri"/>
            <family val="2"/>
          </rPr>
          <t>Single-source from active scenario (C51). Was previously sum of 3 correlated clusters — now single binary-gate. Bear/Bull range shown in C49/C50 for diagnostic visibility.</t>
        </r>
      </text>
    </comment>
    <comment ref="C50" authorId="0" shapeId="0" xr:uid="{72C913BC-4819-1741-8AF7-EF2F4617F56B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Equity Value (post net debt + cash bridge). Apples-to-apples vs Series G $10.1B post-money.</t>
        </r>
      </text>
    </comment>
    <comment ref="C51" authorId="0" shapeId="0" xr:uid="{9EE3C429-29D0-D24B-BC18-C4C53BD912B6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Equity Value + Real Options expected value. Comparable to Series G post-money.</t>
        </r>
      </text>
    </comment>
    <comment ref="C52" authorId="0" shapeId="0" xr:uid="{399907FC-5FA5-4E5C-A274-29523E0EDD10}">
      <text>
        <r>
          <rPr>
            <sz val="11"/>
            <color theme="1"/>
            <rFont val="Calibri"/>
            <family val="2"/>
            <scheme val="minor"/>
          </rPr>
          <t>Series G $10.1B mark, March 2026. From Pitchbook/press.</t>
        </r>
      </text>
    </comment>
    <comment ref="C53" authorId="0" shapeId="0" xr:uid="{3800A337-221E-4108-899F-F655AA68C339}">
      <text>
        <r>
          <rPr>
            <sz val="11"/>
            <color theme="1"/>
            <rFont val="Calibri"/>
            <family val="2"/>
            <scheme val="minor"/>
          </rPr>
          <t>Base DCF Equity Value $8.31B vs Series G $10.1B post-money = -17.7%. Apples-to-apples comparison (was previously EV vs equity, off by net debt+cash bridge). Reflects (a) WC schedule wired, (b) cash add-back at Series G close ($1,008M), (c) exit multiple tightened to 3.5x.</t>
        </r>
      </text>
    </comment>
    <comment ref="C54" authorId="0" shapeId="0" xr:uid="{6A71D5AE-90F6-48C5-A33B-0B5566A8920D}">
      <text>
        <r>
          <rPr>
            <sz val="11"/>
            <color rgb="FF000000"/>
            <rFont val="Calibri"/>
            <family val="2"/>
          </rPr>
          <t>DCF + Options $9.01B vs Series G $10.1B = -10.8%. Even crediting healthcare option at Base probability, DCF + Options sits ~11% below Series G mark. Series G defensible only if both base case overdelivers AND healthcare materializes.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B6" authorId="0" shapeId="0" xr:uid="{8240B431-BA8F-F340-8BAC-CCDF50E0DC17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Live link to Revenue Build D20 (Option B ARPU build).</t>
        </r>
      </text>
    </comment>
    <comment ref="B7" authorId="0" shapeId="0" xr:uid="{2BA5CA60-FA8D-0645-990C-AF31AA4F5CA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Series G press release / Methodology Sec 3: $1.1B = December 2025 monthly bookings × 12. Confirmed.</t>
        </r>
      </text>
    </comment>
    <comment ref="B8" authorId="0" shapeId="0" xr:uid="{F6359A03-41EC-2549-B2AE-EBF22C3B82D1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Live link to P&amp;L E16. Forward-looking GM matches what NTM comp multiples are pricing. Spec assumed 77.5% steady-state; live model 2026E GM is close enough to be true.</t>
        </r>
      </text>
    </comment>
    <comment ref="B11" authorId="0" shapeId="0" xr:uid="{AFEBE321-EB45-E64D-8739-6632922E2316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Series G press release: 103% YoY. Used for narrative; NTM growth used for regression scatter.</t>
        </r>
      </text>
    </comment>
    <comment ref="B12" authorId="0" shapeId="0" xr:uid="{A6C9E520-7428-C04D-8836-F5FAE2A9AC07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Decelerating; pulled from DCF Phase 1 input. Used in growth-adjusted scatter regression.</t>
        </r>
      </text>
    </comment>
    <comment ref="B13" authorId="0" shapeId="0" xr:uid="{099FB44D-173B-EE46-9163-41A084B01F0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Series G post-money March 2026, Pitchbook + press.</t>
        </r>
      </text>
    </comment>
    <comment ref="E29" authorId="0" shapeId="0" xr:uid="{2A560FF9-38CB-FA42-BBE1-4D3CCE29DCB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EV/TTM Rev: $12.06B Pitchbook estimate ÷ $927M TTM revenue.</t>
        </r>
      </text>
    </comment>
    <comment ref="H29" authorId="0" shapeId="0" xr:uid="{11642A1A-7F06-8F4B-977A-5A6966D3E052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Estimated GM, hardware-heavy mix.</t>
        </r>
      </text>
    </comment>
    <comment ref="B73" authorId="0" shapeId="0" xr:uid="{0D40809C-81EA-C94B-9FAF-168E63B52E4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T2 Subscription Executed median, recognized GP basis. EV/GP normalizes WHOOP's 75% GM advantage. This is the spec's recommended single defensible point estimate.</t>
        </r>
      </text>
    </comment>
    <comment ref="B79" authorId="0" shapeId="0" xr:uid="{5D348A0E-55A7-3740-8D94-BB36442F9E93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Pitchbook estimate; Series E post-money $11.0B.</t>
        </r>
      </text>
    </comment>
    <comment ref="C117" authorId="0" shapeId="0" xr:uid="{E80BC10F-146D-7342-9D1D-D4728AD6B97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Series G EV/GP recognized = $10.1B / $435M GP.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7" authorId="0" shapeId="0" xr:uid="{B52CE114-20B9-4142-AF39-22DCB98FBCB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DCF Bear (Sensitivity!B44) + Bear scenario healthcare option (RealOptions!B32). Additive, scenario-aligned (no cross-scenario mixing).</t>
        </r>
      </text>
    </comment>
    <comment ref="D7" authorId="0" shapeId="0" xr:uid="{CA251C8C-54C7-BA40-B8E4-BD949A16234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DCF Base (Sensitivity!C44) + Base scenario healthcare option (RealOptions!C32). Additive.</t>
        </r>
      </text>
    </comment>
    <comment ref="E7" authorId="0" shapeId="0" xr:uid="{BF9C194F-701E-5048-BEF4-117C07787B2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DCF Bull (Sensitivity!D44) + Bull scenario healthcare option (RealOptions!D32). Additive, scenario-aligned.</t>
        </r>
      </text>
    </comment>
    <comment ref="C8" authorId="0" shapeId="0" xr:uid="{BE57BC98-F387-F143-AF9B-CF77A76AE691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Low: Thesis 1 (Failed Pivot) median EV/Rev × bookings. Bear floor anchor. SPEC FLAG: mixed basis across endpoints (this row uses bookings; Base row uses recognized GP). Defensible per thesis-anchored framework but worth noting if reviewer asks why bases differ.</t>
        </r>
      </text>
    </comment>
    <comment ref="D8" authorId="0" shapeId="0" xr:uid="{610FF331-E3FE-714F-A288-FD589684023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Base: Thesis 2 (Subscription Executed) median EV/GP × recognized GP. Most defensible single point per spec. EV/GP normalizes WHOOP's 75% GM advantage. SPEC FLAG: mixed basis with Low/High rows (this uses recognized; others use bookings).</t>
        </r>
      </text>
    </comment>
    <comment ref="E8" authorId="0" shapeId="0" xr:uid="{BAD93703-4001-274C-A166-2C43B6BDE6CE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High: Thesis 2 (Subscription Executed) median EV/GP × bookings GP. Bull anchor on subscription thesis. SPEC FLAG: mixed basis with Base.</t>
        </r>
      </text>
    </comment>
    <comment ref="I8" authorId="0" shapeId="0" xr:uid="{75A05FF0-C102-E848-86E2-A5C06043B010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Was 20% in old structure (with row 9 forward-comps at 15%). Consolidated to 35% since the three-thesis framework already captures forward thinking via NTM multiples.</t>
        </r>
      </text>
    </comment>
    <comment ref="I14" authorId="0" shapeId="0" xr:uid="{17D9792B-B7AF-4444-B1EF-07D892742774}">
      <text>
        <r>
          <rPr>
            <sz val="11"/>
            <color theme="1"/>
            <rFont val="Calibri"/>
            <family val="2"/>
            <scheme val="minor"/>
          </rPr>
          <t>Must equal 100%. DCF + Comps (three-thesis) + Last-Round + IPO. Row 9 deleted in comps cleanup; weight redistributed to row 8.</t>
        </r>
      </text>
    </comment>
    <comment ref="C34" authorId="0" shapeId="0" xr:uid="{FFDB45D2-B75E-8A4A-A1AC-738F85CBFA5D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Last-Round is a single point ($10.1B), not a range. Tiny range value renders as a dot/thin bar on the chart.</t>
        </r>
      </text>
    </comment>
    <comment ref="C35" authorId="0" shapeId="0" xr:uid="{E5569E50-9FEF-4D63-928A-04CB28BCAB45}">
      <text>
        <r>
          <rPr>
            <sz val="11"/>
            <color theme="1"/>
            <rFont val="Calibri"/>
            <family val="2"/>
            <scheme val="minor"/>
          </rPr>
          <t>IPO Implied Trading Range = back-solved equity range from Series G $10.1B ÷ (1−illiquidity) ÷ (1−IPO discount). Bear/Base/Bull from Assumptions C94/D94/E94.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54" authorId="0" shapeId="0" xr:uid="{69A9917A-F874-465A-ACD6-024C505EFD46}">
      <text>
        <r>
          <rPr>
            <sz val="11"/>
            <color theme="1"/>
            <rFont val="Calibri"/>
            <family val="2"/>
            <scheme val="minor"/>
          </rPr>
          <t>Approximation: holds gross adds constant, scales 2033 ending by churn delta × 5x cohort sensitivity (Y3+ is ~60% of base by 2033, compounded over 6 years gives ~5x leverage). Re-run live model for exact figures — this is the directional sensitivity.</t>
        </r>
      </text>
    </comment>
    <comment ref="I54" authorId="0" shapeId="0" xr:uid="{65A93B74-946E-4F43-B771-FB83B04555E4}">
      <text>
        <r>
          <rPr>
            <sz val="11"/>
            <color theme="1"/>
            <rFont val="Calibri"/>
            <family val="2"/>
            <scheme val="minor"/>
          </rPr>
          <t>First-order approximation: equity/share scales with terminal members (the dominant driver). True DCF flex is non-linear (revenue, FCF margin, terminal multiple all move) but member count drives ~80% of variation. Re-run live model for exact figures — this is directional.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<sst xmlns="http://schemas.openxmlformats.org/spreadsheetml/2006/main" count="2634" uniqueCount="1902">
  <si>
    <t>WHOOP Inc.</t>
  </si>
  <si>
    <t>ARPU Simplification: Option B ($305 anchor) — bottom-up justified. See ARPU tab justification block.</t>
  </si>
  <si>
    <t>Private Company Valuation</t>
  </si>
  <si>
    <t>Investment Committee Memo — Supporting Model</t>
  </si>
  <si>
    <t>Company:</t>
  </si>
  <si>
    <t>Ticker:</t>
  </si>
  <si>
    <t>Private (Pre-IPO)</t>
  </si>
  <si>
    <t>Last Round:</t>
  </si>
  <si>
    <t>Series G — $575M at $10.1B post-money (Mar 31, 2026)</t>
  </si>
  <si>
    <t>Model Date:</t>
  </si>
  <si>
    <t>April 16, 2026</t>
  </si>
  <si>
    <t>Analyst:</t>
  </si>
  <si>
    <t>Landon Brice</t>
  </si>
  <si>
    <t>Fiscal Year:</t>
  </si>
  <si>
    <t>Calendar Year (Jan-Dec)</t>
  </si>
  <si>
    <t>Currency:</t>
  </si>
  <si>
    <t>USD ($M unless noted)</t>
  </si>
  <si>
    <t>Valuation Methods:</t>
  </si>
  <si>
    <t>1. Intrinsic DCF (scenario-based + real options)</t>
  </si>
  <si>
    <t>2. Trading Comps (three-bucket framework)</t>
  </si>
  <si>
    <t>3. Precedent Transactions</t>
  </si>
  <si>
    <t>4. Last-Round Implied ($10.1B)</t>
  </si>
  <si>
    <t>5. Implied IPO Trading Range (back-solved)</t>
  </si>
  <si>
    <t>Color Convention:</t>
  </si>
  <si>
    <t>Hard-coded input</t>
  </si>
  <si>
    <t>Formula / calculation</t>
  </si>
  <si>
    <t>Cross-sheet link</t>
  </si>
  <si>
    <t>Needs verification / FLAGGED_GAP</t>
  </si>
  <si>
    <t>Source Files:</t>
  </si>
  <si>
    <t>Valuation Summary (live, scenario-driven)</t>
  </si>
  <si>
    <t>Active Scenario</t>
  </si>
  <si>
    <t>Base DCF — Enterprise Value</t>
  </si>
  <si>
    <t xml:space="preserve">  + Cash</t>
  </si>
  <si>
    <t xml:space="preserve">  − Debt</t>
  </si>
  <si>
    <t>= Equity Value</t>
  </si>
  <si>
    <t xml:space="preserve">  Per Share (FD)</t>
  </si>
  <si>
    <t>Real Options (Expected)</t>
  </si>
  <si>
    <t>Total Equity + Options</t>
  </si>
  <si>
    <t>Series G Mark</t>
  </si>
  <si>
    <t>Base DCF vs Series G</t>
  </si>
  <si>
    <t>DCF + Options vs Series G</t>
  </si>
  <si>
    <t>Football Field (multi-method synthesis)</t>
  </si>
  <si>
    <t>Weighted Average EV</t>
  </si>
  <si>
    <t xml:space="preserve">  vs Series G</t>
  </si>
  <si>
    <t>Model Integrity (Checks tab)</t>
  </si>
  <si>
    <t>Passing</t>
  </si>
  <si>
    <t>Warning</t>
  </si>
  <si>
    <t>Failing</t>
  </si>
  <si>
    <t>Overall</t>
  </si>
  <si>
    <t>Framing Decision — Base Case vs Real Options</t>
  </si>
  <si>
    <t>WHOOP — Master Assumptions</t>
  </si>
  <si>
    <t>Scenario:</t>
  </si>
  <si>
    <t>Base</t>
  </si>
  <si>
    <t>ID</t>
  </si>
  <si>
    <t>Assumption</t>
  </si>
  <si>
    <t>Bear</t>
  </si>
  <si>
    <t>Bull</t>
  </si>
  <si>
    <t>Active</t>
  </si>
  <si>
    <t>Tier</t>
  </si>
  <si>
    <t>Status</t>
  </si>
  <si>
    <t>Notes</t>
  </si>
  <si>
    <t>Section 1: Revenue &amp; Growth</t>
  </si>
  <si>
    <t>R3a</t>
  </si>
  <si>
    <t>2025 Beginning Members (M)</t>
  </si>
  <si>
    <t>Tier 3</t>
  </si>
  <si>
    <t>High</t>
  </si>
  <si>
    <t>Back-solved to reconcile avg×ARPU ≈ $650M base. Bear slower decel; bull faster acquisition.</t>
  </si>
  <si>
    <t>R3b</t>
  </si>
  <si>
    <t>2025 Ending Members (M)</t>
  </si>
  <si>
    <t>Tier 1</t>
  </si>
  <si>
    <t>Critical</t>
  </si>
  <si>
    <t>Series G press release: 2.5M+ paying members</t>
  </si>
  <si>
    <t>R3</t>
  </si>
  <si>
    <t>2025 Average Members (M) — DERIVED</t>
  </si>
  <si>
    <t>Derived</t>
  </si>
  <si>
    <t>Per methodology: ARPU applies to AVERAGE members during period, NOT year-end.</t>
  </si>
  <si>
    <t>R4</t>
  </si>
  <si>
    <t>2025 Blended ARPU ($/yr)</t>
  </si>
  <si>
    <t>Base linked to ARPU!D10 = $274 (year-specific bottoms-up: consumer 80% × $278 + Unite 20% × $260). 2026 steps to $307 (mature build w/ Labs + BP at 5% attach). Bear/Bull still hardcoded $ overrides — TODO: rebuild from tier-mix scenarios. See ARPU tab.</t>
  </si>
  <si>
    <t>R1</t>
  </si>
  <si>
    <t>2025 Recognized Revenue ($M) — DERIVED</t>
  </si>
  <si>
    <t>DERIVED: Avg Members × Blended ARPU. 2025 reconciles to $1.1B Series G run-rate as Dec exit-rate annualized, NOT full-year recognized. Gap = ramp through year (free-hardware pivot 9/2025). Memo material.</t>
  </si>
  <si>
    <t>R2</t>
  </si>
  <si>
    <t>2025 Bookings Run-Rate ($M)</t>
  </si>
  <si>
    <t>Locked</t>
  </si>
  <si>
    <t>Series G press release; CEO statement (Dec 2025 exit-rate × 12). NOT full-year recognized — see I12 reconciliation note.</t>
  </si>
  <si>
    <t>R5</t>
  </si>
  <si>
    <t>Subscription Revenue %</t>
  </si>
  <si>
    <t>Tier 2</t>
  </si>
  <si>
    <t>Sacra/BMCT: ~80-88% range</t>
  </si>
  <si>
    <t>R6</t>
  </si>
  <si>
    <t>2025 YoY Subscription Growth</t>
  </si>
  <si>
    <t>Series G press release: 103%</t>
  </si>
  <si>
    <t>R7</t>
  </si>
  <si>
    <t>Phase 1 Revenue Growth (2026-27)</t>
  </si>
  <si>
    <t>Peer trajectories; Series G deployment &amp; WHOOP 5.0 cycle</t>
  </si>
  <si>
    <t>R8</t>
  </si>
  <si>
    <t>Phase 2 Revenue Growth (2028-30)</t>
  </si>
  <si>
    <t>Deceleration shape: Dexcom (bull) / Netflix (base) / Peloton (bear)</t>
  </si>
  <si>
    <t>R9</t>
  </si>
  <si>
    <t>Phase 3 Revenue Growth (2031-33)</t>
  </si>
  <si>
    <t>TAM ceiling; healthcare attach resolution</t>
  </si>
  <si>
    <t>R10a</t>
  </si>
  <si>
    <t>Year-1 Cohort Annual Churn</t>
  </si>
  <si>
    <t>Highest churn ("try and quit"). Will drive Members tab cohort engine.</t>
  </si>
  <si>
    <t>R10b</t>
  </si>
  <si>
    <t>Year-2 Cohort Annual Churn</t>
  </si>
  <si>
    <t>Stabilizing cohort</t>
  </si>
  <si>
    <t>R10c</t>
  </si>
  <si>
    <t>Year-3+ Cohort Annual Churn</t>
  </si>
  <si>
    <t>Retained core; very sticky power users</t>
  </si>
  <si>
    <t>R11</t>
  </si>
  <si>
    <t>R12</t>
  </si>
  <si>
    <t>B2B Unite Revenue %</t>
  </si>
  <si>
    <t>Medium</t>
  </si>
  <si>
    <t>Sacra/BMCT: ~20% recurring revenue; growing rapidly</t>
  </si>
  <si>
    <t>R14</t>
  </si>
  <si>
    <t>Advanced Labs Attach Rate</t>
  </si>
  <si>
    <t>BUCKET-3 THESIS VARIABLE. Bear/Base/Bull per methodology Sec 3. Single most important ARPU assumption — swings $80/member.</t>
  </si>
  <si>
    <t>R15</t>
  </si>
  <si>
    <t>Labs Avg Test Price ($)</t>
  </si>
  <si>
    <t>WHOOP Advanced Labs site: $199-$599. Methodology base: $300.</t>
  </si>
  <si>
    <t>R16</t>
  </si>
  <si>
    <t>Annual Price Inflation</t>
  </si>
  <si>
    <t>CPI + premium brand pricing power</t>
  </si>
  <si>
    <t>R18</t>
  </si>
  <si>
    <t>2026 Gross Adds (M)</t>
  </si>
  <si>
    <t>Methodology priors: 1.8-2.0M base. Members tab will use this; per-year gross adds modeled there. CAC × this = S&amp;M consistency check.</t>
  </si>
  <si>
    <t>R19</t>
  </si>
  <si>
    <t>Deferred Revenue Adjustment (% of bookings)</t>
  </si>
  <si>
    <t>Drag during growth (recognized &lt; booked); ASC 606. Approaches 0 at steady state.</t>
  </si>
  <si>
    <t>Section 2: Cost Structure &amp; Margins</t>
  </si>
  <si>
    <t>C1</t>
  </si>
  <si>
    <t>Hardware BOM per Device ($)</t>
  </si>
  <si>
    <t>Est. $50-80 at scale; 2016 BOM was $250-300 per Contrary Research</t>
  </si>
  <si>
    <t>C2</t>
  </si>
  <si>
    <t>Loaded Hardware Cost per Acquisition ($)</t>
  </si>
  <si>
    <t>C1 + assembly, ship, warranty, returns. Drives unit economics.</t>
  </si>
  <si>
    <t>C4</t>
  </si>
  <si>
    <t>Subscription Delivery Cost (% of sub rev)</t>
  </si>
  <si>
    <t>Infra + support; AWS/GCP benchmarks; declining at scale</t>
  </si>
  <si>
    <t>C5</t>
  </si>
  <si>
    <t>Subscription Gross Margin (standalone)</t>
  </si>
  <si>
    <t>Peer: pure SaaS ~80%, Dexcom ~64% (incl consumables). WHOOP higher quality recurring.</t>
  </si>
  <si>
    <t>C6</t>
  </si>
  <si>
    <t>Hardware Gross Margin (standalone)</t>
  </si>
  <si>
    <t>Subsidized at acquisition; Peloton HW GM trajectory: -18% to +14%</t>
  </si>
  <si>
    <t>C7a</t>
  </si>
  <si>
    <t>Blended GM Phase 1 (2026-27)</t>
  </si>
  <si>
    <t>Phase 1 blended GM (legacy decomposed framework, pre-collapse to C7d). No longer drives the model post-ARPU simplification — retained for reference only.</t>
  </si>
  <si>
    <t>C7b</t>
  </si>
  <si>
    <t>Blended GM Phase 2 (2028-30)</t>
  </si>
  <si>
    <t>Margin expansion as growth decelerates</t>
  </si>
  <si>
    <t>C7c</t>
  </si>
  <si>
    <t>Blended GM Terminal</t>
  </si>
  <si>
    <t>Peer terminal: Dexcom 60%, Spotify 32%; software-heavy mix at scale</t>
  </si>
  <si>
    <t>C8a</t>
  </si>
  <si>
    <t>R&amp;D % of Revenue (current)</t>
  </si>
  <si>
    <t>Peers: Dexcom 13%, Garmin 16%, growth SaaS 20-30%</t>
  </si>
  <si>
    <t>C8b</t>
  </si>
  <si>
    <t>R&amp;D % of Revenue (terminal)</t>
  </si>
  <si>
    <t>Peer steady-state</t>
  </si>
  <si>
    <t>C9</t>
  </si>
  <si>
    <t>S&amp;M % of Revenue (current)</t>
  </si>
  <si>
    <t>Peloton peak 28.4% FY22, current 16.9% FY25. Bear = stuck high.</t>
  </si>
  <si>
    <t>C9a</t>
  </si>
  <si>
    <t>Paid CAC per Gross Add ($)</t>
  </si>
  <si>
    <t>30-50% of first-year ARPU. S&amp;M consistency check on Checks tab.</t>
  </si>
  <si>
    <t>C9b</t>
  </si>
  <si>
    <t>Athlete/Brand Spend ($M/yr)</t>
  </si>
  <si>
    <t>Press, endorsement deals; non-paid S&amp;M floor</t>
  </si>
  <si>
    <t>C9t</t>
  </si>
  <si>
    <t>x</t>
  </si>
  <si>
    <t>Peer steady-state: Garmin SG&amp;A 14-19%</t>
  </si>
  <si>
    <t>C10</t>
  </si>
  <si>
    <t>G&amp;A % of Revenue (current)</t>
  </si>
  <si>
    <t>IPO step-up 200-300bps in 2027-28 (SOX, IR, legal)</t>
  </si>
  <si>
    <t>C10t</t>
  </si>
  <si>
    <t>G&amp;A % of Revenue (terminal)</t>
  </si>
  <si>
    <t>C11a</t>
  </si>
  <si>
    <t>SBC % of Revenue (current, 2026 pre-IPO peak)</t>
  </si>
  <si>
    <t>Peloton: 9.2% FY25; pre-IPO typically higher. SBC is REAL COST in FCF.</t>
  </si>
  <si>
    <t>C11b</t>
  </si>
  <si>
    <t>SBC % of Revenue (terminal, 2033 post-IPO normalized)</t>
  </si>
  <si>
    <t>Methodology Sec 6: SBC normalizes to 6-10% post-IPO. Linear taper from F47 (current) to F48 (terminal) by 2033.</t>
  </si>
  <si>
    <t>C13</t>
  </si>
  <si>
    <t>CapEx % of Revenue</t>
  </si>
  <si>
    <t>Asset-light; contract manufacturing</t>
  </si>
  <si>
    <t>C16</t>
  </si>
  <si>
    <t>NWC % of Incremental Revenue</t>
  </si>
  <si>
    <t>Negative = WC benefit (deferred rev &gt; inventory drag during growth)</t>
  </si>
  <si>
    <t>C17</t>
  </si>
  <si>
    <t>Advanced Labs COGS %</t>
  </si>
  <si>
    <t>Quest/Labcorp panel margins ~30-40%; bucket-3 sensitivity</t>
  </si>
  <si>
    <t>C15</t>
  </si>
  <si>
    <t>Tax Rate (effective)</t>
  </si>
  <si>
    <t>US statutory; intl mix-shift lowers over time</t>
  </si>
  <si>
    <t>C12</t>
  </si>
  <si>
    <t>D&amp;A % of Revenue</t>
  </si>
  <si>
    <t>Capex amortization; lower in mature stages as growth slows. Restored after styling pass clobbered row.</t>
  </si>
  <si>
    <t>Section 3: Capital Structure &amp; Cap Table (incl. cash yield)</t>
  </si>
  <si>
    <t>S1</t>
  </si>
  <si>
    <t>Fully Diluted Shares Outstanding (M)</t>
  </si>
  <si>
    <t>361.2M common + ~50M option pool est. Pitchbook auth pref 537.9M, outs 361.2M.</t>
  </si>
  <si>
    <t>S2</t>
  </si>
  <si>
    <t>Series G Price per Share ($)</t>
  </si>
  <si>
    <t>Pitchbook Series G data; back-solve from $575M raise / shares issued</t>
  </si>
  <si>
    <t>S3</t>
  </si>
  <si>
    <t>Liquidation Preference Type</t>
  </si>
  <si>
    <t>Participating</t>
  </si>
  <si>
    <t>1x non-participating</t>
  </si>
  <si>
    <t>Pitchbook: 1x non-participating pari passu. Bear assumes participating ratchet.</t>
  </si>
  <si>
    <t>S4</t>
  </si>
  <si>
    <t>Total Liquidation Preference ($M)</t>
  </si>
  <si>
    <t>Sum of preferred raises: ~$1.4B aggregate (Series A through G)</t>
  </si>
  <si>
    <t>S7</t>
  </si>
  <si>
    <t>Option Pool Size (% of FD shares)</t>
  </si>
  <si>
    <t>Typical 10-15% pre-IPO; 600-person hiring surge implies aggressive granting</t>
  </si>
  <si>
    <t>S8</t>
  </si>
  <si>
    <t>Founder Ownership Ahmed (% FD)</t>
  </si>
  <si>
    <t>12-18% est. across 7 rounds + pool refreshes; possibly lower with secondaries</t>
  </si>
  <si>
    <t>S9</t>
  </si>
  <si>
    <t>DLOM (Discount for Lack of Marketability)</t>
  </si>
  <si>
    <t>Oura tender 25%; EquityZen avg 13-29%; Hiive 39-51% deeper discount</t>
  </si>
  <si>
    <t>S10</t>
  </si>
  <si>
    <t>Debt on Balance Sheet ($M)</t>
  </si>
  <si>
    <t>Low</t>
  </si>
  <si>
    <t>Likely minimal/zero; Pitchbook shows $10.13M debt round Mar 2024</t>
  </si>
  <si>
    <t>S11</t>
  </si>
  <si>
    <t>Cash post Series G ($M)</t>
  </si>
  <si>
    <t>Back-solve: $575M raise + operating cash flow positive entering 2026</t>
  </si>
  <si>
    <t>S12</t>
  </si>
  <si>
    <t>EV-to-Equity Bridge ($M) — DERIVED</t>
  </si>
  <si>
    <t>Cash − Debt: add to EV to bridge to equity value</t>
  </si>
  <si>
    <t>S15</t>
  </si>
  <si>
    <t>Series F Ratchet / IPO Provisions</t>
  </si>
  <si>
    <t>Live</t>
  </si>
  <si>
    <t>Likely extinguished</t>
  </si>
  <si>
    <t>Extinguished</t>
  </si>
  <si>
    <t>Likely extinguished at Series G close; SoftBank notably absent from Series G syndicate</t>
  </si>
  <si>
    <t>S16</t>
  </si>
  <si>
    <t>C18</t>
  </si>
  <si>
    <t>Cash money-market yield (interest income on idle balance)</t>
  </si>
  <si>
    <t>Yield on idle Series G cash. Apply to PRIOR-YEAR ending cash balance to avoid circularity (no feedback into current year cash).</t>
  </si>
  <si>
    <t>Section 4: WACC / Discount Rate (Damodaran Apr 2026)</t>
  </si>
  <si>
    <t>D1</t>
  </si>
  <si>
    <t>Risk-Free Rate (10yr UST)</t>
  </si>
  <si>
    <t>Fed H.15, Apr 14 2026: 4.26%; rounded 4.3%</t>
  </si>
  <si>
    <t>D2</t>
  </si>
  <si>
    <t>Equity Risk Premium</t>
  </si>
  <si>
    <t>Point Est.</t>
  </si>
  <si>
    <t>Damodaran 4.23% (Jan 2026); Kroll 5.0%; midpoint 4.5%</t>
  </si>
  <si>
    <t>D3</t>
  </si>
  <si>
    <t>Unlevered Beta (bucket-weighted)</t>
  </si>
  <si>
    <t>Sensitivity</t>
  </si>
  <si>
    <t>Damodaran sector: Healthcare 0.83, Electronics 0.83. Bucket-weighted.</t>
  </si>
  <si>
    <t>D4</t>
  </si>
  <si>
    <t>Size Premium</t>
  </si>
  <si>
    <t>Kroll CRSP Decile 3 ($7.3-13.5B): 0.81%</t>
  </si>
  <si>
    <t>D5</t>
  </si>
  <si>
    <t>Company-Specific Risk Premium (CSRP)</t>
  </si>
  <si>
    <t>Pre-IPO execution risk + private illiquidity; 1-3% range</t>
  </si>
  <si>
    <t>D8</t>
  </si>
  <si>
    <t>Implied Cost of Equity / WACC — DERIVED</t>
  </si>
  <si>
    <t>Section 5: Terminal Value</t>
  </si>
  <si>
    <t>D9</t>
  </si>
  <si>
    <t>Terminal Method (primary)</t>
  </si>
  <si>
    <t>Exit Multiple</t>
  </si>
  <si>
    <t>Design</t>
  </si>
  <si>
    <t>Primary: EV/Revenue exit multiple; cross-check: Gordon Growth</t>
  </si>
  <si>
    <t>D11</t>
  </si>
  <si>
    <t>Terminal EV/Revenue Multiple</t>
  </si>
  <si>
    <t>Compressed 40-60% from current comps; reflects terminal growth 10-15%</t>
  </si>
  <si>
    <t>D12</t>
  </si>
  <si>
    <t>Terminal EV/EBITDA Multiple</t>
  </si>
  <si>
    <t>Cross-check only; more stable than revenue multiple at maturity</t>
  </si>
  <si>
    <t>D13</t>
  </si>
  <si>
    <t>Perpetuity Growth Rate (Gordon)</t>
  </si>
  <si>
    <t>GDP growth + inflation; cannot exceed WACC</t>
  </si>
  <si>
    <t>D28</t>
  </si>
  <si>
    <t>Multiple Compression Factor</t>
  </si>
  <si>
    <t>Terminal multiples 40-60% lower than current comps. Applied to derive D11.</t>
  </si>
  <si>
    <t>Section 6: Comp Bucket Weighting — THIS IS THE THESIS</t>
  </si>
  <si>
    <t>V11a</t>
  </si>
  <si>
    <t>Bucket 1 Weight (Consumer Hardware — Garmin)</t>
  </si>
  <si>
    <t>Higher = more bearish (WHOOP as hardware company)</t>
  </si>
  <si>
    <t>V11b</t>
  </si>
  <si>
    <t>Bucket 2 Weight (Consumer Subscription — PTON/SPOT)</t>
  </si>
  <si>
    <t>Peloton-Spotify range disaggregated; where does WHOOP sit?</t>
  </si>
  <si>
    <t>V11c</t>
  </si>
  <si>
    <t>Bucket 3 Weight (Health Data — DXCM/RMD/MASI/IRTC)</t>
  </si>
  <si>
    <t>Higher = healthcare thesis is believed; Series G implied ~70%</t>
  </si>
  <si>
    <t>V11_chk</t>
  </si>
  <si>
    <t>Bucket Weights Sum (must = 100%)</t>
  </si>
  <si>
    <t>Check</t>
  </si>
  <si>
    <t>Sanity check: bucket weights must sum to 100%</t>
  </si>
  <si>
    <t>Section 7: IPO Trading Range &amp; Discount Framework</t>
  </si>
  <si>
    <t>I1</t>
  </si>
  <si>
    <t>IPO Timing (months from Series G)</t>
  </si>
  <si>
    <t>Q2 2027 - Q1 2028; "last private round" per Ahmed</t>
  </si>
  <si>
    <t>I2</t>
  </si>
  <si>
    <t>IPO Pricing Discount (to Stage 1 fair value)</t>
  </si>
  <si>
    <t>Loughran/Ritter IPO pricing studies; 15-25% standard</t>
  </si>
  <si>
    <t>I3</t>
  </si>
  <si>
    <t>I4</t>
  </si>
  <si>
    <t>Series G Investor Required IRR</t>
  </si>
  <si>
    <t>Late-stage growth equity return expectations (3-5yr hold)</t>
  </si>
  <si>
    <t>I5</t>
  </si>
  <si>
    <t>Implied Stage 1 Public Fair Value ($M) — DERIVED</t>
  </si>
  <si>
    <t>Back-solve: $10.1B / (1-illiquidity) / (1-IPO discount) → $13-15B target</t>
  </si>
  <si>
    <t>Section 8: Precedent Transactions</t>
  </si>
  <si>
    <t>P1</t>
  </si>
  <si>
    <t>Deal Inclusion Window</t>
  </si>
  <si>
    <t>Last 5 years</t>
  </si>
  <si>
    <t>2021-2026 with 3-year primary focus</t>
  </si>
  <si>
    <t>P3</t>
  </si>
  <si>
    <t>Deal Size Threshold ($M EV)</t>
  </si>
  <si>
    <t>Below this, synergy math distorts multiples</t>
  </si>
  <si>
    <t>P5</t>
  </si>
  <si>
    <t>Multiple Extraction Method</t>
  </si>
  <si>
    <t>EV/LTM Rev</t>
  </si>
  <si>
    <t>EV / LTM revenue at announcement; NTM where available</t>
  </si>
  <si>
    <t>P_b1</t>
  </si>
  <si>
    <t>Bucket 1 Precedent Multiple (median)</t>
  </si>
  <si>
    <t>Fitbit/Google ~1.3x; Garmin tuck-ins; mostly distressed exits</t>
  </si>
  <si>
    <t>P_b2</t>
  </si>
  <si>
    <t>Bucket 2 Precedent Multiple (median)</t>
  </si>
  <si>
    <t>Peloton/Precor; connected fitness all value-destructive</t>
  </si>
  <si>
    <t>P_b3</t>
  </si>
  <si>
    <t>Bucket 3 Precedent Multiple (median)</t>
  </si>
  <si>
    <t>Per research/precedent-transactions.md: B3 medtech 6.6-10.1x range</t>
  </si>
  <si>
    <t>Section 9: Real Options — see rows 154-161 (binary-gate redesign, supersedes cluster framework)</t>
  </si>
  <si>
    <t>Healthcare reimbursement pathway is the only separately-valued real option. International, B2B, women's health, glucose moved to base case sensitivities or dropped. Inputs: RO1 (probability), RO2 (eligibility %), RO3 (payer ARPU), RO4 (multiple), RO5 (years). See RealOptions tab Section 5 for full justification.</t>
  </si>
  <si>
    <t>Legend &amp; Conventions</t>
  </si>
  <si>
    <t>Blue text</t>
  </si>
  <si>
    <t>Black text</t>
  </si>
  <si>
    <t>Formula / derived calculation</t>
  </si>
  <si>
    <t>Green text</t>
  </si>
  <si>
    <t>Cross-sheet link (wired when other tabs are built)</t>
  </si>
  <si>
    <t>Yellow fill</t>
  </si>
  <si>
    <t>FLAGGED_GAP — unsourced critical, needs verification</t>
  </si>
  <si>
    <t>Active col</t>
  </si>
  <si>
    <t>Picks Bear/Base/Bull per scenario selector at $B$3</t>
  </si>
  <si>
    <t>Section 10: Gross Adds Derivation Drivers</t>
  </si>
  <si>
    <t>Gross Adds = (Prior-Yr Rev × S&amp;M%) / Blended CAC. S&amp;M% and CAC linearly interpolated between 2026 start and 2033 end endpoints (single-mechanism saturation; replaced phase-specific %s and compounding inflation rate). TAM is a diagnostic check on Members tab — flagged if penetration exceeds 40%. Blended CAC = total S&amp;M / gross adds (incl. paid + brand + athlete partnerships; excl. hardware subsidy which is in COGS).</t>
  </si>
  <si>
    <t>GA1</t>
  </si>
  <si>
    <t>S&amp;M % of Prior-Yr Revenue — 2026 START endpoint</t>
  </si>
  <si>
    <t>Series G deployment phase. Start endpoint for linear interpolation across 2026-2033.</t>
  </si>
  <si>
    <t>GA2</t>
  </si>
  <si>
    <t>S&amp;M % of Prior-Yr Revenue — 2033 END endpoint</t>
  </si>
  <si>
    <t>Mature steady-state. End endpoint for linear interpolation. Members tab interpolates linearly across years.</t>
  </si>
  <si>
    <t>GA0a</t>
  </si>
  <si>
    <t>Phase 1: 2026 Gross Adds Target (M)</t>
  </si>
  <si>
    <t>RETIRED</t>
  </si>
  <si>
    <t>RETIRED Item 2 hardcode. Now derived at Members!E31 via membership identity. Driver lives at Assumptions!F168:F175 (member growth trajectory).</t>
  </si>
  <si>
    <t>GA0b</t>
  </si>
  <si>
    <t>Phase 1: 2027 Gross Adds Target (M)</t>
  </si>
  <si>
    <t>RETIRED Item 2 hardcode. See I119.</t>
  </si>
  <si>
    <t>GA4</t>
  </si>
  <si>
    <t>Variable CAC — 2026 START ($) [paid acq only, excl. brand]</t>
  </si>
  <si>
    <t>VARIABLE CAC ONLY (paid acquisition: digital, performance, partnerships excl. brand). Re-anchored from $200 (which conflated brand into per-unit) to $150 Base. 2025 implied variable CAC: ($195M total − $40M brand) ÷ 1.5M adds = $103. Modest 2026 step-up reflects ATT/competition; not the $130→$200 jump that previously had no narrative.</t>
  </si>
  <si>
    <t>GA5</t>
  </si>
  <si>
    <t>Variable CAC — 2033 END ($) [paid acq only, excl. brand]</t>
  </si>
  <si>
    <t>Phase-aware shape compresses to a linear endpoint: Base $150→$176 reflects P1 +5%/yr (pre-IPO push) → P2 -2%/yr (post-IPO brand lift offsets) → P3 +6%/yr (TAM saturation, marginal customer harder). Bear: aggressive saturation $180→$250. Bull: brand lift dominates $130→$145.</t>
  </si>
  <si>
    <t>GA6</t>
  </si>
  <si>
    <t>TAM — Global Paying Subscribers (M)</t>
  </si>
  <si>
    <t>Diagnostic ceiling, not a damping multiplier. Penetration% shown on Members row 49; flag if &gt;40%. Bear: consumer-fitness only. Base: + international + partial Labs scaling. Bull: full health-data platform.</t>
  </si>
  <si>
    <t>GA7</t>
  </si>
  <si>
    <t>Brand &amp; Athlete Partnerships — 2026 START ($M)</t>
  </si>
  <si>
    <t>Brand spend (athlete partnerships, sponsorships, content production). FIXED component of S&amp;M, not per-acquisition. Base $40M ≈ ~30% of 2025 historical S&amp;M ($195M total × 20% brand mix) scaled up for IPO marketing push. Bear: leaner brand. Bull: aggressive Series G deployment toward category-defining brand spend (Peloton 2020 ran ~$120M brand at peak).</t>
  </si>
  <si>
    <t>GA8</t>
  </si>
  <si>
    <t>Brand $ — 2033 END ($M)</t>
  </si>
  <si>
    <t>Brand $ 2033 endpoint. Bumped from $90M to $130M (Layer 5 calibration): an 11M-member premium category leader running $90M brand was modest. Spotify peak ~$1B, Peloton 2020-21 peak ~$400M, Allbirds peak ~$200M. $130M = ~4.4% of 2033 revenue ($2,965M), peer-aligned for mature consumer-subscription brand spend. Linearly interpolated from F124 (2026 $40M) on Members tab.</t>
  </si>
  <si>
    <t>Section 11 (ARCHIVED — ARPU decomposition, no longer driving)</t>
  </si>
  <si>
    <t>Build: Sub ARPU (tier-mix-driven) + Labs (attach × price × tests) + Accessories + BP/Healthspan (attach × price). Sums to Blended ARPU on ARPU tab. Replaces single-line $338 anchor (R4) with derived value; consistency check on ARPU tab flags if 2025 derived ≠ R4 within ±5%.</t>
  </si>
  <si>
    <t>-- Subscription ARPU --</t>
  </si>
  <si>
    <t>R24a</t>
  </si>
  <si>
    <t>Tier mix — % WHOOP One (entry tier)</t>
  </si>
  <si>
    <t>WHOOP One ~$199/yr. Bear: value-heavy mix (50/35/15). Base: mid-market (30/45/25). Bull: premium-skewed (20/40/40).</t>
  </si>
  <si>
    <t>R24b</t>
  </si>
  <si>
    <t>Tier mix — % WHOOP Peak (mid tier)</t>
  </si>
  <si>
    <t>WHOOP Peak ~$239/yr. Includes Healthspan, Health Monitor, BP Insights, Stress.</t>
  </si>
  <si>
    <t>R24c</t>
  </si>
  <si>
    <t>Tier mix — % WHOOP Life (top tier)</t>
  </si>
  <si>
    <t>WHOOP Life ~$359/yr. Includes ECG, full BP, Healthspan; ships MG (medical-grade) hardware. Methodology Sec 3 "tier premium $20" maps to mix shift into Peak/Life.</t>
  </si>
  <si>
    <t>R24d</t>
  </si>
  <si>
    <t>Monthly-payer share (% of members)</t>
  </si>
  <si>
    <t>Monthly plan adds ~$14/yr premium vs annual prepay. Methodology Sec 3 "monthly plan premium $15". Stable across scenarios.</t>
  </si>
  <si>
    <t>R24e</t>
  </si>
  <si>
    <t>Tier-mix shift YoY (Peak/Life gain per year)</t>
  </si>
  <si>
    <t>Annual % shift FROM One INTO Peak/Life. Captures cohort upgrade behavior. Combined with R26 inflation drives sub ARPU growth.</t>
  </si>
  <si>
    <t>-- Advanced Labs ARPU (THE bucket-3 swing variable) --</t>
  </si>
  <si>
    <t>R25a</t>
  </si>
  <si>
    <t>Labs attach % — 2026 starting</t>
  </si>
  <si>
    <t>Single most important ARPU variable per methodology Sec 3. Bear 5%/Base 10%/Bull 25%. Anchored on 350K waitlist = 14% of 2.5M members at launch (BusinessWire 9/30/2025).</t>
  </si>
  <si>
    <t>R25b</t>
  </si>
  <si>
    <t>Labs avg test price ($)</t>
  </si>
  <si>
    <t>Disclosed pricing $199 (1 test) / $349 (2 tests) / $599 (4 tests). $250 base = mid-tier weighted. Bull pushes to $300 reflecting premium add-on uptake (Women's $299 panel, etc.).</t>
  </si>
  <si>
    <t>R25c</t>
  </si>
  <si>
    <t>Labs tests per attached member per year</t>
  </si>
  <si>
    <t>Avg cadence per attached member. Bear: 1 test (one-and-done). Base: 1.5 (between 1 and 2 plan). Bull: 2.0 (committed retest cycle).</t>
  </si>
  <si>
    <t>R25d</t>
  </si>
  <si>
    <t>Labs attach growth rate (YoY)</t>
  </si>
  <si>
    <t>Compounding attach rate growth. Bear flat (Labs stalls). Base ~9%/yr (steady ramp from 10% to ~20% by 2033). Bull ~18%/yr (healthcare thesis: 25% → ~85% by 2033).</t>
  </si>
  <si>
    <t>-- Accessories ARPU --</t>
  </si>
  <si>
    <t>R26</t>
  </si>
  <si>
    <t>Accessories ARPU ($/member/yr) — 2025 baseline</t>
  </si>
  <si>
    <t>Replacement straps + accessories. Bear: minimal upgrade. Base: typical 1-2 bands/yr at $20-50. Bull: premium SuperKnit Luxe attach.</t>
  </si>
  <si>
    <t>R26b</t>
  </si>
  <si>
    <t>Accessories ARPU YoY growth</t>
  </si>
  <si>
    <t>Modest replacement-cycle inflation. Stable line, not a thesis driver.</t>
  </si>
  <si>
    <t>-- BP/Healthspan ARPU (emerging — paid add-on layer beyond Peak/Life) --</t>
  </si>
  <si>
    <t>R27a</t>
  </si>
  <si>
    <t>BP/Healthspan paid add-on attach %</t>
  </si>
  <si>
    <t>PAID add-on beyond Peak/Life subscription. Bear: 0% (FDA Jul 2025 warning kills upsell). Base: 5%. Bull: 15%. Captures incremental BP-feature monetization above tier price.</t>
  </si>
  <si>
    <t>R27b</t>
  </si>
  <si>
    <t>BP/Healthspan add-on price ($/yr)</t>
  </si>
  <si>
    <t>Bear: $0 (no product). Base: $100 add-on. Bull: $200 (premium clinical-grade tier). FDA Jan 2026 wellness-category guidance opens but doesn't unlock medical claims.</t>
  </si>
  <si>
    <t>R27c</t>
  </si>
  <si>
    <t>BP/Healthspan attach growth (YoY)</t>
  </si>
  <si>
    <t>Compounding attach growth. Real but bounded option.</t>
  </si>
  <si>
    <t>R4g</t>
  </si>
  <si>
    <t>Blended ARPU Annual Growth (NEW — collapsed driver)</t>
  </si>
  <si>
    <t>Blended price inflation + tier mix shift up + B2B share gains. Bear 3% (price only). Base 4% (price + light mix). Bull 5% (price + mix + B2B premium expansion). NOTE: appended at row 150 (not inserted at row 12) to preserve all downstream formula references.</t>
  </si>
  <si>
    <t>C7d_start</t>
  </si>
  <si>
    <t>Blended COGS % — 2026 START (sub delivery + hardware giveaway)</t>
  </si>
  <si>
    <t>Replaces decomposed Sub COGS + Hardware COGS + Labs COGS architecture. Phase 1 (2026-27) start; linearly interpolated by P&amp;L to terminal C7d_end. Bear 28% / Base 25% / Bull 22% → implied GM 72/75/78%.</t>
  </si>
  <si>
    <t>C7d_end</t>
  </si>
  <si>
    <t>Blended COGS % — 2033 END (sub delivery + hardware giveaway)</t>
  </si>
  <si>
    <t>Phase 3 (2031-33) terminal endpoint. Bear 22% / Base 20% / Bull 18% → implied terminal GM 78/80/82%. Step DOWN from prior model's 76% terminal because legacy 90% sub GM overstated mature margin.</t>
  </si>
  <si>
    <t>Section 9: Real Options — Healthcare Pathway (binary gate)</t>
  </si>
  <si>
    <t>Single-gate decision tree on reimbursable healthcare platform thesis. Replaces 3-cluster correlated framework (success/mixed/failure). Other 'options' (international, B2B, women's, glucose) moved to base case sensitivities or dropped from RO valuation. See RealOptions tab Section 5 for justification.</t>
  </si>
  <si>
    <t>RO1</t>
  </si>
  <si>
    <t>Probability healthcare materializes (within decision window)</t>
  </si>
  <si>
    <t>iRhythm precedent: regional MAC → national CMS reimbursement took 7+ years. Conditional on Apr 2026 CMS Innovation Center selection. Bear: base rate of consumer→medical transitions failing. Bull: Abbott + Mayo as strategic investors signal credible execution.</t>
  </si>
  <si>
    <t>RO2</t>
  </si>
  <si>
    <t>Eligible member % (qualifying conditions)</t>
  </si>
  <si>
    <t>~40% of US adults have cardiometabolic risk factors (HTN, pre-diabetes, sleep disorders, AFib risk). WHOOP premium-skewed user base may overrepresent. Bear conservative; Bull at calibrated upper end (45%, tight bull).</t>
  </si>
  <si>
    <t>RO3</t>
  </si>
  <si>
    <t>Payer-paid annual ARPU per eligible member ($)</t>
  </si>
  <si>
    <t>Subscription-premium model anchored to Apple Watch + Aetna pilots ($50-300/yr). Dexcom CGM ($4-6K/yr critical care) far above. Range $200-350: WHOOP positioning is continuous monitoring without critical-care necessity. Tight bull at $350 (was $400 wide).</t>
  </si>
  <si>
    <t>RO4</t>
  </si>
  <si>
    <t>Healthcare-anchored terminal multiple (x revenue)</t>
  </si>
  <si>
    <t>Bucket-3 medtech: Dexcom 5.0x, ResMed 6.0x, Masimo 6.4x, iRhythm 5.6x. Median 5.8x. Healthcare option valued at incremental revenue × medtech-pure multiple. Tight bull at 6.0x (was 7.0x wide) — defensible for option-on-incremental-revenue without unproven economics.</t>
  </si>
  <si>
    <t>RO5</t>
  </si>
  <si>
    <t>Years to exercise (option matures)</t>
  </si>
  <si>
    <t>Bear: iRhythm-style 7yr decade pathway. Base: CMS Innovation Center accelerated route (5yr). Bull: fastest credible parallel pathway development (4yr).</t>
  </si>
  <si>
    <t>RO_chk</t>
  </si>
  <si>
    <t>Probability split sums to 100% (self-check)</t>
  </si>
  <si>
    <t>Materialize + fail must = 100% by construction. Used by Checks!B10.</t>
  </si>
  <si>
    <t>Section 11b: SBC IPO Bump (overrides smooth 2026–2033 taper for IPO years)</t>
  </si>
  <si>
    <t>Override SBC % of Revenue for 2027 (IPO year) and 2028 (post-lockup) to capture grant acceleration, refresh grants, and ESPP launch. Industry benchmarks: Snowflake +1200bps in IPO year; Airbnb +700bps; Coinbase +1000bps. Without override, smooth taper understates IPO-year dilution by ~400bps.</t>
  </si>
  <si>
    <t>C11_ipo27</t>
  </si>
  <si>
    <t>SBC % of Revenue — 2027 IPO year (override)</t>
  </si>
  <si>
    <t>C11_ipo28</t>
  </si>
  <si>
    <t>SBC % of Revenue — 2028 post-lockup (override)</t>
  </si>
  <si>
    <t>Section 12: Member Growth Trajectory (NEW — member-anchored framework)</t>
  </si>
  <si>
    <t>Year-by-year YoY ending-member growth, 2026-2033. THIS IS THE PRIMARY DRIVER for the member engine. Members!E34:L34 reads from F167:F174. Triangulated against four lenses on Member Thesis sheet — change here re-tests Lens C convergence. Replaces Phase 1 hardcodes (F119/F120) and S&amp;M%-driven Phase 2-3 logic with a single coherent thesis on member trajectory shape.</t>
  </si>
  <si>
    <t>Year / Driver</t>
  </si>
  <si>
    <t>MG1</t>
  </si>
  <si>
    <t>2026 YoY Member Growth %</t>
  </si>
  <si>
    <t>MG2</t>
  </si>
  <si>
    <t>2027 YoY Member Growth %</t>
  </si>
  <si>
    <t>MG3</t>
  </si>
  <si>
    <t>2028 YoY Member Growth %</t>
  </si>
  <si>
    <t>MG4</t>
  </si>
  <si>
    <t>2029 YoY Member Growth %</t>
  </si>
  <si>
    <t>MG5</t>
  </si>
  <si>
    <t>2030 YoY Member Growth %</t>
  </si>
  <si>
    <t>MG6</t>
  </si>
  <si>
    <t>2031 YoY Member Growth %</t>
  </si>
  <si>
    <t>MG7</t>
  </si>
  <si>
    <t>2032 YoY Member Growth %</t>
  </si>
  <si>
    <t>MG8</t>
  </si>
  <si>
    <t>2033 YoY Member Growth %</t>
  </si>
  <si>
    <t>MG_chk</t>
  </si>
  <si>
    <t>Derived 2033 Ending Members (M) — each scenario</t>
  </si>
  <si>
    <t>MG_triang</t>
  </si>
  <si>
    <t>Triangulation distance (Active vs Member Thesis median)</t>
  </si>
  <si>
    <t>Lens</t>
  </si>
  <si>
    <t>Δ vs Median</t>
  </si>
  <si>
    <t>Lens A — TAM × Terminal Share</t>
  </si>
  <si>
    <t>Input</t>
  </si>
  <si>
    <t>Value</t>
  </si>
  <si>
    <t>Note</t>
  </si>
  <si>
    <t>TAM 2025 (M)</t>
  </si>
  <si>
    <t>TAM growth rate (%/yr)</t>
  </si>
  <si>
    <t>Terminal share 2033 (%)</t>
  </si>
  <si>
    <t>Peloton CF subs at IPO (Sep 2019)</t>
  </si>
  <si>
    <t>Peloton CF subs IPO+2 (FY2021)</t>
  </si>
  <si>
    <t>Peloton CF peak (FY2023)</t>
  </si>
  <si>
    <t>Stage-shifted base case 8yr ahead (M)</t>
  </si>
  <si>
    <t>Year</t>
  </si>
  <si>
    <t>WHOOP — Member Cohort Engine</t>
  </si>
  <si>
    <t>Members in millions; cohort engine drives revenue. 2025 beginning treated as Y3+ legacy block (simplification — see note).</t>
  </si>
  <si>
    <t>Units</t>
  </si>
  <si>
    <t>Historical</t>
  </si>
  <si>
    <t>Phase 1</t>
  </si>
  <si>
    <t>Phase 2</t>
  </si>
  <si>
    <t>Phase 3</t>
  </si>
  <si>
    <t>1. Beginning Members (start of year)</t>
  </si>
  <si>
    <t>Beginning Members (total)</t>
  </si>
  <si>
    <t>M</t>
  </si>
  <si>
    <t xml:space="preserve">  of which: Year-1 cohort</t>
  </si>
  <si>
    <t xml:space="preserve">  of which: Year-2 cohort</t>
  </si>
  <si>
    <t xml:space="preserve">  of which: Year-3+ cohort</t>
  </si>
  <si>
    <t>2. Churn Rates (cohort-aged, from Assumptions)</t>
  </si>
  <si>
    <t>Year-1 churn rate</t>
  </si>
  <si>
    <t>%</t>
  </si>
  <si>
    <t>Year-2 churn rate</t>
  </si>
  <si>
    <t>Year-3+ churn rate</t>
  </si>
  <si>
    <t>3. Churned Members</t>
  </si>
  <si>
    <t xml:space="preserve">  Y1 churned</t>
  </si>
  <si>
    <t xml:space="preserve">  Y2 churned</t>
  </si>
  <si>
    <t xml:space="preserve">  Y3+ churned</t>
  </si>
  <si>
    <t>Total churned</t>
  </si>
  <si>
    <t>4. Surviving Members (end of year, before new adds)</t>
  </si>
  <si>
    <t xml:space="preserve">  Y1 survivors</t>
  </si>
  <si>
    <t xml:space="preserve">  Y2 survivors</t>
  </si>
  <si>
    <t xml:space="preserve">  Y3+ end state (incl. Y2 graduates)</t>
  </si>
  <si>
    <t>5. New Members (Gross Adds — DERIVED via membership identity)</t>
  </si>
  <si>
    <t>Gross Adds (= Δ Ending + Total Churned)</t>
  </si>
  <si>
    <t>6. Ending &amp; Average Members</t>
  </si>
  <si>
    <t>Ending Members</t>
  </si>
  <si>
    <t>Average Members</t>
  </si>
  <si>
    <t>7. Diagnostics (output, not input)</t>
  </si>
  <si>
    <t>Net Adds (Gross - Churned)</t>
  </si>
  <si>
    <t>Net Member Growth %</t>
  </si>
  <si>
    <t>Blended Annual Churn Rate (output)</t>
  </si>
  <si>
    <t>2025 ending vs Assumptions R3b (consistency)</t>
  </si>
  <si>
    <t>8. S&amp;M Build (Variable + Brand decomposition; member-anchored)</t>
  </si>
  <si>
    <t>Framework: Total S&amp;M = (Gross Adds × Variable CAC) + Brand $. P&amp;L pulls Total. Brand split exposes true variable acquisition economics.</t>
  </si>
  <si>
    <t>#</t>
  </si>
  <si>
    <t>Hist</t>
  </si>
  <si>
    <t>Adds→S&amp;M</t>
  </si>
  <si>
    <t>Rev→Adds</t>
  </si>
  <si>
    <t>Total S&amp;M $ (= Variable + Brand) [P&amp;L feeder]</t>
  </si>
  <si>
    <t>$M</t>
  </si>
  <si>
    <t>Variable CAC $ (paid acquisition only, excl. brand)</t>
  </si>
  <si>
    <t>$</t>
  </si>
  <si>
    <t xml:space="preserve">  Memo: Total S&amp;M ÷ CAC (legacy diagnostic)</t>
  </si>
  <si>
    <t>TAM Penetration % (diagnostic — flag if &gt;40%)</t>
  </si>
  <si>
    <t>n/a</t>
  </si>
  <si>
    <t>Final Gross Adds (= row 31, derived)</t>
  </si>
  <si>
    <t>Implied S&amp;M % of prior-yr revenue (diagnostic by phase)</t>
  </si>
  <si>
    <t xml:space="preserve">  Memo: 2027→2028 implied step (informational)</t>
  </si>
  <si>
    <t>pp</t>
  </si>
  <si>
    <t xml:space="preserve">  Variable S&amp;M $ (= Gross Adds × Variable CAC)</t>
  </si>
  <si>
    <t xml:space="preserve">  Brand S&amp;M $ (= linearly interp Assumptions!F124→F125)</t>
  </si>
  <si>
    <t>All-in CAC $ (= Total S&amp;M / Gross Adds) [diagnostic]</t>
  </si>
  <si>
    <t>LTV $ (= ARPU × GM% / blended churn)</t>
  </si>
  <si>
    <t>LTV / All-in CAC (≥3x healthy, &lt;2x flag)</t>
  </si>
  <si>
    <t>LTV / Variable CAC (≥5x healthy, what acquisition really earns)</t>
  </si>
  <si>
    <t>9. Guardrails (Layer 5: phase-aware bands &amp; coherence)</t>
  </si>
  <si>
    <t>Implied S&amp;M % within band (P1 35-55%, P2 20-30%, P3 12-18%)</t>
  </si>
  <si>
    <t>✓/⚠/✗</t>
  </si>
  <si>
    <t>2030 ✗ accepted as P2/P3 transition flag — model is authentically between regimes; not a band-design fix. 2033 ⚠ resolved by Brand $ bump to $130M terminal.</t>
  </si>
  <si>
    <t>Variable CAC ≤ 50% × ARPU</t>
  </si>
  <si>
    <t>LTV / All-in CAC ≥ 3.0x</t>
  </si>
  <si>
    <t>LTV / Variable CAC ≥ 5.0x</t>
  </si>
  <si>
    <t>TAM penetration ≤ 45% (hard-cap if breached)</t>
  </si>
  <si>
    <t>Capital coherence: 2026-27 cumul. S&amp;M ≤ $700M Series G</t>
  </si>
  <si>
    <t>Roll-up status (worst across rows 61-65)</t>
  </si>
  <si>
    <t>Triangulation flag (vs Member Thesis median)</t>
  </si>
  <si>
    <t>Δ%</t>
  </si>
  <si>
    <t>ARPU — Single-Line Blended Driver (collapsed from 5-component build)</t>
  </si>
  <si>
    <t>Active driver: ARPU tab bottoms-up build. 2025 driver = D32 (year-specific implied: partial Labs, no BP). 2026 driver = D33 (mature build: full Labs + BP at 5% attach). 2027+ grows at R4g. Assumptions!F11 reads from D10. Consistency check at row 38 verifies Members × ARPU ≈ Methodology rev anchor.</t>
  </si>
  <si>
    <t>Unit</t>
  </si>
  <si>
    <t>Blended ARPU (driver)</t>
  </si>
  <si>
    <t xml:space="preserve">  2025 Anchor (Assumptions R4)</t>
  </si>
  <si>
    <t>$/yr</t>
  </si>
  <si>
    <t xml:space="preserve">  Annual growth rate (Assumptions R4g)</t>
  </si>
  <si>
    <t xml:space="preserve">  Blended ARPU</t>
  </si>
  <si>
    <t>ARPU Justification (memo — does not drive model)</t>
  </si>
  <si>
    <t>Bottom-up reconciliation showing how blended ARPU reflects consumer + B2B mix. Numbers below are reference; active driver is Section 1 R4 above.</t>
  </si>
  <si>
    <t>Consumer per-member ARPU components:</t>
  </si>
  <si>
    <t xml:space="preserve">  Subscription tier-weighted average</t>
  </si>
  <si>
    <t>Tier mix 30/45/25 × $199/$239/$359 = $257; +$1.68 monthly premium</t>
  </si>
  <si>
    <t xml:space="preserve">  Labs ARPU at maturity (10% attach × $250 × 1.5 tests)</t>
  </si>
  <si>
    <t xml:space="preserve">  Accessories ARPU</t>
  </si>
  <si>
    <t xml:space="preserve">  BP/Healthspan ARPU at 5% attach (post-launch)</t>
  </si>
  <si>
    <t xml:space="preserve">  Consumer ARPU (mature, 2026+)</t>
  </si>
  <si>
    <t xml:space="preserve">  Consumer ARPU (2025, partial Labs only)</t>
  </si>
  <si>
    <t>B2B Unite per-seat:</t>
  </si>
  <si>
    <t xml:space="preserve">  Per-seat employer-rate ARPU</t>
  </si>
  <si>
    <t>B2B health platforms with bundled hardware: $200-350; standalone software: $100-180. Estimate $260 mid-range.</t>
  </si>
  <si>
    <t>Mix assumption (% of paying members):</t>
  </si>
  <si>
    <t xml:space="preserve">  Consumer share</t>
  </si>
  <si>
    <t>BMCT estimate: Unite ~20% of recurring revenue</t>
  </si>
  <si>
    <t xml:space="preserve">  Unite share</t>
  </si>
  <si>
    <t xml:space="preserve">  Mix sum check</t>
  </si>
  <si>
    <t>Must = 100%</t>
  </si>
  <si>
    <t>Implied blended ARPU 2025 (memo):</t>
  </si>
  <si>
    <t>Implied blended ARPU 2026 mature (memo):</t>
  </si>
  <si>
    <t>Anchor used in driver (D10)</t>
  </si>
  <si>
    <t>Variance vs year-specific implied (D32)</t>
  </si>
  <si>
    <t>Memo: 2026 mature check (E10 vs D33)</t>
  </si>
  <si>
    <t>Consistency Check: Members × ARPU = Revenue</t>
  </si>
  <si>
    <t xml:space="preserve">  2025 Avg Members × Blended ARPU</t>
  </si>
  <si>
    <t xml:space="preserve">  Methodology revenue prior (Assumptions R1 / F12)</t>
  </si>
  <si>
    <t xml:space="preserve">  Variance</t>
  </si>
  <si>
    <t xml:space="preserve">  Status</t>
  </si>
  <si>
    <t>WHOOP — Revenue Build-Up</t>
  </si>
  <si>
    <t>$M unless noted; Calendar Year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</si>
  <si>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</si>
  <si>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</si>
  <si>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</si>
  <si>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</si>
  <si>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</si>
  <si>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</si>
  <si>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</si>
  <si>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</si>
  <si>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</si>
  <si>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</si>
  <si>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1. Member Economics (linked from Members tab)</t>
  </si>
  <si>
    <t>Beginning Members</t>
  </si>
  <si>
    <t>Gross Adds</t>
  </si>
  <si>
    <t>Churned Members</t>
  </si>
  <si>
    <t>Avg Members</t>
  </si>
  <si>
    <t>Blended Annual Churn (output)</t>
  </si>
  <si>
    <t>2. ARPU (linked from ARPU tab)</t>
  </si>
  <si>
    <t>Blended ARPU</t>
  </si>
  <si>
    <t>3. Revenue Build</t>
  </si>
  <si>
    <t>Recognized Revenue (Total)</t>
  </si>
  <si>
    <t>Memo: Δ Deferred Rev Balance (flows to NWC, not P&amp;L)</t>
  </si>
  <si>
    <t>YoY Revenue Growth</t>
  </si>
  <si>
    <t>4. Bookings Reconciliation</t>
  </si>
  <si>
    <t>Implied Bookings (End × ARPU)</t>
  </si>
  <si>
    <t>Bookings/Revenue Ratio (memo: Ending × ARPU vs Avg × ARPU)</t>
  </si>
  <si>
    <t>2025 Recognized vs Assumptions F12 (consistency)</t>
  </si>
  <si>
    <t>WHOOP — Projected Income Statement</t>
  </si>
  <si>
    <t>$M; Calendar Year; Scenario per Assumptions toggle</t>
  </si>
  <si>
    <t>Calibration items: see notes on F31 (2027 dip), L23 (S&amp;M architecture). Margin tapers and NOL wired; refer to CalibrationLog for status.</t>
  </si>
  <si>
    <t>Revenue</t>
  </si>
  <si>
    <t>Total Revenue</t>
  </si>
  <si>
    <t>← From Revenue Build tab</t>
  </si>
  <si>
    <t>YoY Growth</t>
  </si>
  <si>
    <t>Cost of Revenue</t>
  </si>
  <si>
    <t>Total COGS (Blended COGS% × Revenue, linearly interpolated)</t>
  </si>
  <si>
    <t xml:space="preserve">  Hardware COGS (MEMO ONLY — embedded in blended COGS%; used for WC inventory only)</t>
  </si>
  <si>
    <t>Total COGS (= row 12)</t>
  </si>
  <si>
    <t>Gross Profit</t>
  </si>
  <si>
    <t>Gross Margin</t>
  </si>
  <si>
    <t>Operating Expenses</t>
  </si>
  <si>
    <t>R&amp;D</t>
  </si>
  <si>
    <t xml:space="preserve">  R&amp;D % Revenue</t>
  </si>
  <si>
    <t>← From Assumptions C7/C8</t>
  </si>
  <si>
    <t>Sales &amp; Marketing</t>
  </si>
  <si>
    <t xml:space="preserve">  S&amp;M % Revenue</t>
  </si>
  <si>
    <t>← From Assumptions C9/C10</t>
  </si>
  <si>
    <t>General &amp; Administrative</t>
  </si>
  <si>
    <t xml:space="preserve">  G&amp;A % Revenue</t>
  </si>
  <si>
    <t>← From Assumptions C11/C12</t>
  </si>
  <si>
    <t>Stock-Based Compensation</t>
  </si>
  <si>
    <t xml:space="preserve">  SBC % Revenue</t>
  </si>
  <si>
    <t>← From Assumptions C13</t>
  </si>
  <si>
    <t>Total OpEx</t>
  </si>
  <si>
    <t>Profitability</t>
  </si>
  <si>
    <t>EBITDA</t>
  </si>
  <si>
    <t>EBITDA Margin</t>
  </si>
  <si>
    <t>EBIT / Operating Income</t>
  </si>
  <si>
    <t>Operating Margin</t>
  </si>
  <si>
    <t>Rule of 40 Score</t>
  </si>
  <si>
    <t>= Revenue Growth % + EBITDA Margin %</t>
  </si>
  <si>
    <t>Below the Line</t>
  </si>
  <si>
    <t>Interest Income / (Expense)</t>
  </si>
  <si>
    <t>Pre-Tax Income</t>
  </si>
  <si>
    <t>Taxes</t>
  </si>
  <si>
    <t>Net Income</t>
  </si>
  <si>
    <t>Net Margin</t>
  </si>
  <si>
    <t>NOL Carryforward Schedule (post-TCJA, 80% utilization cap)</t>
  </si>
  <si>
    <t>Beginning NOL Balance</t>
  </si>
  <si>
    <t xml:space="preserve">  + Current Year Loss Added (if pretax &lt; 0)</t>
  </si>
  <si>
    <t xml:space="preserve">  − NOL Utilized Against Current Income</t>
  </si>
  <si>
    <t>Ending NOL Balance</t>
  </si>
  <si>
    <t>WHOOP — FCF</t>
  </si>
  <si>
    <t>Free cash flow build. ΔNWC sourced from WC &amp; Cash tab (detailed deferred-rev schedule).</t>
  </si>
  <si>
    <t>1. EBIT to NOPAT</t>
  </si>
  <si>
    <t>EBIT</t>
  </si>
  <si>
    <t>= P&amp;L EBIT (row 33)</t>
  </si>
  <si>
    <t>Less: Cash taxes on EBIT</t>
  </si>
  <si>
    <t>= P&amp;L Cash Taxes (row 40), tax-affected at effective rate</t>
  </si>
  <si>
    <t>NOPAT</t>
  </si>
  <si>
    <t>= EBIT − Cash Taxes</t>
  </si>
  <si>
    <t>2. NOPAT to Unlevered FCF</t>
  </si>
  <si>
    <t>Plus: D&amp;A</t>
  </si>
  <si>
    <t>= Revenue × D&amp;A % (Assumptions F52)</t>
  </si>
  <si>
    <t>Less: CapEx</t>
  </si>
  <si>
    <t>= −(Revenue × CapEx %) (Assumptions F48)</t>
  </si>
  <si>
    <t>Less: Change in NWC</t>
  </si>
  <si>
    <t>= From WC &amp; Cash tab (Section 3, Total ΔNWC)</t>
  </si>
  <si>
    <t>Note: SBC is REAL COST in P&amp;L — do NOT add back</t>
  </si>
  <si>
    <t>Per methodology Sec 6 — SBC stays in P&amp;L as cash-equivalent expense</t>
  </si>
  <si>
    <t>Unlevered Free Cash Flow</t>
  </si>
  <si>
    <t>= NOPAT + D&amp;A + CapEx + ΔNWC</t>
  </si>
  <si>
    <t>3. FCF Diagnostics</t>
  </si>
  <si>
    <t>FCF Margin %</t>
  </si>
  <si>
    <t>FCF / Revenue</t>
  </si>
  <si>
    <t>Rule of 40 (Growth + FCF Margin)</t>
  </si>
  <si>
    <t>Revenue Growth % + FCF Margin %</t>
  </si>
  <si>
    <t>WHOOP — Working Capital &amp; Cash Roll-Forward</t>
  </si>
  <si>
    <t>$M; pre-IPO (no debt service / dividends / buybacks). Replaces FCF-tab ΔNWC plug with explicit WC build.</t>
  </si>
  <si>
    <t>Detailed WC schedule wired into FCF tab as of this session. DCF EV impact: +$813M.</t>
  </si>
  <si>
    <t>1. Drivers</t>
  </si>
  <si>
    <t>Avg months remaining on annual sub (deferred rev)</t>
  </si>
  <si>
    <t>mo</t>
  </si>
  <si>
    <t>Inventory days (gross adds device cost)</t>
  </si>
  <si>
    <t>days</t>
  </si>
  <si>
    <t>Accounts payable days (% of total COGS)</t>
  </si>
  <si>
    <t>Other NWC (% of revenue)</t>
  </si>
  <si>
    <t>Pre-existing cash balance (start 2025)</t>
  </si>
  <si>
    <t>Series G proceeds (closed Mar 2026)</t>
  </si>
  <si>
    <t>2. Working Capital Balances (Liabilities = Source / Assets = Use)</t>
  </si>
  <si>
    <t>Deferred Revenue (= End Members × ARPU × mo/12)</t>
  </si>
  <si>
    <t>Inventory (= ~45 days of NEXT-yr hardware COGS)</t>
  </si>
  <si>
    <t>Accounts Payable (= ~18 days of total COGS)</t>
  </si>
  <si>
    <t>Other NWC (= 1.5% of revenue)</t>
  </si>
  <si>
    <t>3. Change in WC (positive = cash source)</t>
  </si>
  <si>
    <t>Δ Deferred Revenue (liability ↑ = source)</t>
  </si>
  <si>
    <t>Δ Inventory (asset ↑ = use)</t>
  </si>
  <si>
    <t>Δ Accounts Payable (liability ↑ = source)</t>
  </si>
  <si>
    <t>Δ Other NWC (asset ↑ = use)</t>
  </si>
  <si>
    <t>Total Δ NWC (cash impact)</t>
  </si>
  <si>
    <t>4. Cash Roll-Forward (pre-IPO; no debt service / dividends / buybacks)</t>
  </si>
  <si>
    <t>Beginning Cash</t>
  </si>
  <si>
    <t xml:space="preserve">  + Series G proceeds</t>
  </si>
  <si>
    <t xml:space="preserve">  + Unlevered Free Cash Flow (FCF tab)</t>
  </si>
  <si>
    <t>Ending Cash</t>
  </si>
  <si>
    <t>WHOOP — Discounted Cash Flow</t>
  </si>
  <si>
    <t>$M; Calendar Year; Base case below — see Sensitivity tab for ranges</t>
  </si>
  <si>
    <t>⚠ Integrity flags: TV divergence 30% (&gt;25% threshold), TV % EV 78% (&gt;75% threshold) — both improved materially after WC wiring. See notes on C30, C33</t>
  </si>
  <si>
    <t>1. Cash Flow &amp; Discounting</t>
  </si>
  <si>
    <t>Revenue (memo)</t>
  </si>
  <si>
    <t>← From P&amp;L tab</t>
  </si>
  <si>
    <t>← From FCF tab (single source of truth)</t>
  </si>
  <si>
    <t>WACC</t>
  </si>
  <si>
    <t>← From Assumptions F74</t>
  </si>
  <si>
    <t>Discount Period (mid-year)</t>
  </si>
  <si>
    <t>yrs</t>
  </si>
  <si>
    <t>Mid-year convention</t>
  </si>
  <si>
    <t>Discount Factor</t>
  </si>
  <si>
    <t>PV of Unlevered FCF</t>
  </si>
  <si>
    <t>= UFCF / (1+WACC)^period</t>
  </si>
  <si>
    <t>2. Terminal Value</t>
  </si>
  <si>
    <t>Terminal Year Revenue</t>
  </si>
  <si>
    <t>Terminal Year EBITDA</t>
  </si>
  <si>
    <t>Terminal Year FCF</t>
  </si>
  <si>
    <t>Exit Multiple (EV/Revenue)</t>
  </si>
  <si>
    <t>← From Assumptions F78</t>
  </si>
  <si>
    <t>Terminal Value (Exit Multiple)</t>
  </si>
  <si>
    <t>Terminal Value (Gordon Growth)</t>
  </si>
  <si>
    <t>Gordon: =FCF × (1+g) / (WACC − g)</t>
  </si>
  <si>
    <t>TV Method Divergence</t>
  </si>
  <si>
    <t>If &gt;25%, an assumption is inconsistent</t>
  </si>
  <si>
    <t>Selected Terminal Value</t>
  </si>
  <si>
    <t>PV of Terminal Value</t>
  </si>
  <si>
    <t>TV as % of Total EV</t>
  </si>
  <si>
    <t>If &gt;75%, explicit forecast doing too little</t>
  </si>
  <si>
    <t>3. Enterprise Value Summary</t>
  </si>
  <si>
    <t>Sum of PV of FCFs (2026-2033)</t>
  </si>
  <si>
    <t>Enterprise Value (DCF Base)</t>
  </si>
  <si>
    <t>4. Equity Bridge</t>
  </si>
  <si>
    <t>Enterprise Value</t>
  </si>
  <si>
    <t>Less: Debt</t>
  </si>
  <si>
    <t>~$0 (minimal)</t>
  </si>
  <si>
    <t>Plus: Cash</t>
  </si>
  <si>
    <t>$600-800M est. post-Series G</t>
  </si>
  <si>
    <t>Equity Value</t>
  </si>
  <si>
    <t>Fully Diluted Shares (M)</t>
  </si>
  <si>
    <t>~900M (PremierAlts est.)</t>
  </si>
  <si>
    <t>Equity Value per Share</t>
  </si>
  <si>
    <t>$/sh</t>
  </si>
  <si>
    <t>5. Real Options (Additive — healthcare pathway only)</t>
  </si>
  <si>
    <t>Healthcare option — Bear scenario range ($M)</t>
  </si>
  <si>
    <t>← Probability × Payoff from Assumptions</t>
  </si>
  <si>
    <t>Healthcare option — Bull scenario range ($M)</t>
  </si>
  <si>
    <t>Healthcare option — active scenario ($M)</t>
  </si>
  <si>
    <t>Expected Option Value</t>
  </si>
  <si>
    <t>Total EV (DCF + Options)</t>
  </si>
  <si>
    <t>6. Scenario Comparison vs Series G — Equity Value Basis</t>
  </si>
  <si>
    <t>DCF Base Case Equity Value</t>
  </si>
  <si>
    <t>DCF + Options Equity Value</t>
  </si>
  <si>
    <t>DCF Premium / (Discount) to Series G</t>
  </si>
  <si>
    <t>Base case = 'WHOOP executes plan'</t>
  </si>
  <si>
    <t>DCF + Options Premium / (Discount) to Series G</t>
  </si>
  <si>
    <t>Options = 'Healthcare reimbursement pathway materializes (probability-weighted, 15-25%)'</t>
  </si>
  <si>
    <t>WHOOP — Bottom-Up WACC Build (Justification)</t>
  </si>
  <si>
    <t>Cross-check on Damodaran sector approach used in Assumptions!F74. Methodology: 3Y weekly Bloomberg-adjusted betas + Oura tender-anchored liquidity premium. Pure justification — does NOT feed DCF.</t>
  </si>
  <si>
    <t>Source: research/wacc-bottom-up-build.md (May 5, 2026). Replaces 5Y monthly + Hiive premium methodology.</t>
  </si>
  <si>
    <t>Executive Summary</t>
  </si>
  <si>
    <t>• Bottom-up bucket-median unlevered betas (Bloomberg-adj, 3Y weekly): B1 = 1.01, B2 = 1.00 (ex-PTON), B3 = 0.92. Tight clustering.</t>
  </si>
  <si>
    <t>• WHOOP blended βᵤ = 0.95–0.99 across Bear/Base/Bull; Damodaran sector blended = 0.81–0.85. Delta narrowed from +0.40 (5Y monthly) to +0.10–0.18.</t>
  </si>
  <si>
    <t>• Revenue-weighted ERP = 4.61% Base (vs. pure US 4.46%); +11bps from ~42% intl mix.</t>
  </si>
  <si>
    <t>• Liquidity premium = +2.0pp anchored to Oura Jan 2026 tender at 25% discount to Series E (Oct 2025); replaces prior +5pp Hiive figure.</t>
  </si>
  <si>
    <t>• Bottom-up WACC ~11.6% Base vs. Damodaran sector ~10.4% Base — two methods converge within ~1pp. Triangulation finding.</t>
  </si>
  <si>
    <t>§1. Per-Comp Inputs &amp; Hamada Unlevered Betas</t>
  </si>
  <si>
    <t>3Y weekly OLS regression vs. ^GSPC, 157 obs (May 2023 – May 2026). Bloomberg adj: β_adj = (2/3)×β_raw + (1/3)×1.0. Hamada: βᵤ = βL / [1 + (1−t)×(D/E)].</t>
  </si>
  <si>
    <t>Comp</t>
  </si>
  <si>
    <t>Bucket</t>
  </si>
  <si>
    <t>β_raw</t>
  </si>
  <si>
    <t>β_adj</t>
  </si>
  <si>
    <t>R²</t>
  </si>
  <si>
    <t>Mkt Cap ($M)</t>
  </si>
  <si>
    <t>Debt ($M)</t>
  </si>
  <si>
    <t>Cash ($M)</t>
  </si>
  <si>
    <t>D/E</t>
  </si>
  <si>
    <t>ETR (3Y agg)</t>
  </si>
  <si>
    <t>Marg Tax</t>
  </si>
  <si>
    <t>Tax Used</t>
  </si>
  <si>
    <t>βᵤ (adj)</t>
  </si>
  <si>
    <t>βᵤ (raw chk)</t>
  </si>
  <si>
    <t>Garmin (GRMN)</t>
  </si>
  <si>
    <t>B1 Hardware</t>
  </si>
  <si>
    <t>Peloton (PTON)</t>
  </si>
  <si>
    <t>B2 Sub (distressed)</t>
  </si>
  <si>
    <t>n/m</t>
  </si>
  <si>
    <t>Spotify (SPOT)</t>
  </si>
  <si>
    <t>B2 Sub (mature)</t>
  </si>
  <si>
    <t>Dexcom (DXCM)</t>
  </si>
  <si>
    <t>B3 Health Data</t>
  </si>
  <si>
    <t>ResMed (RMD)</t>
  </si>
  <si>
    <t>Masimo (MASI)</t>
  </si>
  <si>
    <t>iRhythm (IRTC)</t>
  </si>
  <si>
    <t>R² caveat: range 5.7% (IRTC) to 21.6% (GRMN) — standard error on each β ~±0.20–0.30. Bucket medians of 4 names (B3) more robust than singletons.</t>
  </si>
  <si>
    <t>§2. Bucket Median Unlevered Betas</t>
  </si>
  <si>
    <t>Comps</t>
  </si>
  <si>
    <t>Median βᵤ (incl PTON)</t>
  </si>
  <si>
    <t>Median βᵤ (ex-PTON)</t>
  </si>
  <si>
    <t>Min</t>
  </si>
  <si>
    <t>Max</t>
  </si>
  <si>
    <t>Range</t>
  </si>
  <si>
    <t>GRMN</t>
  </si>
  <si>
    <t>B2 Subscription</t>
  </si>
  <si>
    <t>PTON, SPOT</t>
  </si>
  <si>
    <t>DXCM, RMD, MASI, IRTC</t>
  </si>
  <si>
    <t>Notes:</t>
  </si>
  <si>
    <t xml:space="preserve">  • B2 ex-PTON is primary anchor; PTON's Hamada output contaminated by distressed-equity dynamics (D/E 0.89, levered β 1.86 adj).</t>
  </si>
  <si>
    <t xml:space="preserve">  • B3 4-comp median robust to outliers — anchored by RMD (0.95) and MASI (0.88) as middle two; DXCM (1.01) and IRTC (0.77) are bookends.</t>
  </si>
  <si>
    <t>§3. Damodaran Sector Cross-Check (Jan 2026)</t>
  </si>
  <si>
    <t>Bottom-up βᵤ (ex-PTON)</t>
  </si>
  <si>
    <t>Damodaran Sector</t>
  </si>
  <si>
    <t>Sector βᵤ</t>
  </si>
  <si>
    <t># Firms</t>
  </si>
  <si>
    <t>Delta</t>
  </si>
  <si>
    <t>5Y mo Delta (prior)</t>
  </si>
  <si>
    <t>Electronics (Consumer &amp; Office)</t>
  </si>
  <si>
    <t>Software (Entertainment)</t>
  </si>
  <si>
    <t>HC Info &amp; Tech</t>
  </si>
  <si>
    <t>Convergence finding: under 3Y weekly methodology, bucket betas converge to within ±0.10 of Damodaran sector medians. Idiosyncratic events filtered out (IRTC 2021 CMS, PTON 2021 collapse); Bloomberg adjustment shrinks toward 1.0.</t>
  </si>
  <si>
    <t>§4. WHOOP Re-Levered Beta (zero debt → β_L = βᵤ)</t>
  </si>
  <si>
    <t>Bucket weights pulled live from Assumptions!C84:E86 (Bear/Base/Bull). Damodaran sector blended sourced from Assumptions!C71:E71.</t>
  </si>
  <si>
    <t>Scenario</t>
  </si>
  <si>
    <t>B1 Wt</t>
  </si>
  <si>
    <t>B2 Wt</t>
  </si>
  <si>
    <t>B3 Wt</t>
  </si>
  <si>
    <t>B1 βᵤ</t>
  </si>
  <si>
    <t>B2 βᵤ (ex-PTON)</t>
  </si>
  <si>
    <t>B3 βᵤ</t>
  </si>
  <si>
    <t>Blended βᵤ (BU)</t>
  </si>
  <si>
    <t>Damodaran βᵤ</t>
  </si>
  <si>
    <t>Blended βᵤ (PTON-incl)</t>
  </si>
  <si>
    <t>Bear (40/40/20)</t>
  </si>
  <si>
    <t>Base (20/40/40)</t>
  </si>
  <si>
    <t>Bull (10/30/60)</t>
  </si>
  <si>
    <t>Bloomberg adjustment effect on WHOOP-blended is trivial (&lt;0.02) since blend is already centered near 1.0. Remaining +0.10 to +0.18 vs. Damodaran reflects genuine WHOOP-comp-specific premium over broad sector medians.</t>
  </si>
  <si>
    <t>Note: Damodaran βᵤ in Assumptions!C71:E71 is bucket-weighted (Bear 0.85/Base 0.83/Bull 0.81 — higher β = more bearish, i.e. B1-heavy hardware mix). Bottom-up bucket-weighted output uses identical weights, so deltas are consistent across all three scenarios.</t>
  </si>
  <si>
    <t>§5. Revenue-Weighted ERP</t>
  </si>
  <si>
    <t>WHOOP intl mix ~42% (per stress-test). Intl blend: 50% UK/EU developed, 30% Asia developed, 20% other/GCC.</t>
  </si>
  <si>
    <t>Country ERPs (Damodaran Jan 2026)</t>
  </si>
  <si>
    <t>ERP</t>
  </si>
  <si>
    <t xml:space="preserve">  US</t>
  </si>
  <si>
    <t xml:space="preserve">  UK / EU developed avg</t>
  </si>
  <si>
    <t xml:space="preserve">  Asia developed avg (JP/AU/SG)</t>
  </si>
  <si>
    <t xml:space="preserve">  Other / GCC / emerging</t>
  </si>
  <si>
    <t>Blended International ERP</t>
  </si>
  <si>
    <t>Sensitivity: Intl revenue weight</t>
  </si>
  <si>
    <t>Intl Wt</t>
  </si>
  <si>
    <t>US Contrib</t>
  </si>
  <si>
    <t>Intl Contrib</t>
  </si>
  <si>
    <t>Blended ERP</t>
  </si>
  <si>
    <t>Conservative</t>
  </si>
  <si>
    <t>Base case</t>
  </si>
  <si>
    <t>Aggressive</t>
  </si>
  <si>
    <t>Net effect: +11-19bp vs. pure US ERP. Most intl revenue is developed-market with ERPs near US base — token adjustment, not a swing factor.</t>
  </si>
  <si>
    <t>§6. Liquidity Premium — Oura Tender Anchor</t>
  </si>
  <si>
    <t>Oura Jan 2026 tender priced at 25% discount to Oct 2025 Series E (~3-month gap → minimal stale-pricing decay; close to pure DLOM for high-quality wearable comp on credible IPO path).</t>
  </si>
  <si>
    <t>Translation: DLOM → WACC add-on</t>
  </si>
  <si>
    <t>Public-comp WACC base (Damodaran sector)</t>
  </si>
  <si>
    <t>Terminal growth (g)</t>
  </si>
  <si>
    <t>Public (r − g)</t>
  </si>
  <si>
    <t>DLOM scenario</t>
  </si>
  <si>
    <t>DLOM %</t>
  </si>
  <si>
    <t>PV haircut</t>
  </si>
  <si>
    <t>(r−g) ratio</t>
  </si>
  <si>
    <t>New (r−g)</t>
  </si>
  <si>
    <t>Implied add-on</t>
  </si>
  <si>
    <t>Optimistic (shorter time-to-IPO)</t>
  </si>
  <si>
    <t>Base (Oura tender)</t>
  </si>
  <si>
    <t>Conservative (Oura + WHOOP-specific)</t>
  </si>
  <si>
    <t>Recommended liquidity premium</t>
  </si>
  <si>
    <t>Bottom-up + Oura</t>
  </si>
  <si>
    <t>Existing model (Assumptions!F73)</t>
  </si>
  <si>
    <t>Why not Hiive (-39 to -51%)? Hiive prices common (subordinated to $291M preference stack), captures secondary-market valuation skepticism (not pure DLOM), and reflects thin order-book depth. Oura tender = company-organized, structured price = controlled signal.</t>
  </si>
  <si>
    <t>Oura's +2.0pp ratifies the existing 1.5% practitioner midpoint with a market anchor.</t>
  </si>
  <si>
    <t>§7. Synthesis WACC: Bottom-Up vs. Damodaran Sector</t>
  </si>
  <si>
    <t>Cost of Equity = WACC (zero debt). Build A = current model approach (Assumptions). Build B = bottom-up justification (this tab).</t>
  </si>
  <si>
    <t>Component</t>
  </si>
  <si>
    <t>Build A: Damodaran Sector</t>
  </si>
  <si>
    <t>Build B: Bottom-Up + Oura</t>
  </si>
  <si>
    <t>Delta (Base)</t>
  </si>
  <si>
    <t>Risk-free rate (10Y UST)</t>
  </si>
  <si>
    <t>Unlevered Beta (= levered, no debt)</t>
  </si>
  <si>
    <t>Size Premium (CRSP Decile 3)</t>
  </si>
  <si>
    <t>Liquidity Premium (Oura-anchored vs. CSRP)</t>
  </si>
  <si>
    <t>Implied WACC</t>
  </si>
  <si>
    <t>Decomposition of Build B − Build A delta (Base case)</t>
  </si>
  <si>
    <t>Contribution</t>
  </si>
  <si>
    <t xml:space="preserve">  Beta upgrade (0.83 → 0.97)</t>
  </si>
  <si>
    <t xml:space="preserve">  ERP revenue-weighting (4.50% → 4.60%)</t>
  </si>
  <si>
    <t xml:space="preserve">  Liquidity premium (CSRP 2.00% → Oura 2.00%)</t>
  </si>
  <si>
    <t xml:space="preserve">  Total</t>
  </si>
  <si>
    <t>Triangulation: Build A (10.85% Base, current model) and Build B (~11.6% Base, this tab) converge within ~0.7-0.8pp — two independent methods landing close gives the IC committee triangulation confidence. The +0.7pp delta is essentially the bottom-up beta premium (+0.65pp); ERP and liquidity rounding effects are trivial.</t>
  </si>
  <si>
    <t>DCF tab continues to reference Assumptions!F74 (Build A). This sheet is justification only.</t>
  </si>
  <si>
    <t>§8. Flagged Gaps &amp; Caveats</t>
  </si>
  <si>
    <t>Gap</t>
  </si>
  <si>
    <t>Path Forward</t>
  </si>
  <si>
    <t>WHOOP actual ETR / NOL position unknown — forecast tax 5-15% range fully estimated</t>
  </si>
  <si>
    <t>Wait for S-1; sensitivity in Excel</t>
  </si>
  <si>
    <t>Oura tender details (preferred vs. common) not fully disclosed</t>
  </si>
  <si>
    <t>Sacra paywall has more detail; not blocking</t>
  </si>
  <si>
    <t>PTON βᵤ still distorted by distress dynamics even under 3Y weekly</t>
  </si>
  <si>
    <t>Use ex-PTON as primary; PTON-incl as overlay (col K, Section 4)</t>
  </si>
  <si>
    <t>IRTC convertible debt treatment: βᵤ = 0.774 (debt) vs 0.877 (equity)</t>
  </si>
  <si>
    <t>B3 median essentially unchanged either way; use 0.774 primary</t>
  </si>
  <si>
    <t>MASI deal-pending compression: stock pinned to $180 since Feb 2026; vol artificially low</t>
  </si>
  <si>
    <t>MASI exits comp set at H2 2026 close — flag and move on</t>
  </si>
  <si>
    <t>R² on per-comp regressions weak (5.7-21.6%); single-name β std error ±0.20-0.30</t>
  </si>
  <si>
    <t>Bucket medians smooth; Bloomberg adj is partial correction</t>
  </si>
  <si>
    <t>B2 ex-PTON has only SPOT (n=1); SPOT 1.01 β reflects post-2024 phase-change</t>
  </si>
  <si>
    <t>Sensitivity: try B2 = 1.20; spec recommends current β as forward-looking proxy</t>
  </si>
  <si>
    <t>Public-comp WACC base for Oura translation — if 11% used vs 10%, +2pp → +1.8pp</t>
  </si>
  <si>
    <t>Documented; the 10% base is itself the Damodaran sector output</t>
  </si>
  <si>
    <t>S&amp;P 500 as sole benchmark; SPOT's true reference could be MSCI World</t>
  </si>
  <si>
    <t>Sensitivity: re-run vs MSCI ACWI; expected impact &lt;0.05 on β</t>
  </si>
  <si>
    <t>3Y weekly window excludes COVID-recovery dynamics; forward β in 2027+ may differ</t>
  </si>
  <si>
    <t>Acknowledge — current-state estimate by design</t>
  </si>
  <si>
    <t>Sources &amp; Methodology</t>
  </si>
  <si>
    <t>Spec: research/wacc-bottom-up-build.md (May 5, 2026 methodology revision — 3Y weekly Bloomberg-adj betas + Oura tender liquidity premium)</t>
  </si>
  <si>
    <t>Comp data: StockAnalysis.com statistics + financials (May 5, 2026)</t>
  </si>
  <si>
    <t>Beta regression: yfinance weekly closes May 1 2023 – May 5 2026 (157 obs); OLS vs ^GSPC; β_adj = (2/3)·β_raw + (1/3)·1.0</t>
  </si>
  <si>
    <t>Damodaran sector data: Jan 2026 update — Betas.html, ctryprem.html, wacc.html</t>
  </si>
  <si>
    <t>Risk-free rate: Fed H.15 — 10Y UST 4.26-4.30% (Apr-May 2026)</t>
  </si>
  <si>
    <t>Oura tender: Bloomberg report Jan 2026 — 25% discount to Oct 2025 Series E primary</t>
  </si>
  <si>
    <t>WHOOP — Real Options (Healthcare Pathway)</t>
  </si>
  <si>
    <t>Single-gate decision tree on reimbursable healthcare platform thesis. Class anchor: Lecture 3B (Arundel) — probability-weighted call option on uncertain future cash flows. Decision tree EV; underlying not tradable, so not Black-Scholes. Same economic logic as Arundel sequel rights.</t>
  </si>
  <si>
    <t>Section 1 — The Binary Gate</t>
  </si>
  <si>
    <t>Question: Does WHOOP become a reimbursable healthcare platform within decision window?</t>
  </si>
  <si>
    <t>Probability healthcare materializes</t>
  </si>
  <si>
    <t>Probability of failure / indefinite stall</t>
  </si>
  <si>
    <t>Section 2 — Revenue Impact if Materialized</t>
  </si>
  <si>
    <t>(Computed three times: Bear / Base / Bull scenarios)</t>
  </si>
  <si>
    <t>2033 ending members (M)</t>
  </si>
  <si>
    <t>× Eligibility % (qualifying conditions)</t>
  </si>
  <si>
    <t>= Eligible members (M)</t>
  </si>
  <si>
    <t>× Payer-paid annual ARPU ($/member)</t>
  </si>
  <si>
    <t>= Incremental annual revenue at maturity ($M)</t>
  </si>
  <si>
    <t>× Healthcare-anchored multiple (x revenue)</t>
  </si>
  <si>
    <t>= Incremental EV at exercise ($M) — undiscounted</t>
  </si>
  <si>
    <t>Section 3 — Discounting and Probability Weighting</t>
  </si>
  <si>
    <t>Years to exercise</t>
  </si>
  <si>
    <t>Discount factor (1/(1+WACC)^t)</t>
  </si>
  <si>
    <t>Discounted incremental EV ($M)</t>
  </si>
  <si>
    <t>× Probability of materialization</t>
  </si>
  <si>
    <t>= Expected option value ($M)</t>
  </si>
  <si>
    <t>= Expected option value ($B)</t>
  </si>
  <si>
    <t>Section 4 — Active Scenario Output</t>
  </si>
  <si>
    <t>Active scenario</t>
  </si>
  <si>
    <t>Expected option value (active scenario, $M)</t>
  </si>
  <si>
    <t>Expected option value (active scenario, $B)</t>
  </si>
  <si>
    <t>Section 5 — Justification (memo, not driver)</t>
  </si>
  <si>
    <t>Honest read on what supports each input. Cite specific comparables and signals.</t>
  </si>
  <si>
    <t>Probability anchor (RO1 — 15/20/25%)</t>
  </si>
  <si>
    <t>iRhythm pathway: FDA-cleared cardiac monitoring, took 7+ years from approval to stable national CMS reimbursement. Stock dropped 83% during journey. Base rate evidence for consumer→medical transitions: low and slow.</t>
  </si>
  <si>
    <t>Dexcom pathway: 15+ year ongoing reimbursement expansion from initial Type 1 diabetes coverage. Each new indication requires separate CMS review.</t>
  </si>
  <si>
    <t>WHOOP-specific positive signals: CMS Innovation Center Access Program selection (Apr 13, 2026); Abbott + Mayo Clinic as Series G investors; FDA-cleared ECG already shipping; BP Insights with FDA wellness exemptions (Jan 2026).</t>
  </si>
  <si>
    <t>WHOOP-specific gaps: zero CPT codes filed; no clinical trial data validating diagnostic claims; no disclosed Abbott/Mayo deliverables; no payer revenue projections.</t>
  </si>
  <si>
    <t>Probability range 15-25% reflects: (a) credible signals justify above pure base rate, (b) absence of clinical/regulatory milestones bounds upside.</t>
  </si>
  <si>
    <t>Eligibility anchor (RO2 — 30/40/45%)</t>
  </si>
  <si>
    <t>~40% of US adults have cardiometabolic risk factors (CDC: 47% HTN, 38% pre-diabetes, 9-12% AFib risk in over-65s, 30% sleep disorders).</t>
  </si>
  <si>
    <t>WHOOP user base premium-skewed (high health engagement); plausibly overrepresents diagnosable risk factors.</t>
  </si>
  <si>
    <t>Range 30-45%: bear conservative (only severe cases qualify); bull at calibrated upper end (was 50% wide, tightened to 45% — broad screening eligibility but stops short of aggressive).</t>
  </si>
  <si>
    <t>Payer ARPU anchor (RO3 — $200/$300/$350)</t>
  </si>
  <si>
    <t>Dexcom CGM: $4,000-6,000/yr per patient (critical care, requires continuous use). Far higher than WHOOP applicable.</t>
  </si>
  <si>
    <t>Apple Watch + Aetna pilot programs: $50-300/yr per covered member range. Closer comparable for non-critical-care monitoring.</t>
  </si>
  <si>
    <t>Range $200-350/yr reflects WHOOP positioning: continuous monitoring without critical-care necessity. Subscription-premium model, not per-event billing. Tight bull at $350 (was $400 wide) — within Aetna pilot upper bound.</t>
  </si>
  <si>
    <t>Multiple anchor (RO4 — 5.0x/6.0x/6.0x)</t>
  </si>
  <si>
    <t>Bucket-3 medtech: Dexcom 5.0x, ResMed 6.0x, Masimo 6.4x, iRhythm 5.6x revenue. Median 5.8x.</t>
  </si>
  <si>
    <t>Healthcare option valued as incremental revenue stream at medtech-pure multiple, not blended. Range 5.0-6.0x reflects bucket-3 dispersion. Tight bull at 6.0x (was 7.0x wide) — honest for option-on-incremental-revenue without proven economics.</t>
  </si>
  <si>
    <t>Timing anchor (RO5 — 7/5/4 years)</t>
  </si>
  <si>
    <t>iRhythm: 7+ years from FDA clearance to stable national CMS reimbursement.</t>
  </si>
  <si>
    <t>CMS Innovation Center Access Program: accelerated pathway designed for 3-5 year horizons (vs. standard 7-10).</t>
  </si>
  <si>
    <t>Bear 7yr / Base 5yr / Bull 4yr reflects: bear tracks iRhythm precedent; base assumes Innovation Center delivers acceleration; bull assumes parallel pathway development plus first-mover momentum.</t>
  </si>
  <si>
    <t>Section 6 — Other Options Treatment (memo)</t>
  </si>
  <si>
    <t>The original cluster framework included international, B2B Unite, women's health, and glucose. These are NOT separately valued in the new architecture. Where each lives now:</t>
  </si>
  <si>
    <t>International expansion: 43% of revenue already in base case (Assumptions R11). Incremental upside captured in Bull scenario revenue growth assumptions.</t>
  </si>
  <si>
    <t>B2B Unite: ~20% of recurring revenue, included in blended ARPU + member base post-ARPU-cleanup. Incremental enterprise penetration captured in Bull mix-shift assumptions.</t>
  </si>
  <si>
    <t>Women's health: framed as engagement/retention lever, not new revenue category. Captured in churn assumptions (Year 1-2 cohort retention) where relevant.</t>
  </si>
  <si>
    <t>Glucose: explicitly $0 contribution. Zero evidence of progress; physics problem unsolved by Apple/Samsung despite $1B+ investment. Mentioned in slide notes as 'free call option' without numerical contribution.</t>
  </si>
  <si>
    <t>If audience asks 'why not value these separately': these options either (a) generate revenue already partially in base case, leading to double-counting risk, OR (b) lack any sourced evidence base for probability/payoff inputs. Healthcare is the only option with both signal AND comparable structure (iRhythm).</t>
  </si>
  <si>
    <t>WHOOP — Public Comp Triangulation (Three-Thesis Framework)</t>
  </si>
  <si>
    <t>Comps grouped by what WHOOP would *become* under each thesis (Failed Pivot / Subscription Executed / Healthcare Platform). Within each thesis comps share economic structure; across theses they don't — so we don't average across them. Composite span feeds Football Field. Oura shown as parallel reference, never blended. Garmin reclassified as form factor reference, doesn't anchor any thesis.</t>
  </si>
  <si>
    <t>1. WHOOP Inputs</t>
  </si>
  <si>
    <t>Recognized revenue (2025, $M)</t>
  </si>
  <si>
    <t>Bookings run-rate ($M)</t>
  </si>
  <si>
    <t>Gross margin (model 2026E)</t>
  </si>
  <si>
    <t>Implied gross profit — recognized basis</t>
  </si>
  <si>
    <t>Implied gross profit — bookings basis</t>
  </si>
  <si>
    <t>LTM bookings growth</t>
  </si>
  <si>
    <t>NTM growth (model)</t>
  </si>
  <si>
    <t>Series G mark ($M)</t>
  </si>
  <si>
    <t>2. Master Comp Table</t>
  </si>
  <si>
    <t>Multiples per spec (May 5, 2026 refresh). Tier T1=direct comp parallel ref, T2=structural analogue thesis anchor, T3=boundary marker thesis anchor, T4=historical footnote. Thesis tag drives which bracket each comp anchors.</t>
  </si>
  <si>
    <t>Ticker</t>
  </si>
  <si>
    <t>Thesis</t>
  </si>
  <si>
    <t>EV/Rev NTM</t>
  </si>
  <si>
    <t>EV/GP NTM</t>
  </si>
  <si>
    <t>NTM Growth</t>
  </si>
  <si>
    <t>EV/Rev / Growth</t>
  </si>
  <si>
    <t>Peloton</t>
  </si>
  <si>
    <t>PTON</t>
  </si>
  <si>
    <t>T3</t>
  </si>
  <si>
    <t>1 — Failed Pivot</t>
  </si>
  <si>
    <t>Hardware-sub failed pivot. Bear floor.</t>
  </si>
  <si>
    <t>Sonos</t>
  </si>
  <si>
    <t>SONO</t>
  </si>
  <si>
    <t>Consumer durable in revenue decline.</t>
  </si>
  <si>
    <t>GoPro</t>
  </si>
  <si>
    <t>GPRO</t>
  </si>
  <si>
    <t>Failed subscription pivot, terminal decline.</t>
  </si>
  <si>
    <t>Spotify</t>
  </si>
  <si>
    <t>SPOT</t>
  </si>
  <si>
    <t>T2</t>
  </si>
  <si>
    <t>2 — Subscription Executed</t>
  </si>
  <si>
    <t>Mature pure subscription. Profitability proof drove +116% multiple expansion 3yr.</t>
  </si>
  <si>
    <t>Roku</t>
  </si>
  <si>
    <t>ROKU</t>
  </si>
  <si>
    <t>Platform with hardware as CAC, profitability inflection.</t>
  </si>
  <si>
    <t>Dexcom</t>
  </si>
  <si>
    <t>DXCM</t>
  </si>
  <si>
    <t>3 — Healthcare Platform</t>
  </si>
  <si>
    <t>FDA-cleared CGM, reimbursed. Compressed -67% from 13.8x in 2023.</t>
  </si>
  <si>
    <t>iRhythm</t>
  </si>
  <si>
    <t>IRTC</t>
  </si>
  <si>
    <t>Cardiac monitoring, CMS-reimbursed. Closest pathway analog. Compressed -51% from peak.</t>
  </si>
  <si>
    <t>ResMed</t>
  </si>
  <si>
    <t>RMD</t>
  </si>
  <si>
    <t>Sleep apnea, reimbursed, mature.</t>
  </si>
  <si>
    <t>Masimo</t>
  </si>
  <si>
    <t>MASI</t>
  </si>
  <si>
    <t>Hospital monitoring, sensor-first.</t>
  </si>
  <si>
    <t>Garmin</t>
  </si>
  <si>
    <t>Form factor ref — not anchored</t>
  </si>
  <si>
    <t>Diversified hardware conglomerate. WHOOP isn't fundamentally hardware. Reference only.</t>
  </si>
  <si>
    <t>Oura</t>
  </si>
  <si>
    <t>(private)</t>
  </si>
  <si>
    <t>T1</t>
  </si>
  <si>
    <t>Parallel ref — never blended</t>
  </si>
  <si>
    <t>Only direct comp; private. Same Gornall/Strebulaev critique applies as Series G.</t>
  </si>
  <si>
    <t>Fitbit (IPO 2015)</t>
  </si>
  <si>
    <t>FIT</t>
  </si>
  <si>
    <t>T4</t>
  </si>
  <si>
    <t>Historical footnote</t>
  </si>
  <si>
    <t>Peak public-market mark before category compression.</t>
  </si>
  <si>
    <t>Fitbit (Google acquire 2021)</t>
  </si>
  <si>
    <t>Strategic exit; revenue-declining at sale.</t>
  </si>
  <si>
    <t>3. Thesis Summary — Bracketed Implied WHOOP Valuations</t>
  </si>
  <si>
    <t>Three theses about what WHOOP becomes. Within each, comps share economic structure; across theses they don't. Each bracket shows EV/Rev and EV/GP ranges and computes 4 implied-EV variants × WHOOP financials.</t>
  </si>
  <si>
    <t>Thesis 1 — Failed Pivot (Bear)</t>
  </si>
  <si>
    <t>Anchors: Peloton, Sonos, GoPro. Question: what if WHOOP fails to defend subscription economics and reverts to hardware-dependent revenue?</t>
  </si>
  <si>
    <t>Median</t>
  </si>
  <si>
    <t>Implied EV ($M):</t>
  </si>
  <si>
    <t xml:space="preserve">  Recognized × EV/Rev</t>
  </si>
  <si>
    <t xml:space="preserve">  Bookings × EV/Rev</t>
  </si>
  <si>
    <t xml:space="preserve">  Recognized GP × EV/GP</t>
  </si>
  <si>
    <t xml:space="preserve">  Bookings GP × EV/GP</t>
  </si>
  <si>
    <t>Thesis 2 — Subscription Executed (Base)</t>
  </si>
  <si>
    <t>Anchors: Spotify, Roku. Question: what if WHOOP becomes a premium consumer subscription business at scale? EV/GP is the more analytically relevant multiple here — normalizes WHOOP's GM advantage (75% vs Spotify 32% / Roku 44%).</t>
  </si>
  <si>
    <t>Thesis 3 — Healthcare Platform (Bull / Optionality)</t>
  </si>
  <si>
    <t>Anchors: Dexcom, iRhythm, ResMed, Masimo. Question: what if WHOOP becomes a reimbursable health-data platform with FDA/CMS pathway success? Note multiples have de-rated -51 to -67% from 2023 peaks — bull case more constrained than 2023 multiples would suggest.</t>
  </si>
  <si>
    <t>4. Composite Span (across all theses)</t>
  </si>
  <si>
    <t>Lowest defensible (Bear, recognized basis)</t>
  </si>
  <si>
    <t>Highest defensible (Sub Executed, bookings GP × EV/GP)</t>
  </si>
  <si>
    <t>Most defensible base (T2 median, recognized GP × EV/GP)</t>
  </si>
  <si>
    <t>Series G mark</t>
  </si>
  <si>
    <t>5. Oura — Private Market Category Reference (parallel, never blended)</t>
  </si>
  <si>
    <t>Oura at 13x recognized is a private-market data point on category pricing. Comparison flips between EV/Rev and EV/GP — real analytical content.</t>
  </si>
  <si>
    <t>Oura TEV ($M)</t>
  </si>
  <si>
    <t>Oura TTM revenue ($M)</t>
  </si>
  <si>
    <t>Oura EV/Rev</t>
  </si>
  <si>
    <t>Oura EV/GP (est. 50% GM)</t>
  </si>
  <si>
    <t>WHOOP at Series G — EV/Rev (recognized)</t>
  </si>
  <si>
    <t>WHOOP at Series G — EV/GP (recognized)</t>
  </si>
  <si>
    <t>Read</t>
  </si>
  <si>
    <t>WHOOP higher than Oura on EV/Rev, lower on EV/GP. Margin advantage flips it. Both private marks reflect rich category pricing.</t>
  </si>
  <si>
    <t>6. Series G Implied Multiples — Back-Solve Diagnostic</t>
  </si>
  <si>
    <t>What multiple does Series G $10.1B imply on each thesis basis? Compare to thesis medians to see how far above the comp set Series G sits.</t>
  </si>
  <si>
    <t>Series G implied</t>
  </si>
  <si>
    <t>T1 median</t>
  </si>
  <si>
    <t>T2 median</t>
  </si>
  <si>
    <t>T3 median</t>
  </si>
  <si>
    <t>Premium (Series G vs T2 median)</t>
  </si>
  <si>
    <t>EV/Rev (recognized basis)</t>
  </si>
  <si>
    <t>EV/Rev (bookings basis)</t>
  </si>
  <si>
    <t>EV/GP (recognized basis)</t>
  </si>
  <si>
    <t>EV/GP (bookings basis)</t>
  </si>
  <si>
    <t>7. Historical Regime (V19) — Multiple Compression in Health Data</t>
  </si>
  <si>
    <t>Health-data multiples have structurally compressed (Dexcom -67%, iRhythm -51% over 3yr). Spotify shows the inverse: profitability proof drove +116% expansion. WHOOP's path runs through Spotify's template, not Dexcom's. Series G investors may have anchored to 2023-era multiples that no longer exist.</t>
  </si>
  <si>
    <t>Company</t>
  </si>
  <si>
    <t>3yr Change</t>
  </si>
  <si>
    <t>8. Growth-Adjusted Scatter Data (regression input — visual built separately)</t>
  </si>
  <si>
    <t>X = NTM growth, Y = EV/GP NTM. T2 anchors used for regression line. WHOOP plotted at NTM growth (~70%) and Series G implied EV/GP. Linear extrapolation produces nonsense at extreme growth (concave relationship), so this is narrative-only — no $ output.</t>
  </si>
  <si>
    <t>X: NTM Growth</t>
  </si>
  <si>
    <t>Y: EV/GP NTM</t>
  </si>
  <si>
    <t>In Regression?</t>
  </si>
  <si>
    <t>No (T3)</t>
  </si>
  <si>
    <t>Yes (T2)</t>
  </si>
  <si>
    <t>WHOOP at Series G</t>
  </si>
  <si>
    <t>WHOOP</t>
  </si>
  <si>
    <t>Plotted, not in regression</t>
  </si>
  <si>
    <t>T2 Regression (slope, intercept):</t>
  </si>
  <si>
    <t>Slope</t>
  </si>
  <si>
    <t>Intercept</t>
  </si>
  <si>
    <t>Predicted EV/GP at WHOOP NTM growth</t>
  </si>
  <si>
    <t>WHOOP actual EV/GP at Series G</t>
  </si>
  <si>
    <t>Distance from regression line</t>
  </si>
  <si>
    <t>9. Key Findings (carry to memo)</t>
  </si>
  <si>
    <t>1. Public comp triangulation produces a span across three theses. Within each thesis, comps share economic structure; across theses they don't, so we don't average across them. Composite span: $0.7B (T1 floor, recognized basis) to $9.4B (T2 ceiling, bookings GP × EV/GP).</t>
  </si>
  <si>
    <t>2. Most defensible single point: T2 Subscription Executed median, recognized GP × EV/GP = ~$4.0B. EV/GP normalizes WHOOP's 75% GM advantage (vs Spotify 32% / Roku 44%). On EV/Rev alone, WHOOP gets penalized for its margin profile.</t>
  </si>
  <si>
    <t>3. Healthcare Platform thesis (T3) implies $3.5B-$6.6B median — less optionality than 2023-era multiples would suggest. Dexcom -67% / iRhythm -51% over 3 years: the health data multiple has structurally de-rated. Bull case more constrained than the comp library implies at peak.</t>
  </si>
  <si>
    <t>4. Series G implied multiples are above every thesis median: 17.4x recognized rev (vs T2 median 3.34x = +422% premium); 12.2x bookings GP (vs T2 median 9.15x = +34% premium, the most flattering combo). Even on the most generous comparison, Series G sits 34% above public-market subscription comps.</t>
  </si>
  <si>
    <t>5. Oura at 13x EV/Rev / 26x EV/GP (private) is consistent category pricing but doesn't independently validate Series G. Both reflect private-market premium. WHOOP higher on EV/Rev, lower on EV/GP — margin advantage flips it.</t>
  </si>
  <si>
    <t>6. Growth-adjusted regression is narrative-only. Linear extrapolation of growth×multiple at WHOOP's 70% NTM growth produces nonsense (relationship is concave at extremes). Use as visual to show WHOOP is far above the public regression line; do NOT produce a $ output.</t>
  </si>
  <si>
    <t>7. Verdict: even on the most flattering combo (T2 bookings GP × EV/GP), implied value $7.5B is 26% below Series G $10.1B. Combined with DCF $7.3B + Real Options $0.7B = $8.0B intrinsic, independent triangulation centers $7-9B. Series G prices in the bull case across multiple drivers — defensible only if WHOOP simultaneously executes subscription thesis AND captures meaningful healthcare reimbursement upside.</t>
  </si>
  <si>
    <t>Source: Cap IQ + Pitchbook, May 5, 2026 refresh. Live financial inputs from Revenue Build / P&amp;L tabs. Three-thesis methodology per whoop_comps_spec_three_thesis.md.</t>
  </si>
  <si>
    <t>WHOOP — Precedent Transactions</t>
  </si>
  <si>
    <t>2020-2026; $500M+ EV preferred; All USD</t>
  </si>
  <si>
    <t>Acquirer / Target</t>
  </si>
  <si>
    <t>Date</t>
  </si>
  <si>
    <t>EV ($B)</t>
  </si>
  <si>
    <t>LTM Rev ($B)</t>
  </si>
  <si>
    <t>EV/Rev</t>
  </si>
  <si>
    <t>Regime</t>
  </si>
  <si>
    <t>Strategic Rationale</t>
  </si>
  <si>
    <t>Google / Fitbit</t>
  </si>
  <si>
    <t>Jan 2021</t>
  </si>
  <si>
    <t>ZIRP-peak</t>
  </si>
  <si>
    <t>B1</t>
  </si>
  <si>
    <t>Wearable data acquisition; failed sub pivot</t>
  </si>
  <si>
    <t>Lululemon / Mirror</t>
  </si>
  <si>
    <t>Jul 2020</t>
  </si>
  <si>
    <t>B2</t>
  </si>
  <si>
    <t>Connected fitness content; 89% write-off</t>
  </si>
  <si>
    <t>Teladoc / Livongo</t>
  </si>
  <si>
    <t>Oct 2020</t>
  </si>
  <si>
    <t>Cross</t>
  </si>
  <si>
    <t>Digital health mega-deal; massive write-down</t>
  </si>
  <si>
    <t>Microsoft / Nuance</t>
  </si>
  <si>
    <t>Mar 2022</t>
  </si>
  <si>
    <t>Transition</t>
  </si>
  <si>
    <t>Healthcare AI voice/NLP platform</t>
  </si>
  <si>
    <t>Masimo / Sound United</t>
  </si>
  <si>
    <t>Apr 2022</t>
  </si>
  <si>
    <t>Consumer audio pivot; $675M value destruction</t>
  </si>
  <si>
    <t>CVS / Signify Health</t>
  </si>
  <si>
    <t>Sep 2022</t>
  </si>
  <si>
    <t>B3</t>
  </si>
  <si>
    <t>Home health + value-based care platform</t>
  </si>
  <si>
    <t>Amazon / One Medical</t>
  </si>
  <si>
    <t>Feb 2023</t>
  </si>
  <si>
    <t>Primary care distribution; strategic access play</t>
  </si>
  <si>
    <t>J&amp;J / Shockwave Medical</t>
  </si>
  <si>
    <t>May 2024</t>
  </si>
  <si>
    <t>Current</t>
  </si>
  <si>
    <t>OUTLIER: IVL synergies drove 2x+ peer median</t>
  </si>
  <si>
    <t>BSci / Axonics</t>
  </si>
  <si>
    <t>Nov 2024</t>
  </si>
  <si>
    <t>Neuromodulation bolt-on</t>
  </si>
  <si>
    <t>Stryker / Inari Medical</t>
  </si>
  <si>
    <t>Feb 2025</t>
  </si>
  <si>
    <t>Venous thromboembolism devices</t>
  </si>
  <si>
    <t>Danaher / Masimo</t>
  </si>
  <si>
    <t>Feb 2026</t>
  </si>
  <si>
    <t>Patient monitoring platform; pending close</t>
  </si>
  <si>
    <t>Summary by Regime &amp; Bucket</t>
  </si>
  <si>
    <t>Current-regime B3 medtech: 6.6-10.1x (median ~8.5x)</t>
  </si>
  <si>
    <t>Connected fitness deals: uniformly value-destructive</t>
  </si>
  <si>
    <t>Implied WHOOP range: $5-8B (control premium embedded; Series G is minority)</t>
  </si>
  <si>
    <t>WHOOP — Cap Table &amp; Waterfall</t>
  </si>
  <si>
    <t>Sources: Pitchbook + Cap IQ; BUILD WATERFALL FORMULAS</t>
  </si>
  <si>
    <t>Round</t>
  </si>
  <si>
    <t>Amount ($M)</t>
  </si>
  <si>
    <t>Post-Money ($B)</t>
  </si>
  <si>
    <t>Price/Share ($)</t>
  </si>
  <si>
    <t>Shares (M)</t>
  </si>
  <si>
    <t>Ownership %</t>
  </si>
  <si>
    <t>Pref Terms</t>
  </si>
  <si>
    <t>Lead Investor(s)</t>
  </si>
  <si>
    <t>Seed</t>
  </si>
  <si>
    <t>2012</t>
  </si>
  <si>
    <t>1x non-part.</t>
  </si>
  <si>
    <t>DraftKings founders</t>
  </si>
  <si>
    <t>Series A</t>
  </si>
  <si>
    <t>Sep 2014</t>
  </si>
  <si>
    <t>Accomplice, Mousse Partners</t>
  </si>
  <si>
    <t>Series B</t>
  </si>
  <si>
    <t>Sep 2016</t>
  </si>
  <si>
    <t>Foundry Group</t>
  </si>
  <si>
    <t>Series C</t>
  </si>
  <si>
    <t>Oct 2018</t>
  </si>
  <si>
    <t>IVP</t>
  </si>
  <si>
    <t>Series D</t>
  </si>
  <si>
    <t>Series E</t>
  </si>
  <si>
    <t>Aug 2021</t>
  </si>
  <si>
    <t>SoftBank Vision Fund 2</t>
  </si>
  <si>
    <t>Series F</t>
  </si>
  <si>
    <t>Mezz/Bridge</t>
  </si>
  <si>
    <t>2022-2024</t>
  </si>
  <si>
    <t>Various</t>
  </si>
  <si>
    <t>5 interim rounds (VC + debt)</t>
  </si>
  <si>
    <t>Series G</t>
  </si>
  <si>
    <t>Mar 2026</t>
  </si>
  <si>
    <t>Collaborative Fund</t>
  </si>
  <si>
    <t>Total Equity Raised:</t>
  </si>
  <si>
    <t>Key Metrics</t>
  </si>
  <si>
    <t>Authorized Preferred Shares</t>
  </si>
  <si>
    <t>537.9M</t>
  </si>
  <si>
    <t>Pitchbook</t>
  </si>
  <si>
    <t>Outstanding Common Shares</t>
  </si>
  <si>
    <t>361.2M</t>
  </si>
  <si>
    <t>Fully Diluted Shares (est.)</t>
  </si>
  <si>
    <t>~900M</t>
  </si>
  <si>
    <t>PremierAlts/Forge</t>
  </si>
  <si>
    <t>Option Pool (est.)</t>
  </si>
  <si>
    <t>~10-15% of FD</t>
  </si>
  <si>
    <t>Inferred from gap; FLAGGED_GAP</t>
  </si>
  <si>
    <t>All Preferences</t>
  </si>
  <si>
    <t>1x non-participating pari passu</t>
  </si>
  <si>
    <t>Total Liquidation Preference</t>
  </si>
  <si>
    <t>~$1.03B (floor)</t>
  </si>
  <si>
    <t>Sum of equity raised × 1x</t>
  </si>
  <si>
    <t>Waterfall at Exit Scenarios (BUILD FORMULAS)</t>
  </si>
  <si>
    <t>Bear ($5B)</t>
  </si>
  <si>
    <t>Base ($10B)</t>
  </si>
  <si>
    <t>Bull ($20B)</t>
  </si>
  <si>
    <t>Total Exit Proceeds</t>
  </si>
  <si>
    <t>Less: Liquidation Preferences</t>
  </si>
  <si>
    <t>Remaining for Pro-Rata</t>
  </si>
  <si>
    <t>Preferred Conversion Check (convert or take pref?)</t>
  </si>
  <si>
    <t>Common Share Proceeds</t>
  </si>
  <si>
    <t>Common Value per Share</t>
  </si>
  <si>
    <t>Preferred Value per Share</t>
  </si>
  <si>
    <t>Founder Equity Value (est. 12-18% FD)</t>
  </si>
  <si>
    <t>WHOOP — Valuation Football Field</t>
  </si>
  <si>
    <t>Multi-method synthesis. Each method shown with low/base/high EV. Per-share converts via Assumptions F62 (debt), F63 (cash), F55 (FD shares).</t>
  </si>
  <si>
    <t>Method</t>
  </si>
  <si>
    <t>Source</t>
  </si>
  <si>
    <t>Low EV ($B)</t>
  </si>
  <si>
    <t>Base EV ($B)</t>
  </si>
  <si>
    <t>High EV ($B)</t>
  </si>
  <si>
    <t>Low $/sh</t>
  </si>
  <si>
    <t>Base $/sh</t>
  </si>
  <si>
    <t>High $/sh</t>
  </si>
  <si>
    <t>Weight</t>
  </si>
  <si>
    <t>Wtd Base</t>
  </si>
  <si>
    <t>1. Intrinsic DCF (base case, no options)</t>
  </si>
  <si>
    <t>Sensitivity Grid 1</t>
  </si>
  <si>
    <t>1b. DCF + Real Options (probability-wtd)</t>
  </si>
  <si>
    <t>DCF Base + RO Active</t>
  </si>
  <si>
    <t>Binary-gate decision tree on healthcare reimbursement pathway. Additive to DCF. Replaces prior 3-cluster correlated framework (success/mixed/failure).</t>
  </si>
  <si>
    <t>2. Public Comps (three-thesis bracketing)</t>
  </si>
  <si>
    <t>Comps tab (three-thesis brackets)</t>
  </si>
  <si>
    <t>Three-thesis bracketing. Composite span $0.7B-$9.4B; T2 base anchor $4.0B (recognized GP × EV/GP). Implies Series G priced for bull case across drivers.</t>
  </si>
  <si>
    <t>Not yet populated</t>
  </si>
  <si>
    <t>Skipped per session decision. 5-10% memo weight max per methodology.</t>
  </si>
  <si>
    <t>4. Last-Round Implied (Series G)</t>
  </si>
  <si>
    <t>DCF C58</t>
  </si>
  <si>
    <t>Series G $10.1B post-money mark, March 2026. Single point, not derived value.</t>
  </si>
  <si>
    <t>5. Implied IPO Trading Range</t>
  </si>
  <si>
    <t>Assumptions C94/D94/E94</t>
  </si>
  <si>
    <t>Back-solve: $10.1B ÷ (1−illiquidity) ÷ (1−IPO discount). Bull = lower discounts, lower implied; Bear = higher discounts, higher implied.</t>
  </si>
  <si>
    <t>Weight Check</t>
  </si>
  <si>
    <t>= Σ(weight × base EV) per method</t>
  </si>
  <si>
    <t>Premium / (Discount) to Series G</t>
  </si>
  <si>
    <t>Positive = methods support a higher mark; negative = Series G is rich.</t>
  </si>
  <si>
    <t>Method Range Summary</t>
  </si>
  <si>
    <t>Lowest method base</t>
  </si>
  <si>
    <t>Highest method base</t>
  </si>
  <si>
    <t>Range across methods</t>
  </si>
  <si>
    <t>Memo Read</t>
  </si>
  <si>
    <t>Multi-method synthesis lands at $8.0B / $21.28 per share, -20.5% below Series G $10.1B / $26.32. Methods range $4.0B (Comps T2 base) to $14.0B (IPO Bull range). DCF is the analytical anchor at $7.3B EV / $8.3B equity (post-3.5x exit multiple, post-WC schedule wiring); the +healthcare-option bridge adds $0.7B at base probability, lifting to $9.0B (-11% vs Series G). Three-thesis comps undershoot Series G across every basis: Failed Pivot $1.2B, Subscription Executed $4.0B median (recognized GP × EV/GP), Healthcare Platform $3.5-6.6B median. Even the most flattering comp combo (T2 bookings GP × EV/GP at $7.6B) sits 25% below mark. IPO range $13-15B implied is consistent with Series G investors targeting 25%+ IRR over 12-18 month hold to IPO. Bottom line: independent triangulation centers $8-9B; Series G prices in the bull case across multiple drivers.</t>
  </si>
  <si>
    <t>Chart Data (helper table for visual)</t>
  </si>
  <si>
    <t>Low (offset)</t>
  </si>
  <si>
    <t>Range (visible bar)</t>
  </si>
  <si>
    <t>Base marker</t>
  </si>
  <si>
    <t>Series G ref</t>
  </si>
  <si>
    <t>1. Intrinsic DCF</t>
  </si>
  <si>
    <t>1b. DCF + Real Options</t>
  </si>
  <si>
    <t>2. Public Comps (Three-Thesis)</t>
  </si>
  <si>
    <t>5. Implied IPO Range</t>
  </si>
  <si>
    <t>5. IPO Range</t>
  </si>
  <si>
    <t>Weighted Avg</t>
  </si>
  <si>
    <t>WHOOP — Scenario Summary</t>
  </si>
  <si>
    <t>Weight Scheme</t>
  </si>
  <si>
    <t>Bear Wt</t>
  </si>
  <si>
    <t>Base Wt</t>
  </si>
  <si>
    <t>Bull Wt</t>
  </si>
  <si>
    <t>Weighted EV ($B)</t>
  </si>
  <si>
    <t>Pessimistic</t>
  </si>
  <si>
    <t>WHOOP — Sensitivity Analysis</t>
  </si>
  <si>
    <t>Base case anchored: WACC 10.85%, Exit Mult 4.5x, Terminal Growth 3.0%, CSRP 2.0% → EV $9.54B / Equity $10.23B / $24.95 per share. Yellow cell = base case.</t>
  </si>
  <si>
    <t>Grid 1: WACC × Exit Multiple → Enterprise Value ($B)</t>
  </si>
  <si>
    <t>WACC ↓ / Exit Mult (EV/Rev) →</t>
  </si>
  <si>
    <t>Grid 2: WACC × Terminal Growth (Gordon Method) → Enterprise Value ($B)</t>
  </si>
  <si>
    <t>WACC ↓ / Terminal Growth →</t>
  </si>
  <si>
    <t>Beta ↓ / CSRP →</t>
  </si>
  <si>
    <t>Summary — Equity Value per Share Range</t>
  </si>
  <si>
    <t>Per Share Range ($)</t>
  </si>
  <si>
    <t>Grid 1: WACC × Exit Multiple</t>
  </si>
  <si>
    <t>Grid 2: WACC × Terminal Growth (Gordon)</t>
  </si>
  <si>
    <t>Grid 3b: Beta × CSRP → EV</t>
  </si>
  <si>
    <t>Y3+ Churn</t>
  </si>
  <si>
    <t>Blended Churn (steady-state)</t>
  </si>
  <si>
    <t>LTV ($)</t>
  </si>
  <si>
    <t>LTV/All-in CAC</t>
  </si>
  <si>
    <t>2033 Members (M)</t>
  </si>
  <si>
    <t>Δ vs Base</t>
  </si>
  <si>
    <t>2033 Revenue ($M)</t>
  </si>
  <si>
    <t>Implied Equity/Share</t>
  </si>
  <si>
    <t>Super-bull (Spotify-like)</t>
  </si>
  <si>
    <t>Base (current)</t>
  </si>
  <si>
    <t>Severe bear</t>
  </si>
  <si>
    <t>Y3+ churn is the single biggest swing on terminal equity. Moving from 8% → 12% (Spotify-like → mid-Peloton) costs $5.56/share, or ~20% of base equity. The 2025 free-hardware pivot removed hardware sunk-cost stickiness — historical retention curves don't extrapolate.</t>
  </si>
  <si>
    <t>Bear thesis</t>
  </si>
  <si>
    <t>Recommended: revise Bear case Y3+ churn from 12% to 14% (severe-bear). Bear/Base/Bull spans at 14%/8%/5% = wider, more honest range than current 12%/8%/5%. The Bear case should be a thesis about the world (free-hw pivot fails to lock retention), not a 1.5x multiplier on Base.</t>
  </si>
  <si>
    <t>WHOOP — Diagnostic Checks</t>
  </si>
  <si>
    <t>Automated integrity checks per methodology Sec 9. ANY red FAIL must be resolved before output is trusted.</t>
  </si>
  <si>
    <t>Computed</t>
  </si>
  <si>
    <t>Threshold</t>
  </si>
  <si>
    <t>1. Members × ARPU ≈ Revenue (2025)</t>
  </si>
  <si>
    <t>&lt;5%</t>
  </si>
  <si>
    <t>Avg members × blended ARPU should reconcile to consumer revenue</t>
  </si>
  <si>
    <t>2. S&amp;M coverage: Members.S&amp;M$ ≤ P&amp;L.S&amp;M (2026)</t>
  </si>
  <si>
    <t>&lt;$1M</t>
  </si>
  <si>
    <t>P&amp;L S&amp;M = Members.row 46 (single source); should match exactly</t>
  </si>
  <si>
    <t>3. Comp bucket weights sum = 100%</t>
  </si>
  <si>
    <t>=100%</t>
  </si>
  <si>
    <t>B1+B2+B3 weights must total 1.0</t>
  </si>
  <si>
    <t>4. TV &lt; 75% of total EV (DCF)</t>
  </si>
  <si>
    <t>&lt;75%</t>
  </si>
  <si>
    <t>Methodology Sec 4: TV &gt;75% means explicit forecast doing too little</t>
  </si>
  <si>
    <t>5. Exit Multiple ↔ Gordon TV divergence</t>
  </si>
  <si>
    <t>&lt;25%</t>
  </si>
  <si>
    <t>Methodology Sec 4: divergence &gt;25% means assumption inconsistency</t>
  </si>
  <si>
    <t>6. Real options probability sum = 100%</t>
  </si>
  <si>
    <t>Materialize + fail must = 1.0 (binary gate, by construction). Updated post-RO redesign — was cluster sum (success/mixed/failure).</t>
  </si>
  <si>
    <t>7. WACC &gt; Perpetuity growth (Gordon validity)</t>
  </si>
  <si>
    <t>&gt;0%</t>
  </si>
  <si>
    <t>Required for Gordon Growth perpetuity to converge; safer if &gt;3pp</t>
  </si>
  <si>
    <t>8. Gross adds vs historical peak (any year)</t>
  </si>
  <si>
    <t>&lt;2.0x</t>
  </si>
  <si>
    <t>Methodology Sec 9: peak gross adds shouldn't exceed 2x base year</t>
  </si>
  <si>
    <t>9. Rule of 40 ≥ 20 by Phase 3</t>
  </si>
  <si>
    <t>≥20</t>
  </si>
  <si>
    <t>Min Rule of 40 across 2031-2033 forecast</t>
  </si>
  <si>
    <t>10. ARPU Justification consistency</t>
  </si>
  <si>
    <t>✓ or ⚠</t>
  </si>
  <si>
    <t>Verifies blended ARPU anchor is within ±10% of bottom-up justification</t>
  </si>
  <si>
    <t>11. Rule of 40 ≤ 50 sustained (terminal sanity)</t>
  </si>
  <si>
    <t>≤ 50</t>
  </si>
  <si>
    <t>Max Rule of 40 across 2031-2033 terminal window. Above 50 sustained at maturity = aggressive margin stack — review terminal assumptions per remediation spec.</t>
  </si>
  <si>
    <t>Summary</t>
  </si>
  <si>
    <t>Total checks</t>
  </si>
  <si>
    <t>Research File Index</t>
  </si>
  <si>
    <t>File</t>
  </si>
  <si>
    <t>Contents</t>
  </si>
  <si>
    <t>Session</t>
  </si>
  <si>
    <t>research/whoop-research-brief.md</t>
  </si>
  <si>
    <t>Structured research brief</t>
  </si>
  <si>
    <t>S0</t>
  </si>
  <si>
    <t>research/whoop-pitchbook-data.md</t>
  </si>
  <si>
    <t>Pitchbook: cap table, funding, financials</t>
  </si>
  <si>
    <t>research/whoop-capiq-data.md</t>
  </si>
  <si>
    <t>Cap IQ: dilution waterfall, investors</t>
  </si>
  <si>
    <t>research/oura-pitchbook-data.md</t>
  </si>
  <si>
    <t>Oura private comp profile ($11B)</t>
  </si>
  <si>
    <t>research/peloton-10k-analysis.md</t>
  </si>
  <si>
    <t>Peloton deep dive (revenue, margins, subs)</t>
  </si>
  <si>
    <t>research/web-research-sweep.md</t>
  </si>
  <si>
    <t>Market data, Forge, Garmin, Strava</t>
  </si>
  <si>
    <t>research/revenue-bookings-reconciliation.md</t>
  </si>
  <si>
    <t>$1.1B bookings vs revenue, ARPU, churn grids</t>
  </si>
  <si>
    <t>research/investor-deep-research.md</t>
  </si>
  <si>
    <t>Series G investor analysis</t>
  </si>
  <si>
    <t>research/stress-test-international-revenue.md</t>
  </si>
  <si>
    <t>60% intl claim verification</t>
  </si>
  <si>
    <t>research/stress-test-revenue-reconciliation.md</t>
  </si>
  <si>
    <t>Revenue stress test (base: $650M)</t>
  </si>
  <si>
    <t>research/comp-dexcom-dxcm.md</t>
  </si>
  <si>
    <t>Dexcom 10-K (5yr financials)</t>
  </si>
  <si>
    <t>research/comp-garmin-grmn.md</t>
  </si>
  <si>
    <t>Garmin 10-K (5yr, 5 segments)</t>
  </si>
  <si>
    <t>research/comp-resmed-rmd.md</t>
  </si>
  <si>
    <t>ResMed 10-K (connected device + SaaS)</t>
  </si>
  <si>
    <t>research/comp-masimo-masi.md</t>
  </si>
  <si>
    <t>Masimo 10-K (Danaher deal, Sound United)</t>
  </si>
  <si>
    <t>research/comp-irhythm-irtc.md</t>
  </si>
  <si>
    <t>iRhythm 10-K (cardiac wearable + SaaS)</t>
  </si>
  <si>
    <t>research/comp-spotify-spot.md</t>
  </si>
  <si>
    <t>Spotify 20-F (751M MAU, profitability inflection)</t>
  </si>
  <si>
    <t>research/comp-peloton-pton.md</t>
  </si>
  <si>
    <t>Peloton comp profile (trading multiples)</t>
  </si>
  <si>
    <t>research/comp-trading-multiples-summary.md</t>
  </si>
  <si>
    <t>Master multiples + bucket analysis</t>
  </si>
  <si>
    <t>research/damodaran-wacc-inputs.md</t>
  </si>
  <si>
    <t>ERP 4.23%, betas, risk-free 4.3%</t>
  </si>
  <si>
    <t>research/comp-historical-multiples-v19.md</t>
  </si>
  <si>
    <t>3yr time variance: DXCM 13.8x→5.0x</t>
  </si>
  <si>
    <t>research/peloton-10k-gaps.md</t>
  </si>
  <si>
    <t>S&amp;M/G&amp;A split (XBRL), SBC history</t>
  </si>
  <si>
    <t>research/secondary-market-pricing.md</t>
  </si>
  <si>
    <t>Forge/Hiive/EquityZen, DLOM analysis</t>
  </si>
  <si>
    <t>research/precedent-transactions.md</t>
  </si>
  <si>
    <t>14 deals, 3-bucket M&amp;A analysis</t>
  </si>
  <si>
    <t>Web Sources (this build)</t>
  </si>
  <si>
    <t>Used For</t>
  </si>
  <si>
    <t>URL / Reference</t>
  </si>
  <si>
    <t>Date Accessed</t>
  </si>
  <si>
    <t>BusinessWire (WHOOP press release)</t>
  </si>
  <si>
    <t>Advanced Labs pricing: $199/$349/$599 (1/2/4 tests/yr); 350K waitlist on launch</t>
  </si>
  <si>
    <t>businesswire.com/news/home/20250930178710/</t>
  </si>
  <si>
    <t>Sept 30, 2025 launch</t>
  </si>
  <si>
    <t>Boston Globe</t>
  </si>
  <si>
    <t>Women's blood test add-on $299; 150% YoY women membership growth; staff +75%</t>
  </si>
  <si>
    <t>bostonglobe.com/2026/03/10/business/whoop-299-blood-testing-service-women/</t>
  </si>
  <si>
    <t>WHOOP Membership page</t>
  </si>
  <si>
    <t>Tier pricing: One ~$199, Peak ~$239-279, Life ~$359; BP &amp; Healthspan bundled in Peak/Life</t>
  </si>
  <si>
    <t>whoop.com/us/en/membership/</t>
  </si>
  <si>
    <t>WHOOP BP Insights page</t>
  </si>
  <si>
    <t>BP Insights bundled in Peak &amp; Life (NOT separate paid feature)</t>
  </si>
  <si>
    <t>whoop.com/us/en/thelocker/blood-pressure-insights/</t>
  </si>
  <si>
    <t>Bloomberg</t>
  </si>
  <si>
    <t>May 2025 hardware launch: WHOOP 5.0 + WHOOP MG (medical grade); subscription from $199</t>
  </si>
  <si>
    <t>bloomberg.com/news/features/2025-05-08/review-whoop-5-0-whoop-mg</t>
  </si>
  <si>
    <t>TechCrunch</t>
  </si>
  <si>
    <t>Function Health $500/yr quarterly (comp price point); Fountain Life $20K/yr</t>
  </si>
  <si>
    <t>techcrunch.com/2025/09/30/whoop-opens-its-blood-testing-service/</t>
  </si>
  <si>
    <t>WHOOP Valuation — Calibration &amp; Open Items Log</t>
  </si>
  <si>
    <t>Items deferred for next session. Each is non-blocking but should be addressed before relying on numbers for IC/memo. Sorted by priority.</t>
  </si>
  <si>
    <t>Tab</t>
  </si>
  <si>
    <t>Cell / Area</t>
  </si>
  <si>
    <t>Issue</t>
  </si>
  <si>
    <t>Suggested fix</t>
  </si>
  <si>
    <t>Priority</t>
  </si>
  <si>
    <t>DCF</t>
  </si>
  <si>
    <t>C30</t>
  </si>
  <si>
    <t>TV divergence 55% (Exit Mult $16.1B vs Gordon $9.1B); methodology threshold 25%</t>
  </si>
  <si>
    <t>Lower exit mult to ~3.0x for Gordon equivalence, OR accept divergence as bull bias on terminal multiple compression</t>
  </si>
  <si>
    <t>Open</t>
  </si>
  <si>
    <t>C33</t>
  </si>
  <si>
    <t>TV is 85% of total EV; methodology threshold 75%; explicit forecast doing only 15% of work</t>
  </si>
  <si>
    <t>Tighten R&amp;D/G&amp;A tapers (raises FCF in forecast period), OR extend horizon from 8 to 10 years</t>
  </si>
  <si>
    <t>P&amp;L</t>
  </si>
  <si>
    <t>L31</t>
  </si>
  <si>
    <t>Margin tapers calibrated against bucket-3 peer benchmarks. R&amp;D scenarios spread (Bear 12% / Base 15% / Bull 18%) reflect platform thesis. G&amp;A 13/11/9 per Dexcom/ResMed anchors. SBC restructured: now interpolates from F47 (current) to F48 (terminal), 14%→8% Base. Terminal EBITDA: 36% → 33%.</t>
  </si>
  <si>
    <t>DONE — Assumptions C40/D40/E40 (R&amp;D), C46/D46/E46 (G&amp;A), C47-E47 (SBC current), C48-E48 (SBC terminal, NEW row inserted). P&amp;L row 26 SBC formula updated to interpolate.</t>
  </si>
  <si>
    <t>Done</t>
  </si>
  <si>
    <t>RESOLVED</t>
  </si>
  <si>
    <t>D38</t>
  </si>
  <si>
    <t>Interest income wired — prior-yr cash × yield (Assumptions F66, 3.5% base). 2026-2033 NI uplift ~$300M cumulative. Non-circular: does NOT flow into UFCF.</t>
  </si>
  <si>
    <t>DONE — P&amp;L D38:L38 wired to WC &amp; Cash row 32 × Assumptions F66</t>
  </si>
  <si>
    <t>F31</t>
  </si>
  <si>
    <t>2027 EBITDA margin dips 22→12% from gross adds bulge (1.24M units → hardware COGS spike)</t>
  </si>
  <si>
    <t>Smooth Members E50:F50 to even gross adds across Phase 1, OR accept as Phase 1 deployment shape</t>
  </si>
  <si>
    <t>L23</t>
  </si>
  <si>
    <t>S&amp;M as % current revenue runs 16-20% vs methodology stated 30%</t>
  </si>
  <si>
    <t>Architecture-driven gap from prior-yr-rev basis. Either restate methodology, OR raise Members S&amp;M phase % inputs</t>
  </si>
  <si>
    <t>D40</t>
  </si>
  <si>
    <t>NOL carryforward wired — P&amp;L rows 44-48. Begin/Add/Util/End schedule with 80% TCJA utilization cap. Self-balancing: any future losses auto-flow to NOL pool.</t>
  </si>
  <si>
    <t>DONE — P&amp;L D40:L40 tax formula updated to MAX(0, Pretax − NOL_Util) × 23%. 2026/2027 NI uplift modest (~$14M, $7M) at current pretax.</t>
  </si>
  <si>
    <t>Revenue Build</t>
  </si>
  <si>
    <t>Row 19</t>
  </si>
  <si>
    <t>$528M 2025 revenue vs $650M methodology target; gap is Unite B2B + Coach</t>
  </si>
  <si>
    <t>Add Unite B2B as separate revenue line on Revenue Build (Path C). $80-120M anchor.</t>
  </si>
  <si>
    <t>ARPU</t>
  </si>
  <si>
    <t>D34</t>
  </si>
  <si>
    <t>Derived ARPU $278 vs methodology anchor $338 (-17.7% gap)</t>
  </si>
  <si>
    <t>Largely resolved by Unite B2B path above. Revisit anchor language in methodology after.</t>
  </si>
  <si>
    <t>Linked</t>
  </si>
  <si>
    <t>FCF</t>
  </si>
  <si>
    <t>L17</t>
  </si>
  <si>
    <t>FCF margin 19% in 2033, ~5pp below methodology terminal prior of 25-28%</t>
  </si>
  <si>
    <t>Will resolve when EBITDA tapers tightened (linked to L31). Or lower CapEx % from 4% to 3%.</t>
  </si>
  <si>
    <t>Open Tabs / Builds Pending</t>
  </si>
  <si>
    <t>Balance Sheet</t>
  </si>
  <si>
    <t>Not yet built. Unlocks interest income wiring, NWC validation, cash build through forecast.</t>
  </si>
  <si>
    <t>Next</t>
  </si>
  <si>
    <t>Three grids built and live: WACC × Exit Mult, WACC × Terminal Growth (Gordon), Beta × CSRP → EV. Per-share range $14.8-33.7 across method combinations.</t>
  </si>
  <si>
    <t>Football Field</t>
  </si>
  <si>
    <t>Multi-method synthesis live with chart visualization. 5 methods wired to live sources. Weighted avg $8.6B / $22.75 per share, ~14.5% below Series G. Range bar chart added at A29 helper table; Series G $10.1B reference line overlay. Methods range $4.4B (forward comps) to $14.0B (IPO range).</t>
  </si>
  <si>
    <t>DONE — Football Field tab fully wired. All cells formula-driven from DCF / Sensitivity / Comps / Assumptions / RealOptions.</t>
  </si>
  <si>
    <t>Three-bucket framework wired. Per-comp data placeholder (verify vs SEC/Bloomberg). Bucket summary stats (median + range), implied valuation table by scenario, dual back-solve (naive vs growth-adjusted) all live. Implied EVs: Bear $4.7B, Base $5.4B, Bull $6.3B vs Series G $10.1B.</t>
  </si>
  <si>
    <t>DONE — Comps tab fully wired. Data placeholder; refresh with current trading multiples before relying on output.</t>
  </si>
  <si>
    <t>WIRED (data needs refresh)</t>
  </si>
  <si>
    <t>Precedents</t>
  </si>
  <si>
    <t>Tab exists; needs deals populated per Assumptions Sec 8.</t>
  </si>
  <si>
    <t>Later</t>
  </si>
  <si>
    <t>ΔNWC</t>
  </si>
  <si>
    <t>FCF row 15</t>
  </si>
  <si>
    <t>FCF tab now uses detailed WC schedule (was 8% plug). DCF EV +$813M to $9.54B; per share +$1.98 to $24.95.</t>
  </si>
  <si>
    <t>DONE — FCF!D15:L15 wired to 'WC &amp; Cash'!D25:L25</t>
  </si>
  <si>
    <t>Framing</t>
  </si>
  <si>
    <t>Cover B56:B58, DCF A55</t>
  </si>
  <si>
    <t>Discussed and decided: bucket-3 weight is expressed via 4.5x exit multiple (50% compressed from B3 ~9x), NOT via P&amp;L margin compression. Base case 33% terminal EBITDA reflects WHOOP's natural subscription economics if executed. Real options carry the bucket-3-becoming-true upside as separate value source. No double-counting risk verified.</t>
  </si>
  <si>
    <t>DONE — Framing documented on Cover B56:B58 and DCF A55. Base case held; options held. No further OpEx changes.</t>
  </si>
  <si>
    <t>Real Options</t>
  </si>
  <si>
    <t>RealOptions C5:D7</t>
  </si>
  <si>
    <t>Cluster probabilities (18/45/37) and values ($5.5/$2.5/$0.75B) are methodology-anchored priors, NOT derived from research. Highest-leverage, lowest-rigor input. $2.4B option value swings $1.5-3.5B across reasonable probability ranges. The +18% premium of DCF+Options to Series G is sensitive to this judgment.</t>
  </si>
  <si>
    <t>Acknowledged in memo as judgment input. Notes added to RealOptions C5:D7 and A18:A22. No model change; flagged for memo discussion of sensitivity.</t>
  </si>
  <si>
    <t>Memo flag</t>
  </si>
  <si>
    <t>DOCUMENTED</t>
  </si>
  <si>
    <t>Layer 6: EBITDA Remediation</t>
  </si>
  <si>
    <t>Assumptions</t>
  </si>
  <si>
    <t>D125, C125, E125 (Brand $); D40/C40/E40 (R&amp;D term); D48/C48/E48 (SBC term); Checks!A15:E15 (R40 ≤50)</t>
  </si>
  <si>
    <t>Pre-fix terminal EBITDA 43.7% / Rule of 40 = 55 sustained — indefensible vs peer benchmarks (Adobe peak 52, ServiceNow peak 55, best-in-class sustained 45-50). Spec attributed inflation to 4 levers; trace showed 1 lever (S&amp;M architecture) was real, 1 (COGS hardware bug) was not real (hardware already in blended COGS%, model is more conservative than bottoms-up by ~$285M at terminal), and 2 (R&amp;D, SBC terminals) were calibration-low.</t>
  </si>
  <si>
    <t>DONE — (1) Lifted Brand $ terminal D125 $130→$335M Base / C125 $50→$210M Bear / E125 $150→$420M Bull. Members tab Variable+Brand architecture structurally produced sub-Spotify S&amp;M%-of-rev at terminal; brand line scales independently of decelerating gross adds. Now hits S&amp;M 15.0% of 2033 rev (vs 10.3% pre-fix). (2) R&amp;D terminal +1pp each scenario (12→13% Bear, 15→16% Base, 18→19% Bull). (3) SBC terminal +3pp Base / +3pp Bear / +2pp Bull (8→11% Base, 10→13% Bear, 6→8% Bull). (4) Skipped spec Item 2 (Hardware COGS bug) — not a bug; row 12 blended COGS% already captures sub delivery + hardware giveaway per B151/B152 notes. Terminal GM stays 80%, defensible. (5) Added Checks!row 15 ‘Rule of 40 ≤ 50 sustained’ guardrail across 2031-2033 terminal window. Result: terminal EBITDA 38.0% (vs 43.7% pre-fix, -5.7pp), terminal R40 = 49.3 (just under 50 threshold, PASS). Below spec’s ~30% target by ~5pp, but spec’s target was contingent on a GM haircut (75-76%) that proved unwarranted on architectural inspection.</t>
  </si>
  <si>
    <t>Bottoms Up WACC</t>
  </si>
  <si>
    <t>2033 Endpoint (M)</t>
  </si>
  <si>
    <t>Lens / Scenario</t>
  </si>
  <si>
    <t>Lens C — Comps Triangulation</t>
  </si>
  <si>
    <t>Methodology footnote</t>
  </si>
  <si>
    <t>2025E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</si>
  <si>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</si>
  <si>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</si>
  <si>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</si>
  <si>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</si>
  <si>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</si>
  <si>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</si>
  <si>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</si>
  <si>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</si>
  <si>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CAGR</t>
  </si>
  <si>
    <t>Calibrated YoY %</t>
  </si>
  <si>
    <t>2033 End (M)</t>
  </si>
  <si>
    <t>Methodology</t>
  </si>
  <si>
    <t>TAM 25M × 6%/yr growth × 30% terminal share. Apple-style category-defining product precedent.</t>
  </si>
  <si>
    <t>Cumulative S&amp;M $ ÷ weighted CAC, less churn drag. Capital-bounded floor.</t>
  </si>
  <si>
    <t>→ Implied 2033 ending (M)</t>
  </si>
  <si>
    <t>2024 Deferred Revenue Balance</t>
  </si>
  <si>
    <t>10-K FY2019 disclosed Connected Fitness Subscribers.</t>
  </si>
  <si>
    <t>Peak; aligns roughly with WHOOP 2025 anchor of 2.5M.</t>
  </si>
  <si>
    <t>Peloton stalled ~3M post-COVID unwind — not a clean 8yr extrapolation, useful floor.</t>
  </si>
  <si>
    <t>Free-hardware acquisition advantage (×)</t>
  </si>
  <si>
    <t>WHOOP $0 hw vs Peloton $2k bike unlocks step-fn in trial-to-paid; +5-10% sustained gross adds.</t>
  </si>
  <si>
    <t>Lower ARPU drag (marketing capacity, ×)</t>
  </si>
  <si>
    <t>WHOOP $307 ARPU vs Peloton $500: less CAC headroom but offset by lower churn (12% vs 24%).</t>
  </si>
  <si>
    <t>= stage-shifted base × free-hw advantage × ARPU drag</t>
  </si>
  <si>
    <t>Counterpoint Research / analyst consensus.</t>
  </si>
  <si>
    <t>Counterpoint/IDC midpoint of 150-200M cumulative shipments through 2025.</t>
  </si>
  <si>
    <t>Members (M)</t>
  </si>
  <si>
    <t>TAM → SAM → SOM stack. Most conservative lens (8.39M) by design — disciplined market sizing without comp-borrowed shape assumptions. Acts as floor of the four-lens range, not point estimate.</t>
  </si>
  <si>
    <t>Global TAM — health-conscious consumers (M)</t>
  </si>
  <si>
    <t>SAM — premium continuous-biometric subscribers</t>
  </si>
  <si>
    <t>→ Lens D bottoms-up endpoint (M)</t>
  </si>
  <si>
    <t>Maturity factor — 2033 penetration of theoretical max</t>
  </si>
  <si>
    <t>= SAM × SOM share × maturity factor. Conservative by construction — floor of the four-lens range.</t>
  </si>
  <si>
    <t>Raw Oura shape (%)</t>
  </si>
  <si>
    <t>Calibration multiplier k</t>
  </si>
  <si>
    <t>Members (M), end of year</t>
  </si>
  <si>
    <t>Live Base (Assumptions!F178)</t>
  </si>
  <si>
    <t>Live model Base scenario, compounded ending.</t>
  </si>
  <si>
    <t>Triangulated four-lens median — the target.</t>
  </si>
  <si>
    <t>Calibrated endpoint (k=0.9781).</t>
  </si>
  <si>
    <t>→ Distance (Live vs Triangulation)</t>
  </si>
  <si>
    <t>✓ Triangulated within tolerance (target: ±15%).</t>
  </si>
  <si>
    <t>Stage-shift WHOOP 2.5M to AW 2017 (10M base), apply AW 8yr multiple, TAM-adjust.</t>
  </si>
  <si>
    <t>AW base 2017 (M)</t>
  </si>
  <si>
    <t>AW base 2025 (M)</t>
  </si>
  <si>
    <t>8yr growth multiple</t>
  </si>
  <si>
    <t>= 170 / 10 = 17x.</t>
  </si>
  <si>
    <t>WHOOP 2025 anchor (M)</t>
  </si>
  <si>
    <t>Stage-matched to AW 2017 (4x scale).</t>
  </si>
  <si>
    <t>Raw projected 2033 (M)</t>
  </si>
  <si>
    <t>WHOOP × AW multiple.</t>
  </si>
  <si>
    <t>TAM adjustment</t>
  </si>
  <si>
    <t>AW 50% buyers vs WHOOP 5-7%; offset for stickiness.</t>
  </si>
  <si>
    <t>Conservative; Series G implies 2.4-2.5M.</t>
  </si>
  <si>
    <t>8yr compounded multiple</t>
  </si>
  <si>
    <t>Garmin yrs to stable wearable subs</t>
  </si>
  <si>
    <t>Garmin terminal premium subs (M)</t>
  </si>
  <si>
    <t>Mid-tier wearables active subs base.</t>
  </si>
  <si>
    <t>Compression factor (digital-native)</t>
  </si>
  <si>
    <t>TAM expansion factor (2025→2033)</t>
  </si>
  <si>
    <t>Wearable TAM grows ~20% over 8yrs.</t>
  </si>
  <si>
    <t>Premium-tier offset (subset adj)</t>
  </si>
  <si>
    <t>Narrower TAM offset by higher retention. 90% of Garmin terminal.</t>
  </si>
  <si>
    <t>→ Apple endpoint (M)</t>
  </si>
  <si>
    <t>→ Oura endpoint (M)</t>
  </si>
  <si>
    <t>= anchor × 8yr mult</t>
  </si>
  <si>
    <t>→ Garmin endpoint (M)</t>
  </si>
  <si>
    <t>= terminal × TAM × offset</t>
  </si>
  <si>
    <t>Apple</t>
  </si>
  <si>
    <t>→ Lens C endpoint (M)</t>
  </si>
  <si>
    <t>WHOOP — Member Trajectory Triangulation (Four-Lens Framework)</t>
  </si>
  <si>
    <t>Four independent lenses converge on a 2033 ending member range. Each lens uses a different methodology; convergence is emergent, not curve-fit. Median feeds Trajectory Build (Oura-shape calibrated). Triangulation distance vs live model = audit check (±15% target).</t>
  </si>
  <si>
    <t>1. Member Anchors</t>
  </si>
  <si>
    <t>2025E starting members (M)</t>
  </si>
  <si>
    <t>ARPU ($/yr)</t>
  </si>
  <si>
    <t>Series G post-money valuation ($M)</t>
  </si>
  <si>
    <t>Series G implied $/share ($)</t>
  </si>
  <si>
    <t>DCF base $/share (live model)</t>
  </si>
  <si>
    <t>2. Convergence Summary</t>
  </si>
  <si>
    <t>Each lens uses an independent methodology. Convergence is emergent, not curve-fit. Median feeds Trajectory Build. ✓ = within ±15% of median; ⚠ = 15-25%; ✗ = &gt;25%.</t>
  </si>
  <si>
    <t>Lens B — Peloton Stage-Shifted Comp</t>
  </si>
  <si>
    <t>Peloton Connected Fitness subs IPO+10 hypothetical × free-hardware advantage × ARPU drag.</t>
  </si>
  <si>
    <t>Median of three independently-derived comp endpoints (Apple Watch shape / Oura forward-extrap / Garmin timeline-compressed).</t>
  </si>
  <si>
    <t>Lens D — SAM/SOM Bottoms-Up</t>
  </si>
  <si>
    <t>→ Median across lenses</t>
  </si>
  <si>
    <t>COV across the four lenses; flags whether triangulation is tight enough to feed Trajectory Build.</t>
  </si>
  <si>
    <t>3. Lens A — TAM × Terminal Share</t>
  </si>
  <si>
    <t>Lens character — aggressive, assumption-heavy</t>
  </si>
  <si>
    <t>Premium continuous physiological monitoring at $200-400/yr WTP. Apple-at-30%-smartphone-share precedent supports 25-45% terminal share for category-defining product. Highest output of the four lenses — most upside-leaning by construction.</t>
  </si>
  <si>
    <t>Premium continuous monitoring; ~130M US adults × $200-400/yr WTP filter ≈ 20-30M globally.</t>
  </si>
  <si>
    <t>mHealth Intelligence (2023). Oura+WHOOP combined ~4.5M paying 2025 = ~18% penetration of WTP filter.</t>
  </si>
  <si>
    <t>Conservative vs broader wearable CAGR 12-16%. Captures WTP filter narrowing the base.</t>
  </si>
  <si>
    <t>MarketsandMarkets ($84.5B→$176.8B, 15.9% CAGR). Grand View Research ($92.9B→$230B by 2033, 12.1% CAGR).</t>
  </si>
  <si>
    <t>Apple precedent: 30% global smartphone share. WHOOP at 25-30% in defined WTP TAM defensible.</t>
  </si>
  <si>
    <t>IDC: Oura already &gt;80% smart ring share (2024). Apple smartphone share precedent for category-defining products.</t>
  </si>
  <si>
    <t>= TAM 2025 × (1 + growth)⁸ × terminal share</t>
  </si>
  <si>
    <t>Memo: TAM 2033 = 25 × 1.06⁸ ≈ 39.8M.</t>
  </si>
  <si>
    <t>4. Lens B — Peloton Stage-Shifted Comp</t>
  </si>
  <si>
    <t>Lens character — base, structural analogue</t>
  </si>
  <si>
    <t>WHOOP at 2.5M pre-IPO ≈ Peloton at IPO+2 (~2.6M CF subs end-2020). WHOOP 2033 ≈ Peloton IPO+10 hypothetical extrapolation, adjusted for free-hardware advantage and ARPU drag.</t>
  </si>
  <si>
    <t>Peloton 10-K FY2019.</t>
  </si>
  <si>
    <t>Peloton 10-K FY2021.</t>
  </si>
  <si>
    <t>Peloton 10-K FY2023.</t>
  </si>
  <si>
    <t>Hypothetical Peloton trajectory absent COVID unwind: 4x stage-2 base. Industry S-curve anchored.</t>
  </si>
  <si>
    <t>Spec: extrapolated curve.</t>
  </si>
  <si>
    <t>Industry data on hardware-cost elasticity in subscription conversion.</t>
  </si>
  <si>
    <t>Peloton ARPU/churn comp; WHOOP retention disclosure.</t>
  </si>
  <si>
    <t>= 10.7 × 1.08 × 0.97 = 11.21M.</t>
  </si>
  <si>
    <t>5. Lens C — Comps Triangulation</t>
  </si>
  <si>
    <t>Lens character — base, methodologically strongest (3 independent paths converge within 3%)</t>
  </si>
  <si>
    <t>Three independently-derived 2033 endpoints, each using a different analytical method. Apple Watch shape-projects from a smaller scale-anchored base. Oura forward-extrapolates from current trajectory. Garmin compresses a 12-year timeline to 8 years. Convergence is emergent, not curve-fit.</t>
  </si>
  <si>
    <t>5a. Apple Watch — Shape Projection</t>
  </si>
  <si>
    <t>5b. Oura — Forward Extrapolation</t>
  </si>
  <si>
    <t>5c. Garmin — Timeline Compression</t>
  </si>
  <si>
    <t>Forward-extrapolate WHOOP 2M anchor with Oura-style decel curve (50/40/30/22/17/13/10/8% YoY).</t>
  </si>
  <si>
    <t>Compress Garmin's 12yr to ~8yr (digital CAC), TAM-expand, premium-tier offset.</t>
  </si>
  <si>
    <t>Garmin Fitness segment scale (2008-2020).</t>
  </si>
  <si>
    <t>= ∏(1+rates) for the 8 YoY values (50/40/30/22/17/13/10/8%).</t>
  </si>
  <si>
    <t>$0 hardware + mandatory sub vs. $300-900 upfront. 80% of Garmin timeline.</t>
  </si>
  <si>
    <t>= raw ÷ TAM adj</t>
  </si>
  <si>
    <t>5d. Lens C Synthesis</t>
  </si>
  <si>
    <t>= median of 3 methods. Range 0.34M (±3%); convergence is emergent.</t>
  </si>
  <si>
    <t>6. Lens D — SAM/SOM Bottoms-Up</t>
  </si>
  <si>
    <t>Lens character — disciplined floor, most defensible</t>
  </si>
  <si>
    <t>Global adults w/ disposable income + health interest.</t>
  </si>
  <si>
    <t>Pew Research / McKinsey wellness reports.</t>
  </si>
  <si>
    <t>Variable + brand allocated. P1 ~$200, P2 ~$240, P3 ~$300; weighted by gross-adds shape.</t>
  </si>
  <si>
    <t>7% TAM penetration. Excludes occasional users; targets WTP $25+/mo.</t>
  </si>
  <si>
    <t>SOM share — WHOOP capture</t>
  </si>
  <si>
    <t>Steady-state blended; cohort mix shifts to Y3+ over time.</t>
  </si>
  <si>
    <t>Premium positioning between AW (volume) and Oura (style/wellness).</t>
  </si>
  <si>
    <t>Approx midpoint 2.5M start → ~11M end. Penetration ramps; 2033 ~23% of full saturation (2040+).</t>
  </si>
  <si>
    <t>Theoretical max 36.75M (SAM × SOM share) — long-term ceiling, not 2033 expectation.</t>
  </si>
  <si>
    <t>= 245 × 15% × 22.8% = 8.379M.</t>
  </si>
  <si>
    <t>7. Composite Span (across all four lenses)</t>
  </si>
  <si>
    <t>Lowest defensible (Lens D — SAM/SOM floor)</t>
  </si>
  <si>
    <t>Disciplined bottoms-up; comp-shape free.</t>
  </si>
  <si>
    <t>Highest defensible (Lens A — TAM × share)</t>
  </si>
  <si>
    <t>Top-down; assumption-heavy ceiling.</t>
  </si>
  <si>
    <t>Most defensible base (lens median)</t>
  </si>
  <si>
    <t>Trajectory Build is calibrated to land here.</t>
  </si>
  <si>
    <t>Span (range across lenses)</t>
  </si>
  <si>
    <t>Span 3.6M = Lens D floor to Lens A ceiling.</t>
  </si>
  <si>
    <t>8. Trajectory Build — Oura-Shape Calibrated to Lens Median</t>
  </si>
  <si>
    <t>Anchors: 2.5M start (2025) → lens median (B20). Shape borrowed from Oura forward-extrapolation (5b): aggressive Y1–2 reflecting unconverted-demand punch (free hardware + GLP-1/CGM/employer wellness tailwinds), decelerating to single-digits as TAM saturates. Per-year rate scaled by k so compounded endpoint matches lens median.</t>
  </si>
  <si>
    <t>9. Cross-Checks vs Live Model</t>
  </si>
  <si>
    <t>Audit chain: lens median → trajectory build → live Assumptions Base → DCF. Distance metric should be &lt;±15% to confirm triangulation holds.</t>
  </si>
  <si>
    <t>Cross-check</t>
  </si>
  <si>
    <t>Lens median (B20)</t>
  </si>
  <si>
    <t>Trajectory build endpoint (J93)</t>
  </si>
  <si>
    <t>10. Series G Back-Solve Diagnostic</t>
  </si>
  <si>
    <t>What member trajectory does Series G $24.63/sh imply? Compare to four-lens triangulation to see how far above the lens range Series G prices.</t>
  </si>
  <si>
    <t>Metric</t>
  </si>
  <si>
    <t>Series G $/sh</t>
  </si>
  <si>
    <t>From Member Anchors (B9).</t>
  </si>
  <si>
    <t>DCF base $/sh (lens median trajectory)</t>
  </si>
  <si>
    <t>From Member Anchors (B10) — live link to DCF C40.</t>
  </si>
  <si>
    <t>Series G premium to DCF base</t>
  </si>
  <si>
    <t>Series G prices in members beyond the lens range OR upside on margins / pricing / multiples.</t>
  </si>
  <si>
    <t>Implied 2033 members at Series G (proxy)</t>
  </si>
  <si>
    <t>First-order linear scaling: lens median × (Series G / DCF). Approximate — ignores nonlinearity in margin/scale.</t>
  </si>
  <si>
    <t>→ Implied vs Lens A ceiling (max defensible)</t>
  </si>
  <si>
    <t>If positive: Series G prices in members beyond what any lens defends.</t>
  </si>
  <si>
    <t>11. Key Findings (carry to memo)</t>
  </si>
  <si>
    <t>1. Four lenses converge tightly (median 10.92M, COV 14%). Three of four lenses sit within ±3% of the median; only Lens D's bottoms-up SAM/SOM (8.38M) drags the range. Convergence is emergent — each lens uses an independent methodology, none is calibrated to the others.</t>
  </si>
  <si>
    <t>2. Lens C (comps triangulation) is the methodologically strongest single lens. Three sub-methods (Apple Watch shape projection, Oura forward extrapolation, Garmin timeline compression) land within 0.34M (±3%) of each other — the tightest internal consistency of any lens.</t>
  </si>
  <si>
    <t>3. Lens D anchors the bear floor at 8.38M. Disciplined bottoms-up sizing (TAM→SAM→SOM) without comp-borrowed shape. The 14% COV across lenses is wide because Lens D pulls down — not because the upside lenses disagree.</t>
  </si>
  <si>
    <t>4. Trajectory build calibrates exactly to lens median. Oura-shape decel curve scaled by k=0.9781 lands the 8-year compounded endpoint at 10.92M. Implied CAGR 20.2% — aggressive Y1–2 (49%/37%) easing to single-digits Y6–8.</t>
  </si>
  <si>
    <t>5. Live model Base scenario reproduces the lens median within 0.06%. Assumptions D169:D176 retuned to (49%/37%/25%/19%/14%/11%/8%/6%) — the trajectory the model now uses is the trajectory the four lenses triangulate to.</t>
  </si>
  <si>
    <t>6. Series G implies ~15.0M members (proxy, linear scaling) — 26% above Lens A's most aggressive defensible ceiling (11.95M). Series G is not pricing in even the most upside-leaning lens; the gap to the comp set requires upside on margins, pricing, OR member count beyond what any methodology defends.</t>
  </si>
  <si>
    <t>7. Verdict: Member triangulation supports DCF base $17.89/sh. Series G $24.63/sh requires multiple things to break right simultaneously — not a binary member-count argument, but stacked margin + multiple + member upside relative to lens median.</t>
  </si>
  <si>
    <t>Source: Member triangulation built from independent methodologies — mHealth Intelligence (TAM), Counterpoint/IDC (Apple Watch), Pew/McKinsey (SAM/SOM). Trajectory shape borrowed from Oura forward extrapolation. Calibration k solved to land compounded endpoint exactly on lens median.</t>
  </si>
  <si>
    <t>Turn</t>
  </si>
  <si>
    <t>User Request</t>
  </si>
  <si>
    <t>Action Taken</t>
  </si>
  <si>
    <t>Details</t>
  </si>
  <si>
    <t>Outcome</t>
  </si>
  <si>
    <t>Continue Member Thesis full rebuild in Comps idiom (sections 2-11).</t>
  </si>
  <si>
    <t>Built Sections 2-11 from scratch with Comps style fingerprint applied throughout. Wiped sheet, rebuilt with calculator-panel anchors, navy banners, alt zebra rows, peach/blue/green lens tints, horizontal Lens C, composite span, trajectory build, cross-checks, Series G back-solve, key findings.</t>
  </si>
  <si>
    <t>Lens tints: A=peach #FCE4D6 (aggressive), B/C=blue #DDEBF7 (base), D=green #E2EFDA (disciplined floor). Math chain reproduces all prior values: B16=11.954 (Lens A), B17=11.209 (B), B18=10.625 (C), B19=8.379 (D), B20=10.917 (median), J93=10.918 (trajectory), B103=+0.06% (cross-check). New diagnostic: B112=15.03M Series G implied members (proxy), B113=+25.7% above Lens A ceiling.</t>
  </si>
  <si>
    <t>Member Thesis fully rebuilt: 11 sections, 125 rows. DCF unchanged ($17.89/sh). Memo-ready. Awaiting user review.</t>
  </si>
  <si>
    <t>Get sizes equivalent from Comps to Member Thesis — heights, zoom, columns don't look parallel.</t>
  </si>
  <si>
    <t>Read actual Comps column widths + row heights via Office.js. Decoded the 4-tier row height pattern (title 28pt / subtitle 36pt / banners 22pt / intros 30pt / body 15pt). Applied Comps-equivalent sizing to Member Thesis. Also fixed broken §2 Convergence formulas (B16:B19 were empty) and downstream Assumptions!F179 reference (was pointing at obsolete B11, now B20).</t>
  </si>
  <si>
    <t>Comps col widths: A=320, B-F=95 uniform, J=380 (wide notes). Member Thesis adapted: A=320, B=95, C/D=75, E/G/I/K=160 (Lens C horizontal blocks), H/L=15 gutters, M=380 (mirrors Comps J wide notes). Row tiers: 28/36/22/30/22/15. Wire-ups: B16=B30, B17=B43, B18=B67, B19=B78. Repointed Assumptions!F179 from B11 to B20.</t>
  </si>
  <si>
    <t>Sheets now parallel in size rhythm. Math chain restored: B20=10.917M lens median, F179=+0.06% triangulation, DCF $17.89/sh.</t>
  </si>
  <si>
    <t>Probability Weights (ProbWeighted scenario):</t>
  </si>
  <si>
    <t>ProbWeighted</t>
  </si>
  <si>
    <t>P_Bear</t>
  </si>
  <si>
    <t>P_Base</t>
  </si>
  <si>
    <t>P_Bull</t>
  </si>
  <si>
    <t>Sum check:</t>
  </si>
  <si>
    <t>7. Probability-Weighting Diagnostics — Input vs Scenario Weighting Triangulation</t>
  </si>
  <si>
    <t>Diagnostic block compares input-level weighting (ProbWeighted scenario) vs. scenario-level weighting (independent DCF runs combined). Jensen gap = E[DCF(inputs)] vs P_w · DCF(scenario). Static snapshot — refresh manually after material input changes.</t>
  </si>
  <si>
    <t>DCF EV ($M)</t>
  </si>
  <si>
    <t>Equity ($M)</t>
  </si>
  <si>
    <t>Equity + Opts ($M)</t>
  </si>
  <si>
    <t>Real Opts Active ($M)</t>
  </si>
  <si>
    <t>vs Series G</t>
  </si>
  <si>
    <t>Bear (after R79 bug fix)</t>
  </si>
  <si>
    <t>ProbWeighted (input-level)</t>
  </si>
  <si>
    <t>Scenario-weighted bookend (P_Bear=20%, P_Base=50%, P_Bull=30%)</t>
  </si>
  <si>
    <t>Jensen Gap Analysis (scenario-weighted minus input-weighted)</t>
  </si>
  <si>
    <t>EV gap ($M)</t>
  </si>
  <si>
    <t>EV gap (%)</t>
  </si>
  <si>
    <t>Interpretation:</t>
  </si>
  <si>
    <t xml:space="preserve">  • Positive gap = DCF is convex in inputs; ProbWeighted UNDERSTATES true E[EV]. Use scenario-weighted as upper anchor.</t>
  </si>
  <si>
    <t xml:space="preserve">  • Negative gap = DCF is concave; ProbWeighted OVERSTATES. Use input-weighted as conservative anchor.</t>
  </si>
  <si>
    <t xml:space="preserve">  • Headline = ProbWeighted (row 63). Bookend = scenario-weighted (row 65). Memo should cite both with the gap as the dispersion story.</t>
  </si>
  <si>
    <t xml:space="preserve">  • Snapshot manually refreshed via validation pass; rerun if any of the 16 ProbWeighted-eligible inputs change materially.</t>
  </si>
  <si>
    <t>Build probability-weighted DCF capability: add ProbWeighted scenario as 4th option that weights 16 high-leverage inputs at the input level (P_Bear×Bear + P_Base×Base + P_Bull×Bull) rather than at scenario level, to avoid joint-extreme overstatement of tail dispersion. Also fix R79 Bear-branch bug.</t>
  </si>
  <si>
    <t>Unmerged Assumptions!A2:N2 (was a single merged cell blocking writes). Built probability weight cells in row 2 (B2-I2: P_Bear=20%, P_Base=50%, P_Bull=30%, sum check with red-fill conditional format if ≠1). Added ProbWeighted column at J for 16 inputs (R19-21 churn, R36-38 GMs, R73 CSRP, R79 terminal multiple, R169-176 MG1-MG8). Fixed R79 Bear-branch bug (was pointing to D79 Base 3.5x; now correctly C79 Bear 3.0x). Updated Active formulas on all 16 rows to handle ProbWeighted branch. Extended B3 dropdown to 4 options (Bear/Base/Bull/ProbWeighted). Added DCF tab guardrail block at rows 56-74: 4-scenario EV snapshot, scenario-weighted bookend (P-weighted DCF runs), and Jensen gap analysis.</t>
  </si>
  <si>
    <t>ProbWeighted formula: =$C$2*C[row]+$E$2*D[row]+$G$2*E[row] (absolute refs on weight cells). Active formula: =IF($B$3="Bear",C[r],IF($B$3="Bull",E[r],IF($B$3="ProbWeighted",J[r],D[r]))). 16 cells touched: F19,F20,F21,F36,F37,F38,F73,F79,F169-F176. R79 bug delta on Bear: -$191M EV (terminal multiple correctly 3.0x not 3.5x). Notes column at I preserved untouched — used column J instead to avoid disturbing audit trail. DCF guardrails snapshot is STATIC values — refresh manually if any of the 16 inputs change materially.</t>
  </si>
  <si>
    <t>All 4 scenarios run cleanly. Bear=$2.50B equity / $2.66B w/opts, Base=$7.34B / $8.28B, Bull=$19.88B / $22.60B, ProbWeighted=$7.96B / $8.90B (closes ~$626M of $1.82B gap to Series G). Major finding: Jensen gap = +$2.15B (29.7%) — DCF strongly convex in inputs. Scenario-weighted equity ($10.13B) hits Series G ($10.10B) almost exactly. Memo narrative now: input-weighted = central tendency under independence, scenario-weighted = E[EV] under perfect correlation, Series G sits between (partial correlation). The Jensen gap IS the optionality premium. R79 bug fix dropped Bear EV by $191M as expected. No #REF/#VALUE/#NAME errors introduced. F179 #DIV/0! preserved as expected (Member Thesis B20 blank during rebuild).</t>
  </si>
  <si>
    <t>Section 13: Probability Weighting Logic (ProbWeighted scenario)</t>
  </si>
  <si>
    <t>Documentation for the ProbWeighted 4th scenario added to B3 dropdown. Architecture: input-level weighting (E[input] → single DCF) rather than scenario-level weighting (P·DCF(scenario) summed). Input-level avoids joint-extreme overstatement when bear/bull values across drivers are not perfectly correlated.</t>
  </si>
  <si>
    <t>Probability weights (live, edit row 2 to change scheme):</t>
  </si>
  <si>
    <t>Sum</t>
  </si>
  <si>
    <t>Inputs eligible for ProbWeighted (16 high-leverage drivers):</t>
  </si>
  <si>
    <t>Section</t>
  </si>
  <si>
    <t>Rows</t>
  </si>
  <si>
    <t>Driver</t>
  </si>
  <si>
    <t>Why included</t>
  </si>
  <si>
    <t>R19-R21</t>
  </si>
  <si>
    <t>Y1/Y2/Y3+ churn rates</t>
  </si>
  <si>
    <t>Compounds geometrically through cohort retention; single biggest swing on terminal members</t>
  </si>
  <si>
    <t>§3 Gross Margins</t>
  </si>
  <si>
    <t>R36-R38</t>
  </si>
  <si>
    <t>Phase 1/2/Terminal GM</t>
  </si>
  <si>
    <t>Direct lever on FCF margin and terminal value</t>
  </si>
  <si>
    <t>§7 WACC — CSRP</t>
  </si>
  <si>
    <t>R73</t>
  </si>
  <si>
    <t>Company-specific risk premium</t>
  </si>
  <si>
    <t>Discount rate sensitivity — 100bps swing flows through every PV</t>
  </si>
  <si>
    <t>§8 Terminal Value</t>
  </si>
  <si>
    <t>R79</t>
  </si>
  <si>
    <t>Exit multiple (EV/Rev)</t>
  </si>
  <si>
    <t>TV is ~73% of total EV — terminal multiple dominates the answer</t>
  </si>
  <si>
    <t>§12 Member Growth</t>
  </si>
  <si>
    <t>R169-R176</t>
  </si>
  <si>
    <t>MG1-MG8 YoY (2026-2033)</t>
  </si>
  <si>
    <t>Primary revenue driver; 8 separate annual growth rates compound geometrically</t>
  </si>
  <si>
    <t>Jensen Gap Caveat (read before citing ProbWeighted in memo):</t>
  </si>
  <si>
    <t>Input-weighting computes DCF(E[inputs]) — i.e., one DCF run on the expected inputs. By Jensen's inequality, when DCF is convex in its inputs (terminal multiple compounds, geometric member growth), DCF(E[inputs]) UNDERSTATES E[DCF(inputs)]. The 'true' expected EV from a Monte Carlo would sit above the ProbWeighted reading.</t>
  </si>
  <si>
    <t>Empirical gap on this model: scenario-weighted Equity ($10.13B) vs input-weighted ProbWeighted Equity ($7.96B) = +$2.17B (+27%). Read this delta as the 'optionality premium' the input-level method cannot price — it represents joint-correlated upside that scenario-level math captures.</t>
  </si>
  <si>
    <t>See DCF tab rows 56-74 for the live triangulation block. Use ProbWeighted as the central tendency under input independence; use scenario-weighted as the upper anchor under perfect correlation; Series G ($10.10B) sits between and reflects investor pricing of partial correlation.</t>
  </si>
  <si>
    <t>Snapshot Refresh Protocol:</t>
  </si>
  <si>
    <t xml:space="preserve">  • Active formulas at column F handle all four scenarios live (Bear/Base/Bull/ProbWeighted) — no refresh needed when toggling B3.</t>
  </si>
  <si>
    <t xml:space="preserve">  • DCF rows 60-63 (4-scenario EV snapshot) are STATIC values — captured via validation pass at last refresh. Refresh manually if any of the 16 ProbWeighted-eligible inputs change materially.</t>
  </si>
  <si>
    <t xml:space="preserve">  • Cover and Scenarios tabs reference DCF rows 60-65 — single source of truth for the snapshot. Refresh DCF, everything updates.</t>
  </si>
  <si>
    <t xml:space="preserve">  Select Bear / Base / Bull / ProbWeighted — drives Active column F throughout the model. ProbWeighted = P_Bear×Bear + P_Base×Base + P_Bull×Bull on 16 high-leverage inputs (see row 2 weights, Section 13 doc at row 181).</t>
  </si>
  <si>
    <t>Probability-Weighting Triangulation (input-level vs scenario-level)</t>
  </si>
  <si>
    <t>Two ways to combine Bear/Base/Bull into a single number. Input-level (ProbWeighted) is the central tendency under input independence; scenario-level (P·DCF(scenario) summed) is E[EV] under perfect cross-input correlation. The gap = the optionality premium investors price.</t>
  </si>
  <si>
    <t>Bear (full bear scenario)</t>
  </si>
  <si>
    <t>Base (full base scenario)</t>
  </si>
  <si>
    <t>Bull (full bull scenario)</t>
  </si>
  <si>
    <t>ProbWeighted (input-level) — conservative anchor</t>
  </si>
  <si>
    <t>Scenario-weighted (P·DCF) — upper anchor</t>
  </si>
  <si>
    <t>Series G mark (March 2026)</t>
  </si>
  <si>
    <t>Jensen Gap (Scenario-weighted minus ProbWeighted)</t>
  </si>
  <si>
    <t xml:space="preserve">  Jensen Gap %</t>
  </si>
  <si>
    <t>Memo Read:</t>
  </si>
  <si>
    <t>Series G ($10.1B) lands almost exactly at the scenario-weighted Equity ($10.13B). Read this as: investors are pricing the model under perfect cross-input correlation — the 'story holds together' assumption (high member growth AND tight churn AND multiple expansion AND CSRP compression all jointly). Input-level ProbWeighted ($7.96B) is the conservative anchor under input independence — 16% below the mark. The gap (~$2.2B) IS the joint-optionality premium. Healthcare option (separate) layers on top.</t>
  </si>
  <si>
    <t>Base DCF reflects WHOOP's subscription-driven unit economics if executed (terminal GM ~80%, FCF margin 27%). Real options are valued separately as a single binary-gate decision tree on the healthcare reimbursement pathway: probability of CMS materialization × incremental eligible-member revenue × medtech multiple × discount factor. Probability range 15-25% reflects iRhythm precedent (7+ year consumer→medical pathway) plus WHOOP-specific signals (CMS Innovation Center selection Apr 2026, Abbott + Mayo Series G investors). NEW: Probability-weighted scenario added to triangulate Bear/Base/Bull at the input level (ProbWeighted) alongside scenario level (P·DCF) — see triangulation block below.</t>
  </si>
  <si>
    <t>Memo conclusion: Base DCF $7.34B equity (-27% vs Series G $10.10B). DCF + healthcare option $8.28B (-18%). ProbWeighted (input-level, P_Bear 20% / P_Base 50% / P_Bull 30%) $7.96B equity (-21%) — the conservative anchor under input independence. Scenario-weighted (P·DCF, same weights) $10.13B equity — hits the Series G mark almost exactly, telling us investors are pricing the model under perfect cross-input correlation. The Jensen gap (~$2.2B, +27%) is the joint-optionality premium. Series G defensible only if (a) healthcare materializes (15-25% prob), AND (b) bull case drivers correlate jointly across member growth, ARPU, churn, and multiple expansion.</t>
  </si>
  <si>
    <t>Primary fundamental method. WACC × Exit Mult range. NEW: Probability-weighted variant available — see Cover triangulation block (B63-C77) for ProbWeighted (input-level) and Scenario-weighted (P·DCF) bookends. Football Field uses Bear/Base/Bull endpoints from Sensitivity!B44:D44; ProbWeighted reading sits between Base and Scenario-weighted. Not added as a separate method line per session decision — same fundamental method, different aggregation.</t>
  </si>
  <si>
    <t>P_Bear ↓ / P_Bull →</t>
  </si>
  <si>
    <t>Scenario EV by method (live links). Probability Weight Sensitivity tests how the weighted-average EV moves under different conviction schemes. ProbWeighted (input-level) shown alongside scenario-weighted (P·DCF) to expose the Jensen gap.</t>
  </si>
  <si>
    <t>Bear ($M)</t>
  </si>
  <si>
    <t>Base ($M)</t>
  </si>
  <si>
    <t>Bull ($M)</t>
  </si>
  <si>
    <t>ProbWeighted ($M)</t>
  </si>
  <si>
    <t>1. Intrinsic DCF (Equity Value)</t>
  </si>
  <si>
    <t>Equity values from DCF triangulation block (rows 60-63). Live snapshot.</t>
  </si>
  <si>
    <t xml:space="preserve">  + Real Options (Equity + Options)</t>
  </si>
  <si>
    <t>Includes healthcare reimbursement option (binary gate). Real options scenario-aligned.</t>
  </si>
  <si>
    <t>2. Trading Comps (3-bucket EV)</t>
  </si>
  <si>
    <t>Three-thesis bracketing (Failed Pivot / Subscription / Healthcare). Cross-thesis blending not meaningful — ProbWeighted not applicable.</t>
  </si>
  <si>
    <t>Skipped per session decision. 5-10% memo weight max.</t>
  </si>
  <si>
    <t>Single point (constant across scenarios). Mar 2026 mark.</t>
  </si>
  <si>
    <t>Back-solve from $10.1B ÷ (1−illiquidity) ÷ (1−IPO discount). Bear=highest discounts, lowest implied.</t>
  </si>
  <si>
    <t>Probability Weight Sensitivity — DCF Equity ($M)</t>
  </si>
  <si>
    <t>Tests three conviction schemes against both methods. Scenario-weighted = P_Bear·Bear + P_Base·Base + P_Bull·Bull (joint correlation). ProbWeighted = read from DCF!C63 with row-2 weights set to scheme (input independence). Difference = Jensen gap.</t>
  </si>
  <si>
    <t>Scenario-Wtd Equity</t>
  </si>
  <si>
    <t>ProbWeighted Equity</t>
  </si>
  <si>
    <t>Jensen Gap</t>
  </si>
  <si>
    <t>Pessimistic (high Bear weight)</t>
  </si>
  <si>
    <t>Neutral (current base case)</t>
  </si>
  <si>
    <t>Optimistic (high Bull weight)</t>
  </si>
  <si>
    <t>Read: Even under Pessimistic weights (35/50/15), scenario-weighted Equity exceeds ProbWeighted by ~$2.0B (Jensen gap). Under Optimistic weights, gap widens to ~$5.5B as Bull's joint upside dominates. Series G premium/discount column shows scenario-weighted hits the mark only under Neutral or Optimistic schemes — Pessimistic implies $2B+ haircut to Series G.</t>
  </si>
  <si>
    <t>12. ProbWeighted weights sum = 100%</t>
  </si>
  <si>
    <t>Push ProbWeighted scenario through entire memo — documentation, Cover, Football Field, Sensitivity, Scenarios, Checks. Style anchor to Comps + WACC Bottom-Up. Cover snapshot live on B3 toggle.</t>
  </si>
  <si>
    <t>(1) Assumptions Section 13 doc at row 181 (header banner, weights table linked to row 2, eligible-inputs table, Jensen caveat, refresh protocol). (2) Cover triangulation block at B63-C77 (live deps to DCF rows 60-65, Bear/Base/Bull/ProbWeighted/Scenario-Wtd/Series G/Jensen Gap; memo read narrative). (3) Cover B60/B61 narrative updated for new outputs. (4) Football Field K6 footnote on DCF row — NOT a new method line. (5) Sensitivity Section 5 prob-weight grid (5×5 P_Bear×P_Bull, base case yellow center, range $7.27-8.36B). (6) Scenarios fully populated: 6-method table with live links (DCF, Comps, Series G, IPO range), ProbWeighted column, Probability Weight Sensitivity block (3 schemes × Scenario-Wtd vs ProbWeighted vs Jensen Gap vs Series G). (7) Checks row 16: Check 12 weight-sum integrity, summary formulas expanded D5:D16. (8) Retried C3 description (had not persisted previously) — success on second attempt.</t>
  </si>
  <si>
    <t>Style fingerprint applied uniformly: Title bold 14-16pt white on #2F5496/#1F4E78; Subtitle italic 9-11pt #595959; Section banner bold 12pt white on #1F4E78; Table header bold 11pt black on #D9E1F2; Data 11pt black with #0000FF for inputs; Number formats $#,##0 / 0.0%/ 0.0"x" / +0.00;-0.00;0.00 deltas; Yellow #FFF2CC base case; #E2EFDA scenario-wtd; #FCE4D6 Jensen gap. Cover triangulation cells C67-C73 = LIVE formulas reading DCF!C60-C63 (single source of truth, refresh DCF and everything updates). DCF rows 60-63 themselves are STATIC — manually refreshed via validation pass. Sensitivity grid B67:F71 generated via Office.js auto-toggling P_Bear/P_Bull/P_Base across 5×5 grid (running ProbWeighted + recalc each time), base case D69 yellow.</t>
  </si>
  <si>
    <t>All decisions executed. ProbWeighted now end-to-end: docs (Assumptions row 181), Cover narrative + triangulation, Football Field footnote, Sensitivity grid, Scenarios full table, Checks weight-sum. Live test confirms toggling B3 to ProbWeighted updates Cover C34, C39 ($7.96B), C40 per-share. Memo narrative locked: input-weighted ($7.96B) = conservative anchor under input independence; scenario-weighted ($10.13B) = upper anchor at perfect correlation hits Series G almost exactly; Series G ($10.10B) reflects partial correlation; Jensen gap ($2.17B / +27%) IS the optionality premium. Checks 12/12 (11 PASS, 1 WARN). Open items flagged: Cover C43 has pre-existing label/formula mismatch (says 'Total Equity + Options' but formula reads DCF!C47 = EV+Options); RealOptions tab does not differentiate Base from ProbWeighted (both return $940M).</t>
  </si>
  <si>
    <t>Reviewed Sensitivity tab: validity of formulaic approach, accuracy of F54-F58 churn approximation tooltip, whether Grid 4 should recompute against live DCF, whether ±100bps WACC range is wide enough</t>
  </si>
  <si>
    <t>Audited Sensitivity tab against live DCF and Cover; identified two real reconciliation issues</t>
  </si>
  <si>
    <t>Confirmed: (1) formulaic SUMPRODUCT-based grids are correct architecture (live DCF would lock all cells to one scenario); (2) F54-F58 'directional only' tooltip is accurate — formula is linear approx scaled 5x, doesn't capture compounding; (3) Grid 4 should add EV column for IC relevance; (4) WACC range too narrow on the low side (Series G implied WACC &lt;10.85% can't be reached). Found Cover!C43 still pulling DCF!C47 ($7,557M EV) but labeled 'Total Equity + Options' (should be DCF!C51 = $8,276M). Found Sensitivity!E9 = $9.51B EV at base, but DCF base equity = $7.34B — narrative in A2 says $10.23B equity, which doesn't tie to live DCF.</t>
  </si>
  <si>
    <t>Findings delivered to user with P1/P2/P3 prioritization. Awaiting decision on whether to execute fixes (Cover C43 ref change, Sensitivity A2 reconciliation, Grid 1 WACC range extension, Grid 4 EV column).</t>
  </si>
  <si>
    <t>Grid 3: Beta × CSRP → Top-Down WACC (CAPM, Methodology Sec 8)</t>
  </si>
  <si>
    <t>Grid 3b: Same Beta × CSRP applied to DCF (top-down WACC) → EV ($B) at base 3.5x exit</t>
  </si>
  <si>
    <t>5. Y3+ Churn Cohort Sensitivity (Item 5)</t>
  </si>
  <si>
    <t>Tests Y3+ churn assumption (Assumptions!F21 Base = 12%) at 8%/10%/12%/14%/16%. The 2025 free-hardware pivot removed hardware sunk-cost stickiness — historical retention curves no longer cleanly extrapolate. This is the single biggest swing factor on terminal value because Y3+ is the dominant cohort by 2033.</t>
  </si>
  <si>
    <t>Bull (improvement)</t>
  </si>
  <si>
    <t>Bear (degradation)</t>
  </si>
  <si>
    <t>Note: Grids 1-3b use single-method TV (Exit Mult OR Gordon). Live DCF blends both at 50/50, yielding intermediate EV. Don't expect Grid base cells to tie to DCF!C32 — they show methodology dispersion, not central case.</t>
  </si>
  <si>
    <t>6. Probability Weighting Sensitivity — ProbWeighted Equity ($M)</t>
  </si>
  <si>
    <t>Tests robustness of input-weighted equity to choice of probability weights. P_Base = 1 − P_Bear − P_Bull. Yellow = base case (P_Bear=20%, P_Bull=30%, P_Base=50%). Cell value = P_Bear×Bear_Equity + P_Base×Base_Equity + P_Bull×Bull_Equity, where Bear/Base/Bull equities pull live from DCF!C60:C62. NOTE: This grid uses scenario-weighted decomposition (linear approximation); true input-weighted equity (DCF!C63 = $7,962M) differs by Jensen gap.</t>
  </si>
  <si>
    <t>7. Members Lens — Triangulating Bottom-Up Members to DCF Equity ($/Share)</t>
  </si>
  <si>
    <t>Tests sensitivity of DCF equity to 2033 ending member count. Yellow = base case (Members!L34 = 10.92M). Block A holds 2033 FCF margin constant at base; Block B couples margin to scale (±60 bps per ±10% members) reflecting fixed-cost leverage. EV scales with terminal-year FCF; equity bridge held constant.</t>
  </si>
  <si>
    <t>Block A: Margin Constant</t>
  </si>
  <si>
    <t>Block B: Margin Coupled</t>
  </si>
  <si>
    <t>Coupling Δ ($/sh)</t>
  </si>
  <si>
    <t>Lens D — Bottoms-up cohort</t>
  </si>
  <si>
    <t>Stress — Below median</t>
  </si>
  <si>
    <t>BASE — Lens B/C median (live)</t>
  </si>
  <si>
    <t>Lens A — TAM × Penetration</t>
  </si>
  <si>
    <t>Stretch — Above lenses</t>
  </si>
  <si>
    <t>Bull — Hypergrowth</t>
  </si>
  <si>
    <t>$/Share (Coupled)</t>
  </si>
  <si>
    <t>Approximation: EV scales with terminal-year FCF (preserves ≈78% TV-weight in base DCF). Revenue-per-member held at 2033 base of $338/yr (= DCF!K8 / Members!L34). Equity bridge held constant ($10M debt, $730M cash, 410M FD shares). Margin coupling rate of 60 bps per 10% members is a midpoint estimate — implied operating leverage from the model's 2026–2033 FCF margin expansion (10%→21%) running ~150 bps/yr against ~30%/yr member growth. Coupling is symmetric (linear); real-world margin compression at low membership is likely steeper (convex). Block B should be read as 'best estimate of coupled outcome' not a worst case.</t>
  </si>
  <si>
    <t>Approved Sensitivity tab rework: Grids stale with WACC/exit, Section 5 base wrong (showed 11.24M instead of 10.92M base members). Asked to rework Section 5 to match Grid 1-3 conventional (label-row + label-column + grid) format used by other grids.</t>
  </si>
  <si>
    <t>Full rebuild of Sensitivity rows 5-86: Grid 1/2/3/3b headers re-centered on live base values (WACC 11.59%, Exit Mult 3.5x, Term Growth 2.5%, Beta 0.83, CSRP 2%); base cells highlighted yellow. Grid 4 expanded with EV columns and live formulas. Section 5 (Probability Weighting + Members Lens) completely rebuilt as conventional grids with live DCF ties.</t>
  </si>
  <si>
    <t>Grid 1 (WACC×Exit Mult): A6:A12 = 10.09-13.09% step 50bps base 11.59% at A9 yellow; B5:H5 = 2.0-5.0x step 0.5x base 3.5x at E5 yellow. Grid 1 base E9 = $7.45B (pure Exit Mult). Grid 2 (WACC×Term Growth): A16:A22 same WACC; B16:F16 = 1.5-4.5% base 2.5% at D16. Grid 2 base D20 = $5.54B (pure Gordon). Grid 3 (Beta×CSRP top-down WACC) and Grid 3b (EV at top-down WACC × 3.5x exit): A28-A32 = 0.70/0.83/1.00/1.20/1.40 base 0.83; B27:F27 = 1.0-3.0% base 2% at D27. Grid 3 base D29 = 10.85% (top-down). Grid 3b base D37 = $7.80B EV. Grid 4 summary: B43:D43 EV columns (Low/Base/High by method using all three grid bases). Section 5 Block 1 (rows 63-72): 5×5 P_Bear×P_Bull grid using formula =$A66*DCF!$C$60+B$65*DCF!$C$62+(1-$A66-B$65)*DCF!$C$61. Base D68 = $10.13B = scenario-weighted bookend, NOT input-weighted $7.96B (caveat in A64). Section 5 Block 2 (rows 73-83): 6 rows of member counts centered on Members!L34=10.92M base at row 80 yellow (range 8.4-14.5M = -23%/+33% vs base). Block A: EV from FCF margin held constant. Block B: margin coupled ±60bps per ±10% members from base. Base D80=E80=$7,336M = DCF!C38. G80=$17.89/sh = DCF!C40. Coupled-bull G83=$25.22 (ONLY path &gt; Series G $24.63). All formulas live: pull from DCF!K8/K9/K10/C32/C36/C37/C38/C39/C60/C61/C62 and Members!L34. Methodology footnote at A88. Section 5 narrative A85 reads live ($9.0/sh swing, coupling adds $2.04 at bull, subtracts $0.84 at floor).</t>
  </si>
  <si>
    <t>Sensitivity tab live and audit-clean. Tie-out: E9=$7.45B (Grid 1 Exit Mult @ live WACC/Mult), D20=$5.54B (Grid 2 Gordon), D37=$7.80B (Grid 3b top-down), D68=$10.13B (Block 1 scenario-weighted bookend), D80=$7,336M = DCF!C38, G80=$17.89=DCF!C40. Methodology gaps documented in caveats. Open: Cover!C43 label/formula mismatch (deferred, low priority). Awaiting next direction.</t>
  </si>
  <si>
    <t>Scenario-weighted Expected Option Value (across-scenario, $M)</t>
  </si>
  <si>
    <t>Scenario-weighted Expected Option Value ($B)</t>
  </si>
  <si>
    <t>= P_Bear×Bear + P_Base×Base + P_Bull×Bull on B31:D31. Two-layer probability: each scenario already weights by P(materialize) at row 30; this layer weights ACROSS scenarios at the 20/50/30 macro split. Not double-counting — they compound. Asymmetric vs DCF approach: option inputs are coupled at scenario level (eligibility, ARPU, multiple, timing, materialize-prob all move together), so input-weighting cross-scenario would be incoherent. Scenario-weighted is the only valid cross-scenario aggregation for the option.</t>
  </si>
  <si>
    <t>Within-Scenario EV ($M)</t>
  </si>
  <si>
    <t>Macro Weight</t>
  </si>
  <si>
    <t>Contribution ($M)</t>
  </si>
  <si>
    <t>% of Total</t>
  </si>
  <si>
    <t>Scenario-Weighted Total</t>
  </si>
  <si>
    <t>Block B — Total Option Value at Varying Macro Probability Weights ($M)</t>
  </si>
  <si>
    <t>5×5 grid: rows = P_Bear, columns = P_Bull. P_Base = 1 - P_Bear - P_Bull. Yellow center = current 20/50/30 macro weights ($1.29B). Cells where P_Bear+P_Bull ≥ 1 return #N/A (invalid).</t>
  </si>
  <si>
    <t>Floor / Range / Lever Analysis</t>
  </si>
  <si>
    <t>Min option value (most conservative)</t>
  </si>
  <si>
    <t>P_Bear=30%, P_Bull=10% (extreme bearish weights)</t>
  </si>
  <si>
    <t>Max option value (most aggressive)</t>
  </si>
  <si>
    <t>P_Bear=10%, P_Bull=50% (extreme bullish weights)</t>
  </si>
  <si>
    <t>Range (max - min)</t>
  </si>
  <si>
    <t>Sensitivity to P_Bull (10→50pp shift, holding P_Bear=20%)</t>
  </si>
  <si>
    <t>$ per 10pp P_Bull shift — dominant lever</t>
  </si>
  <si>
    <t>Sensitivity to P_Bear (10→30pp shift, holding P_Bull=30%)</t>
  </si>
  <si>
    <t>$ per 10pp P_Bear shift — secondary lever</t>
  </si>
  <si>
    <t>BULL TIMING ELEVATED — 4 years is below ANY consumer→medical historical precedent. Justification REQUIRES three things to all break right: (1) CMS Innovation Center Access Program pathway materially accelerates standard 7-10yr CMS review; (2) WHOOP files ≥1 CPT code with clinical trial data within 18 months of Series G close; (3) Abbott or Mayo collaboration produces co-published validation study by Year 2. If any single condition fails, default to Base 5yr or Bear 7yr. Probability of all three = ~25% (= P_Bull anchor). Timing IS the binding lever — 1 extra year → multiplicative discount drag of (1+WACC)^1 ≈ 11% reduction in option PV per year delay.</t>
  </si>
  <si>
    <t>Section 5b — Reviewer pushback responses (memo)</t>
  </si>
  <si>
    <t>Three points addressed in committee feedback. Read alongside Sections 5 + 7 for full picture.</t>
  </si>
  <si>
    <t>Pushback 1 — "Bull case is consumer-driven, not healthcare-driven"</t>
  </si>
  <si>
    <t>Acknowledged. Bull case member growth (MG1-MG8 in Assumptions row 169-176) is justified by Series G capital deployment and brand step-function (Peloton-stage IPO mechanics) — NOT by reimbursement assumption. Bull DCF reaches $19.88B equity / $48.49/sh on consumer-only thesis. Healthcare option is layered ON TOP, not embedded IN, the consumer Bull. The two are independent paths: consumer base materializes through ad spend, athlete partnerships, brand awareness; healthcare path materializes through CMS/CPT/clinical work. Conflating them inflates probability — the model treats them as separate (DCF runs on consumer assumptions; option valued discretely; scenario-weighted EV adds them).</t>
  </si>
  <si>
    <t>Pushback 2 — "You're already getting an implicit option premium in the comps multiple"</t>
  </si>
  <si>
    <t>Partly fair. Consumer wearables comps trade at 3-5x revenue; bucket-3 medtech (Dexcom/ResMed/Masimo/iRhythm) at 5.0-6.4x. WHOOP's blended comp implies the market already prices SOME healthcare optionality — estimating this premium at +0.5-1.0x revenue (= roughly $220-440M EV at 2033 revenue of $3.7B and 12% probability-weighted discount). Recommend interpreting the explicit option value (B36 Base $940M / B38 Scen-Wtd $1,286M) as the FULL PV of the medical pathway, with the comps premium as a CHECK rather than additive layer. If sensitive to double-counting, conservative read: option value PROVES IN at $700-1,000M after netting estimated multiple premium. Memo recommendation: present option value as standalone module; let reader subtract comps premium if they believe it's already priced.</t>
  </si>
  <si>
    <t>Pushback 3 — "What if the medical pathway doesn't materialize — are you overpaying for ARPU?"</t>
  </si>
  <si>
    <t>Defensible. Consumer ARPU ($338/yr at 2033, blended consumer + B2B) is the primary subscription revenue — NOT contingent on payer reimbursement. WHOOP currently bills $200-300/yr direct-to-consumer at scale. Even if zero medical revenue ever materializes (P(materialize)=0%), the consumer ARPU remains intact. The healthcare option is upside ON TOP of consumer ARPU, not a substitute. The only ARPU at risk is incremental medical-bill ARPU ($200-350/yr from RO3) which only flows in scenarios where the option triggers. Bear case ($164M option) effectively models the "medical doesn't materialize" outcome — still positive because even probability-weighted at 15% × $1.07B intrinsic = $164M residual.</t>
  </si>
  <si>
    <t>Reviewer (committee/IC) pushed back on RealOptions: Bull case is consumer-driven not healthcare-driven, comps multiple already prices implicit option premium (double-counting risk), and what if medical pathway doesn't materialize — ARPU defense needed. Asked to (a) add scenario-weighted line, (b) sensitivity grid scenario × probability weight, (c) memo sentences on three pushbacks, (d) elevate Bull timing logic, (e) hold multiple at 6x flat.</t>
  </si>
  <si>
    <t>Built scenario-weighted aggregation, sensitivity grid (Section 7), memo additions (Section 5b), and elevated Bull timing logic with explicit conditions.</t>
  </si>
  <si>
    <t>(1) Section 4 Scenario-weighted EV: B38 = =P_Bear*B31+P_Base*C31+P_Bull*D31 = $1,286M ($1.29B vs Base scenario $940M); C38 caveat explains two-layer probability is not double-counting (within-scenario P(materialize) at row 30 already weights by trigger probability; cross-scenario weights weight outcome distributions — they compound). (2) Section 7 Block A: per-scenario contribution decomposition Bear $33M/2.6%, Base $470M/36.6%, Bull $783M/60.9% (Bull dominates despite only 30% weight — reflects $2.6B Bull intrinsic value). (3) Section 7 Block B: 5×5 P_Bear×P_Bull grid centered on D97=$1,286M; floor max-bear=$874M, ceiling max-bull=$1,697M, range=$823M. P_Bull lever=$167M per 10pp, P_Bear lever=$39M per 10pp — Bull weight is dominant lever. Read narrative at A109 with live TEXT formulas reading B38, D97, B96/F98 floor/ceiling, B98/F96 corner cases. (4) Section 5b Pushback responses (rows 80-90): consumer-only Bull (clean separation — DCF runs consumer assumptions, option valued discretely, scenario-weighted EV adds them), implicit option premium ($220-440M estimated comps premium; recommend reading explicit option as standalone module — reader can subtract premium if they believe it's already priced; or keep $700-1,000M proves-in floor), ARPU defense ($338/yr blended consumer+B2B is intact regardless of medical materialization — only incremental medical-bill ARPU is at risk; Bear $164M residual = 15% prob × $1.07B intrinsic still positive). (5) Bull timing elevated (row 68 yellow callout): 4yr requires three conditions ALL to break right (CMS Innovation Center accelerates 7-10yr review, CPT code filing within 18 months, Abbott/Mayo co-published study by Y2). Probability of all three = 25% = P_Bull. 1 extra year = ~11% PV drag (multiplicative discount). (6) Multiple held at 6x flat per user direction. (7) Style: scenario-weighted line uses #E2EFDA mint. Block A and B narratives at A109 fully live.</t>
  </si>
  <si>
    <t>RealOptions tab now Series A: Section 4 dual reads (active scenario $940M Base + scenario-weighted $1,286M cross-scenario), Section 7 sensitivity grid live, Section 5b pushback responses memo-quality. Tie-outs: B38=$1,286M, D97=$1,286M, F98=$1,697M ceiling, B96=$874M floor. Awaiting next direction.</t>
  </si>
  <si>
    <t>Full sweep audit of WHOOP valuation model — flag inconsistencies, errors, stale content, formatting issues across all 22 sheets.</t>
  </si>
  <si>
    <t>Read &amp; analyzed all 22 sheets. Compiled prioritized issue list across 4 tiers: (1) real bugs, (2) documented-but-unfixed gaps in CalibrationLog, (3) cosmetic cruft/orphans, (4) structural improvements.</t>
  </si>
  <si>
    <t>Tier-1 bugs: Cover B43 label/formula mismatch (=DCF!C47 EV+Options $7,557 but labeled 'Total Equity + Options' — should be =DCF!C51 $8,276); Football Field B11 stale source text 'DCF C58' (live formula C52 OK); DCF!A3 stale TV diagnostic (says TV%EV 78%, Checks reports 73.2%). Tier-2: 6 Open items in CalibrationLog (TV divergence, TV%, S&amp;M architecture, EBITDA dip, ARPU/Revenue gap, FCF margin). Tier-3 cruft: Assumptions D120/D121 ORPHANED but still drive F120/F121; A44='x' stray; Section 9 duplicate header A105+A155; Section 11 ARCHIVED; Cap Table A26:G35 waterfall unbuilt ('BUILD FORMULAS'); DCF rows 56-74 ProbWeighted snapshot static. Tier-4 structural: ProbWeighted only blends 8 Member Growth inputs not the 16 documented (Cover memo overstates scope); Cap Table key metrics (C18:C22) are text strings; Sources Web Sources section sparse.</t>
  </si>
  <si>
    <t>Audit complete, written report delivered to user. No model changes made — awaiting user direction on which fixes to prioritize.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</si>
</sst>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164" formatCode="0.0%"/>
    <numFmt numFmtId="165" formatCode="\$#,##0"/>
    <numFmt numFmtId="166" formatCode="0.0\x"/>
    <numFmt numFmtId="167" formatCode="0.0"/>
    <numFmt numFmtId="168" formatCode="\$#,##0.00"/>
    <numFmt numFmtId="169" formatCode="0.0&quot;x&quot;"/>
    <numFmt numFmtId="170" formatCode="0.00&quot;x&quot;"/>
    <numFmt numFmtId="171" formatCode="&quot;$&quot;#,##0"/>
    <numFmt numFmtId="172" formatCode="0.0%;\(0.0%\);\-"/>
    <numFmt numFmtId="173" formatCode="&quot;$&quot;#,##0;\(&quot;$&quot;#,##0\);\-"/>
    <numFmt numFmtId="174" formatCode="0.0;\(0.0\);\-"/>
    <numFmt numFmtId="175" formatCode="0.000"/>
    <numFmt numFmtId="176" formatCode="&quot;$&quot;#,##0.00"/>
    <numFmt numFmtId="177" formatCode="0.00%;\(0.00%\);\-"/>
    <numFmt numFmtId="178" formatCode="&quot;$&quot;0.00"/>
    <numFmt numFmtId="179" formatCode="&quot;$&quot;0.00&quot;B&quot;"/>
    <numFmt numFmtId="180" formatCode="\+0.0&quot;x&quot;;\-0.0&quot;x&quot;"/>
    <numFmt numFmtId="181" formatCode="mmm\-yyyy"/>
    <numFmt numFmtId="182" formatCode="#,##0.00;\(#,##0.00\);\-"/>
    <numFmt numFmtId="183" formatCode="0%;\(0%\);\-"/>
    <numFmt numFmtId="184" formatCode="\+0.0%;\-0.0%"/>
    <numFmt numFmtId="185" formatCode="0.00&quot;x&quot;;\(0.00&quot;x&quot;\);\-"/>
    <numFmt numFmtId="186" formatCode="\+0.0%;\-0.0%;\-"/>
    <numFmt numFmtId="187" formatCode="\+0.00;\-0.00;0.00"/>
    <numFmt numFmtId="188" formatCode="\+0.000;\-0.000;0.000"/>
    <numFmt numFmtId="189" formatCode="\+0.00%;\-0.00%;0.00%"/>
    <numFmt numFmtId="190" formatCode="0.00&quot;M&quot;"/>
    <numFmt numFmtId="191" formatCode="0.0&quot;M&quot;"/>
    <numFmt numFmtId="198" formatCode="0.0000"/>
    <numFmt numFmtId="199" formatCode="\+0.0%;\-0.0%;0.0%"/>
    <numFmt numFmtId="200" formatCode="0&quot;x&quot;"/>
    <numFmt numFmtId="201" formatCode="0,000"/>
    <numFmt numFmtId="202" formatCode="yyyy\-mm\-dd"/>
    <numFmt numFmtId="204" formatCode="\+&quot;$&quot;#,##0;\-&quot;$&quot;#,##0;0"/>
  </numFmts>
  <fonts count="160" x14ac:knownFonts="1">
    <font>
      <sz val="11"/>
      <color theme="1"/>
      <name val="Calibri"/>
      <family val="2"/>
      <scheme val="minor"/>
    </font>
    <font>
      <b/>
      <sz val="24"/>
      <name val="Calibri"/>
      <family val="2"/>
    </font>
    <font>
      <sz val="16"/>
      <color rgb="FF666666"/>
      <name val="Calibri"/>
      <family val="2"/>
    </font>
    <font>
      <sz val="11"/>
      <color rgb="FF666666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sz val="10"/>
      <color rgb="FFCC0000"/>
      <name val="Calibri"/>
      <family val="2"/>
    </font>
    <font>
      <i/>
      <sz val="9"/>
      <color rgb="FF666666"/>
      <name val="Calibri"/>
      <family val="2"/>
    </font>
    <font>
      <b/>
      <sz val="14"/>
      <color rgb="FF000000"/>
      <name val="Calibri"/>
      <family val="2"/>
    </font>
    <font>
      <i/>
      <sz val="9"/>
      <color rgb="FF999999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C00000"/>
      <name val="Calibri"/>
      <family val="2"/>
    </font>
    <font>
      <b/>
      <sz val="11"/>
      <color rgb="FFFFFFFF"/>
      <name val="Calibri"/>
      <family val="2"/>
      <scheme val="minor"/>
    </font>
    <font>
      <sz val="9"/>
      <color rgb="FF666666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008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666666"/>
      <name val="Calibri"/>
      <family val="2"/>
      <scheme val="minor"/>
    </font>
    <font>
      <i/>
      <sz val="10"/>
      <color rgb="FF666666"/>
      <name val="Calibri"/>
      <family val="2"/>
    </font>
    <font>
      <b/>
      <i/>
      <sz val="9"/>
      <color rgb="FF666666"/>
      <name val="Calibri"/>
      <family val="2"/>
    </font>
    <font>
      <i/>
      <sz val="10"/>
      <color rgb="FF999999"/>
      <name val="Calibri"/>
      <family val="2"/>
    </font>
    <font>
      <b/>
      <sz val="10"/>
      <color rgb="FF0000FF"/>
      <name val="Calibri"/>
      <family val="2"/>
    </font>
    <font>
      <i/>
      <sz val="9"/>
      <color rgb="FF999999"/>
      <name val="Calibri"/>
      <family val="2"/>
      <scheme val="minor"/>
    </font>
    <font>
      <b/>
      <i/>
      <sz val="10"/>
      <color rgb="FFC00000"/>
      <name val="Calibri"/>
      <family val="2"/>
    </font>
    <font>
      <sz val="11"/>
      <color rgb="FF806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3"/>
      <color rgb="FFFFFFFF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i/>
      <sz val="9"/>
      <color rgb="FF006100"/>
      <name val="Calibri"/>
      <family val="2"/>
      <scheme val="minor"/>
    </font>
    <font>
      <i/>
      <sz val="9"/>
      <color rgb="FF806000"/>
      <name val="Calibri"/>
      <family val="2"/>
      <scheme val="minor"/>
    </font>
    <font>
      <b/>
      <i/>
      <sz val="9"/>
      <color rgb="FF666666"/>
      <name val="Calibri"/>
      <family val="2"/>
      <scheme val="minor"/>
    </font>
    <font>
      <b/>
      <i/>
      <sz val="10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sz val="10"/>
      <color rgb="FF666666"/>
      <name val="Calibri"/>
      <family val="2"/>
      <scheme val="minor"/>
    </font>
    <font>
      <i/>
      <sz val="10"/>
      <color rgb="FF999999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666666"/>
      <name val="Calibri"/>
      <family val="2"/>
    </font>
    <font>
      <i/>
      <sz val="11"/>
      <color theme="1"/>
      <name val="Calibri"/>
      <family val="2"/>
      <scheme val="minor"/>
    </font>
    <font>
      <b/>
      <sz val="10"/>
      <color rgb="FF008000"/>
      <name val="Calibri"/>
      <family val="2"/>
    </font>
    <font>
      <b/>
      <sz val="14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FFFFFF"/>
      <name val="Calibri"/>
      <family val="2"/>
    </font>
    <font>
      <i/>
      <sz val="10"/>
      <color rgb="FFFFFFFF"/>
      <name val="Calibri"/>
      <family val="2"/>
    </font>
    <font>
      <sz val="10"/>
      <color rgb="FFFFC000"/>
      <name val="Calibri"/>
      <family val="2"/>
    </font>
    <font>
      <b/>
      <i/>
      <sz val="12"/>
      <color rgb="FFFFFFFF"/>
      <name val="Calibri"/>
      <family val="2"/>
    </font>
    <font>
      <b/>
      <i/>
      <sz val="11"/>
      <color rgb="FF0000FF"/>
      <name val="Calibri"/>
      <family val="2"/>
      <scheme val="minor"/>
    </font>
    <font>
      <b/>
      <i/>
      <sz val="10"/>
      <color rgb="FF666666"/>
      <name val="Calibri"/>
      <family val="2"/>
      <scheme val="minor"/>
    </font>
    <font>
      <b/>
      <i/>
      <sz val="10"/>
      <color rgb="FF999999"/>
      <name val="Calibri"/>
      <family val="2"/>
      <scheme val="minor"/>
    </font>
    <font>
      <b/>
      <sz val="9"/>
      <color rgb="FF595959"/>
      <name val="Calibri"/>
      <family val="2"/>
      <scheme val="minor"/>
    </font>
    <font>
      <sz val="9"/>
      <color rgb="FF595959"/>
      <name val="Calibri"/>
      <family val="2"/>
      <scheme val="minor"/>
    </font>
    <font>
      <b/>
      <i/>
      <sz val="9"/>
      <color rgb="FF595959"/>
      <name val="Calibri"/>
      <family val="2"/>
      <scheme val="minor"/>
    </font>
    <font>
      <b/>
      <sz val="14"/>
      <color rgb="FFFFFFFF"/>
      <name val="Calibri"/>
      <family val="2"/>
    </font>
    <font>
      <b/>
      <i/>
      <sz val="9"/>
      <color rgb="FF595959"/>
      <name val="Calibri"/>
      <family val="2"/>
    </font>
    <font>
      <i/>
      <sz val="9"/>
      <color rgb="FFC00000"/>
      <name val="Calibri"/>
      <family val="2"/>
      <scheme val="minor"/>
    </font>
    <font>
      <b/>
      <i/>
      <sz val="10"/>
      <color rgb="FF999999"/>
      <name val="Calibri"/>
      <family val="2"/>
    </font>
    <font>
      <b/>
      <i/>
      <sz val="9"/>
      <color rgb="FF999999"/>
      <name val="Calibri"/>
      <family val="2"/>
    </font>
    <font>
      <i/>
      <sz val="10"/>
      <color rgb="FF000000"/>
      <name val="Calibri"/>
      <family val="2"/>
    </font>
    <font>
      <i/>
      <sz val="10"/>
      <color rgb="FF595959"/>
      <name val="Calibri"/>
      <family val="2"/>
    </font>
    <font>
      <b/>
      <i/>
      <sz val="10"/>
      <color theme="1"/>
      <name val="Calibri"/>
      <family val="2"/>
      <scheme val="minor"/>
    </font>
    <font>
      <i/>
      <sz val="9"/>
      <color rgb="FF595959"/>
      <name val="Calibri"/>
      <family val="2"/>
    </font>
    <font>
      <i/>
      <sz val="10"/>
      <color rgb="FF404040"/>
      <name val="Calibri"/>
      <family val="2"/>
    </font>
    <font>
      <i/>
      <sz val="10"/>
      <color rgb="FFA6A6A6"/>
      <name val="Calibri"/>
      <family val="2"/>
      <scheme val="minor"/>
    </font>
    <font>
      <b/>
      <i/>
      <sz val="10"/>
      <color rgb="FF666666"/>
      <name val="Calibri"/>
      <family val="2"/>
    </font>
    <font>
      <sz val="10"/>
      <color rgb="FF40404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b/>
      <i/>
      <sz val="10"/>
      <color rgb="FF404040"/>
      <name val="Calibri"/>
      <family val="2"/>
      <scheme val="minor"/>
    </font>
    <font>
      <b/>
      <i/>
      <sz val="10"/>
      <color rgb="FF404040"/>
      <name val="Calibri"/>
      <family val="2"/>
    </font>
    <font>
      <sz val="9"/>
      <color rgb="FF0000FF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806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0"/>
      <color rgb="FF806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6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rgb="FF595959"/>
      <name val="Calibri"/>
      <family val="2"/>
      <scheme val="minor"/>
    </font>
    <font>
      <sz val="10"/>
      <color rgb="FF000000"/>
      <name val="Calibri"/>
      <family val="2"/>
    </font>
    <font>
      <sz val="10"/>
      <color rgb="FF666666"/>
      <name val="Calibri"/>
      <family val="2"/>
    </font>
    <font>
      <sz val="10"/>
      <color rgb="FF008000"/>
      <name val="Calibri"/>
      <family val="2"/>
    </font>
    <font>
      <i/>
      <sz val="9"/>
      <color rgb="FF595959"/>
      <name val="Calibri"/>
      <family val="2"/>
    </font>
    <font>
      <i/>
      <sz val="10"/>
      <color rgb="FF000000"/>
      <name val="Calibri"/>
      <family val="2"/>
    </font>
    <font>
      <i/>
      <sz val="10"/>
      <color rgb="FF999999"/>
      <name val="Calibri"/>
      <family val="2"/>
    </font>
    <font>
      <sz val="10"/>
      <color rgb="FF0000FF"/>
      <name val="Calibri"/>
      <family val="2"/>
    </font>
    <font>
      <sz val="10"/>
      <color theme="1"/>
      <name val="Calibri"/>
      <family val="2"/>
    </font>
    <font>
      <i/>
      <sz val="9"/>
      <color rgb="FFC00000"/>
      <name val="Calibri"/>
      <family val="2"/>
    </font>
    <font>
      <i/>
      <sz val="9"/>
      <color rgb="FF666666"/>
      <name val="Calibri"/>
      <family val="2"/>
    </font>
    <font>
      <i/>
      <sz val="10"/>
      <color rgb="FF666666"/>
      <name val="Calibri"/>
      <family val="2"/>
    </font>
    <font>
      <b/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</font>
    <font>
      <i/>
      <sz val="10"/>
      <color rgb="FF404040"/>
      <name val="Calibri"/>
      <family val="2"/>
      <scheme val="minor"/>
    </font>
    <font>
      <i/>
      <sz val="10"/>
      <color rgb="FF808080"/>
      <name val="Calibri"/>
      <family val="2"/>
    </font>
    <font>
      <i/>
      <sz val="9"/>
      <color rgb="FFC0504D"/>
      <name val="Calibri"/>
      <family val="2"/>
    </font>
    <font>
      <b/>
      <i/>
      <sz val="10"/>
      <color rgb="FF808080"/>
      <name val="Calibri"/>
      <family val="2"/>
    </font>
    <font>
      <i/>
      <sz val="10"/>
      <color theme="1"/>
      <name val="Calibri"/>
      <family val="2"/>
    </font>
    <font>
      <i/>
      <sz val="10"/>
      <color rgb="FF404040"/>
      <name val="Calibri"/>
      <family val="2"/>
    </font>
    <font>
      <b/>
      <sz val="12"/>
      <color rgb="FFFFFFFF"/>
      <name val="Calibri"/>
      <family val="2"/>
    </font>
    <font>
      <i/>
      <sz val="10"/>
      <color rgb="FF008000"/>
      <name val="Calibri"/>
      <family val="2"/>
    </font>
    <font>
      <b/>
      <sz val="12"/>
      <color rgb="FF000000"/>
      <name val="Calibri"/>
      <family val="2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  <scheme val="minor"/>
    </font>
    <font>
      <i/>
      <sz val="8"/>
      <color rgb="FF59595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b/>
      <i/>
      <sz val="9"/>
      <color rgb="FF2E7D32"/>
      <name val="Calibri"/>
      <family val="2"/>
      <scheme val="minor"/>
    </font>
    <font>
      <b/>
      <sz val="10"/>
      <color rgb="FF2E7D32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sz val="10"/>
      <color rgb="FF595959"/>
      <name val="Calibri"/>
      <family val="2"/>
      <scheme val="minor"/>
    </font>
    <font>
      <sz val="11"/>
      <color rgb="FF666666"/>
      <name val="Calibri"/>
      <family val="2"/>
      <scheme val="minor"/>
    </font>
    <font>
      <i/>
      <sz val="9"/>
      <color rgb="FF444444"/>
      <name val="Calibri"/>
      <family val="2"/>
      <scheme val="minor"/>
    </font>
    <font>
      <i/>
      <sz val="10"/>
      <color rgb="FF444444"/>
      <name val="Calibri"/>
      <family val="2"/>
      <scheme val="minor"/>
    </font>
    <font>
      <i/>
      <sz val="11"/>
      <color rgb="FF666666"/>
      <name val="Calibri"/>
      <family val="2"/>
    </font>
    <font>
      <i/>
      <sz val="11"/>
      <color rgb="FF999999"/>
      <name val="Calibri"/>
      <family val="2"/>
    </font>
    <font>
      <b/>
      <i/>
      <sz val="10"/>
      <color rgb="FF595959"/>
      <name val="Calibri"/>
      <family val="2"/>
    </font>
    <font>
      <b/>
      <sz val="11"/>
      <color rgb="FF0000FF"/>
      <name val="Calibri"/>
      <family val="2"/>
    </font>
    <font>
      <i/>
      <sz val="10"/>
      <color rgb="FF7F6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0F8"/>
        <bgColor indexed="64"/>
      </patternFill>
    </fill>
    <fill>
      <patternFill patternType="solid">
        <fgColor rgb="FF5B7FB6"/>
        <bgColor indexed="64"/>
      </patternFill>
    </fill>
    <fill>
      <patternFill patternType="solid">
        <fgColor rgb="FFE8F0FE"/>
        <bgColor indexed="64"/>
      </patternFill>
    </fill>
  </fills>
  <borders count="9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medium">
        <color auto="1"/>
      </top>
      <bottom style="thin">
        <color rgb="FFCCCCCC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auto="1"/>
      </right>
      <top style="thin">
        <color rgb="FF7F7F7F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rgb="FFBFBFBF"/>
      </bottom>
      <diagonal/>
    </border>
    <border>
      <left/>
      <right style="thin">
        <color auto="1"/>
      </right>
      <top style="medium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medium">
        <color auto="1"/>
      </bottom>
      <diagonal/>
    </border>
    <border>
      <left/>
      <right style="thin">
        <color auto="1"/>
      </right>
      <top style="thin">
        <color rgb="FFBFBFBF"/>
      </top>
      <bottom style="medium">
        <color auto="1"/>
      </bottom>
      <diagonal/>
    </border>
    <border>
      <left style="thin">
        <color auto="1"/>
      </left>
      <right/>
      <top style="thin">
        <color rgb="FFBFBFBF"/>
      </top>
      <bottom/>
      <diagonal/>
    </border>
    <border>
      <left/>
      <right style="thin">
        <color auto="1"/>
      </right>
      <top style="thin">
        <color rgb="FFBFBFBF"/>
      </top>
      <bottom/>
      <diagonal/>
    </border>
    <border>
      <left style="thin">
        <color auto="1"/>
      </left>
      <right/>
      <top style="medium">
        <color rgb="FFBFBFBF"/>
      </top>
      <bottom style="medium">
        <color rgb="FFBFBFBF"/>
      </bottom>
      <diagonal/>
    </border>
    <border>
      <left/>
      <right style="thin">
        <color auto="1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auto="1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medium">
        <color auto="1"/>
      </bottom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medium">
        <color rgb="FFBFBFBF"/>
      </top>
      <bottom style="medium">
        <color auto="1"/>
      </bottom>
      <diagonal/>
    </border>
    <border>
      <left/>
      <right/>
      <top style="medium">
        <color rgb="FFBFBFBF"/>
      </top>
      <bottom style="medium">
        <color auto="1"/>
      </bottom>
      <diagonal/>
    </border>
    <border>
      <left/>
      <right style="thin">
        <color auto="1"/>
      </right>
      <top style="medium">
        <color rgb="FFBFBFBF"/>
      </top>
      <bottom style="medium">
        <color auto="1"/>
      </bottom>
      <diagonal/>
    </border>
    <border>
      <left style="medium">
        <color rgb="FF2F5496"/>
      </left>
      <right/>
      <top style="thin">
        <color auto="1"/>
      </top>
      <bottom/>
      <diagonal/>
    </border>
    <border>
      <left style="medium">
        <color rgb="FF2F5496"/>
      </left>
      <right/>
      <top/>
      <bottom/>
      <diagonal/>
    </border>
    <border>
      <left style="medium">
        <color rgb="FF2F5496"/>
      </left>
      <right/>
      <top/>
      <bottom style="thin">
        <color auto="1"/>
      </bottom>
      <diagonal/>
    </border>
    <border>
      <left style="thick">
        <color rgb="FF2F5496"/>
      </left>
      <right/>
      <top/>
      <bottom/>
      <diagonal/>
    </border>
    <border>
      <left/>
      <right/>
      <top style="medium">
        <color rgb="FF2F5496"/>
      </top>
      <bottom/>
      <diagonal/>
    </border>
    <border>
      <left style="thick">
        <color rgb="FF2F5496"/>
      </left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BFBFBF"/>
      </top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7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2" fillId="0" borderId="0" xfId="0" applyFont="1"/>
    <xf numFmtId="3" fontId="5" fillId="0" borderId="0" xfId="0" applyNumberFormat="1" applyFont="1"/>
    <xf numFmtId="167" fontId="5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5" fontId="5" fillId="0" borderId="0" xfId="0" applyNumberFormat="1" applyFont="1"/>
    <xf numFmtId="3" fontId="7" fillId="0" borderId="0" xfId="0" applyNumberFormat="1" applyFont="1"/>
    <xf numFmtId="3" fontId="8" fillId="0" borderId="0" xfId="0" applyNumberFormat="1" applyFont="1"/>
    <xf numFmtId="2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3" fontId="5" fillId="6" borderId="0" xfId="0" applyNumberFormat="1" applyFont="1" applyFill="1" applyAlignment="1">
      <alignment horizontal="right" vertical="center"/>
    </xf>
    <xf numFmtId="168" fontId="5" fillId="6" borderId="0" xfId="0" applyNumberFormat="1" applyFont="1" applyFill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68" fontId="7" fillId="5" borderId="0" xfId="0" applyNumberFormat="1" applyFont="1" applyFill="1" applyAlignment="1">
      <alignment horizontal="right" vertical="center"/>
    </xf>
    <xf numFmtId="0" fontId="19" fillId="0" borderId="0" xfId="0" applyFont="1"/>
    <xf numFmtId="164" fontId="20" fillId="0" borderId="0" xfId="0" applyNumberFormat="1" applyFont="1" applyAlignment="1">
      <alignment horizontal="right"/>
    </xf>
    <xf numFmtId="171" fontId="20" fillId="8" borderId="0" xfId="0" applyNumberFormat="1" applyFont="1" applyFill="1" applyAlignment="1">
      <alignment horizontal="right"/>
    </xf>
    <xf numFmtId="0" fontId="22" fillId="0" borderId="0" xfId="0" applyFont="1"/>
    <xf numFmtId="0" fontId="23" fillId="0" borderId="0" xfId="0" applyFont="1"/>
    <xf numFmtId="171" fontId="20" fillId="0" borderId="0" xfId="0" applyNumberFormat="1" applyFont="1" applyAlignment="1">
      <alignment horizontal="right"/>
    </xf>
    <xf numFmtId="1" fontId="20" fillId="8" borderId="0" xfId="0" applyNumberFormat="1" applyFont="1" applyFill="1" applyAlignment="1">
      <alignment horizontal="right"/>
    </xf>
    <xf numFmtId="172" fontId="22" fillId="0" borderId="0" xfId="0" applyNumberFormat="1" applyFont="1" applyAlignment="1">
      <alignment horizontal="right"/>
    </xf>
    <xf numFmtId="0" fontId="27" fillId="0" borderId="0" xfId="0" applyFont="1"/>
    <xf numFmtId="171" fontId="27" fillId="0" borderId="0" xfId="0" applyNumberFormat="1" applyFont="1"/>
    <xf numFmtId="171" fontId="27" fillId="9" borderId="0" xfId="0" applyNumberFormat="1" applyFont="1" applyFill="1"/>
    <xf numFmtId="0" fontId="31" fillId="0" borderId="0" xfId="0" applyFont="1"/>
    <xf numFmtId="173" fontId="8" fillId="0" borderId="0" xfId="0" applyNumberFormat="1" applyFont="1"/>
    <xf numFmtId="173" fontId="7" fillId="0" borderId="0" xfId="0" applyNumberFormat="1" applyFont="1"/>
    <xf numFmtId="173" fontId="0" fillId="0" borderId="0" xfId="0" applyNumberFormat="1"/>
    <xf numFmtId="173" fontId="5" fillId="0" borderId="0" xfId="0" applyNumberFormat="1" applyFont="1"/>
    <xf numFmtId="172" fontId="8" fillId="0" borderId="0" xfId="0" applyNumberFormat="1" applyFont="1"/>
    <xf numFmtId="49" fontId="31" fillId="0" borderId="0" xfId="0" applyNumberFormat="1" applyFont="1" applyAlignment="1">
      <alignment horizontal="right"/>
    </xf>
    <xf numFmtId="49" fontId="33" fillId="0" borderId="0" xfId="0" applyNumberFormat="1" applyFont="1" applyAlignment="1">
      <alignment horizontal="right"/>
    </xf>
    <xf numFmtId="10" fontId="8" fillId="0" borderId="0" xfId="0" applyNumberFormat="1" applyFont="1"/>
    <xf numFmtId="0" fontId="35" fillId="0" borderId="0" xfId="0" applyFont="1"/>
    <xf numFmtId="0" fontId="27" fillId="0" borderId="0" xfId="0" quotePrefix="1" applyFont="1"/>
    <xf numFmtId="0" fontId="48" fillId="12" borderId="1" xfId="0" applyFont="1" applyFill="1" applyBorder="1" applyAlignment="1">
      <alignment horizontal="center"/>
    </xf>
    <xf numFmtId="0" fontId="28" fillId="0" borderId="0" xfId="0" applyFont="1"/>
    <xf numFmtId="0" fontId="29" fillId="9" borderId="0" xfId="0" applyFont="1" applyFill="1"/>
    <xf numFmtId="0" fontId="17" fillId="0" borderId="0" xfId="0" applyFont="1" applyAlignment="1">
      <alignment wrapText="1"/>
    </xf>
    <xf numFmtId="0" fontId="48" fillId="12" borderId="0" xfId="0" applyFont="1" applyFill="1"/>
    <xf numFmtId="0" fontId="4" fillId="1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73" fontId="5" fillId="0" borderId="0" xfId="0" applyNumberFormat="1" applyFont="1" applyAlignment="1">
      <alignment horizontal="right" vertical="center"/>
    </xf>
    <xf numFmtId="173" fontId="7" fillId="0" borderId="0" xfId="0" applyNumberFormat="1" applyFont="1" applyAlignment="1">
      <alignment horizontal="right" vertical="center"/>
    </xf>
    <xf numFmtId="0" fontId="7" fillId="6" borderId="0" xfId="0" applyFont="1" applyFill="1"/>
    <xf numFmtId="0" fontId="7" fillId="6" borderId="0" xfId="0" applyFont="1" applyFill="1" applyAlignment="1">
      <alignment horizontal="left" vertical="center" wrapText="1"/>
    </xf>
    <xf numFmtId="0" fontId="15" fillId="6" borderId="0" xfId="0" applyFont="1" applyFill="1"/>
    <xf numFmtId="173" fontId="5" fillId="6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/>
    <xf numFmtId="0" fontId="19" fillId="8" borderId="0" xfId="0" applyFont="1" applyFill="1"/>
    <xf numFmtId="173" fontId="20" fillId="8" borderId="0" xfId="0" applyNumberFormat="1" applyFont="1" applyFill="1" applyAlignment="1">
      <alignment horizontal="right"/>
    </xf>
    <xf numFmtId="0" fontId="21" fillId="8" borderId="0" xfId="0" applyFont="1" applyFill="1"/>
    <xf numFmtId="0" fontId="10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3" fontId="20" fillId="0" borderId="0" xfId="0" applyNumberFormat="1" applyFont="1" applyAlignment="1">
      <alignment horizontal="right"/>
    </xf>
    <xf numFmtId="173" fontId="19" fillId="0" borderId="0" xfId="0" applyNumberFormat="1" applyFont="1" applyAlignment="1">
      <alignment horizontal="right"/>
    </xf>
    <xf numFmtId="0" fontId="11" fillId="0" borderId="0" xfId="0" applyFont="1"/>
    <xf numFmtId="173" fontId="8" fillId="0" borderId="0" xfId="0" applyNumberFormat="1" applyFont="1" applyAlignment="1">
      <alignment horizontal="right" vertical="center"/>
    </xf>
    <xf numFmtId="173" fontId="26" fillId="0" borderId="0" xfId="0" applyNumberFormat="1" applyFont="1"/>
    <xf numFmtId="0" fontId="0" fillId="9" borderId="0" xfId="0" applyFill="1"/>
    <xf numFmtId="0" fontId="55" fillId="0" borderId="0" xfId="0" applyFont="1"/>
    <xf numFmtId="171" fontId="5" fillId="0" borderId="0" xfId="0" applyNumberFormat="1" applyFont="1"/>
    <xf numFmtId="171" fontId="4" fillId="0" borderId="0" xfId="0" applyNumberFormat="1" applyFont="1"/>
    <xf numFmtId="164" fontId="4" fillId="0" borderId="0" xfId="0" applyNumberFormat="1" applyFont="1"/>
    <xf numFmtId="0" fontId="60" fillId="0" borderId="0" xfId="0" applyFont="1"/>
    <xf numFmtId="2" fontId="27" fillId="0" borderId="0" xfId="0" applyNumberFormat="1" applyFont="1"/>
    <xf numFmtId="176" fontId="0" fillId="0" borderId="0" xfId="0" applyNumberFormat="1"/>
    <xf numFmtId="0" fontId="27" fillId="8" borderId="0" xfId="0" quotePrefix="1" applyFont="1" applyFill="1"/>
    <xf numFmtId="171" fontId="27" fillId="8" borderId="0" xfId="0" applyNumberFormat="1" applyFont="1" applyFill="1"/>
    <xf numFmtId="179" fontId="27" fillId="8" borderId="0" xfId="0" applyNumberFormat="1" applyFont="1" applyFill="1"/>
    <xf numFmtId="0" fontId="27" fillId="8" borderId="0" xfId="0" applyFont="1" applyFill="1"/>
    <xf numFmtId="171" fontId="8" fillId="0" borderId="0" xfId="0" applyNumberFormat="1" applyFont="1"/>
    <xf numFmtId="171" fontId="61" fillId="0" borderId="0" xfId="0" applyNumberFormat="1" applyFont="1"/>
    <xf numFmtId="169" fontId="0" fillId="0" borderId="0" xfId="0" applyNumberFormat="1"/>
    <xf numFmtId="0" fontId="38" fillId="0" borderId="0" xfId="0" applyFont="1"/>
    <xf numFmtId="0" fontId="0" fillId="0" borderId="16" xfId="0" applyBorder="1"/>
    <xf numFmtId="0" fontId="0" fillId="0" borderId="17" xfId="0" applyBorder="1"/>
    <xf numFmtId="0" fontId="0" fillId="0" borderId="24" xfId="0" applyBorder="1"/>
    <xf numFmtId="0" fontId="19" fillId="0" borderId="22" xfId="0" applyFont="1" applyBorder="1"/>
    <xf numFmtId="0" fontId="19" fillId="0" borderId="24" xfId="0" applyFont="1" applyBorder="1"/>
    <xf numFmtId="0" fontId="19" fillId="0" borderId="22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9" fillId="0" borderId="26" xfId="0" applyFont="1" applyBorder="1" applyAlignment="1">
      <alignment horizontal="left"/>
    </xf>
    <xf numFmtId="171" fontId="25" fillId="0" borderId="23" xfId="0" applyNumberFormat="1" applyFont="1" applyBorder="1" applyAlignment="1">
      <alignment horizontal="right"/>
    </xf>
    <xf numFmtId="171" fontId="20" fillId="0" borderId="25" xfId="0" applyNumberFormat="1" applyFont="1" applyBorder="1" applyAlignment="1">
      <alignment horizontal="right"/>
    </xf>
    <xf numFmtId="164" fontId="25" fillId="0" borderId="25" xfId="0" applyNumberFormat="1" applyFont="1" applyBorder="1" applyAlignment="1">
      <alignment horizontal="right"/>
    </xf>
    <xf numFmtId="171" fontId="19" fillId="0" borderId="25" xfId="0" applyNumberFormat="1" applyFont="1" applyBorder="1" applyAlignment="1">
      <alignment horizontal="right"/>
    </xf>
    <xf numFmtId="9" fontId="20" fillId="0" borderId="25" xfId="0" applyNumberFormat="1" applyFont="1" applyBorder="1" applyAlignment="1">
      <alignment horizontal="right"/>
    </xf>
    <xf numFmtId="171" fontId="20" fillId="0" borderId="27" xfId="0" applyNumberFormat="1" applyFont="1" applyBorder="1" applyAlignment="1">
      <alignment horizontal="right"/>
    </xf>
    <xf numFmtId="2" fontId="0" fillId="9" borderId="0" xfId="0" applyNumberFormat="1" applyFill="1"/>
    <xf numFmtId="0" fontId="19" fillId="9" borderId="0" xfId="0" applyFont="1" applyFill="1"/>
    <xf numFmtId="0" fontId="66" fillId="0" borderId="0" xfId="0" applyFont="1"/>
    <xf numFmtId="0" fontId="19" fillId="9" borderId="17" xfId="0" applyFont="1" applyFill="1" applyBorder="1"/>
    <xf numFmtId="0" fontId="19" fillId="0" borderId="17" xfId="0" applyFont="1" applyBorder="1"/>
    <xf numFmtId="0" fontId="65" fillId="18" borderId="28" xfId="0" applyFont="1" applyFill="1" applyBorder="1" applyAlignment="1">
      <alignment horizontal="left"/>
    </xf>
    <xf numFmtId="0" fontId="65" fillId="18" borderId="13" xfId="0" applyFont="1" applyFill="1" applyBorder="1" applyAlignment="1">
      <alignment horizontal="left"/>
    </xf>
    <xf numFmtId="0" fontId="65" fillId="18" borderId="13" xfId="0" applyFont="1" applyFill="1" applyBorder="1" applyAlignment="1">
      <alignment horizontal="center"/>
    </xf>
    <xf numFmtId="0" fontId="65" fillId="18" borderId="29" xfId="0" applyFont="1" applyFill="1" applyBorder="1" applyAlignment="1">
      <alignment horizontal="left"/>
    </xf>
    <xf numFmtId="0" fontId="19" fillId="9" borderId="30" xfId="0" applyFont="1" applyFill="1" applyBorder="1"/>
    <xf numFmtId="0" fontId="19" fillId="9" borderId="3" xfId="0" applyFont="1" applyFill="1" applyBorder="1"/>
    <xf numFmtId="0" fontId="66" fillId="9" borderId="3" xfId="0" applyFont="1" applyFill="1" applyBorder="1"/>
    <xf numFmtId="0" fontId="19" fillId="9" borderId="32" xfId="0" applyFont="1" applyFill="1" applyBorder="1"/>
    <xf numFmtId="0" fontId="19" fillId="9" borderId="33" xfId="0" applyFont="1" applyFill="1" applyBorder="1"/>
    <xf numFmtId="0" fontId="19" fillId="0" borderId="38" xfId="0" applyFont="1" applyBorder="1"/>
    <xf numFmtId="0" fontId="19" fillId="0" borderId="39" xfId="0" applyFont="1" applyBorder="1"/>
    <xf numFmtId="0" fontId="66" fillId="0" borderId="39" xfId="0" applyFont="1" applyBorder="1"/>
    <xf numFmtId="0" fontId="19" fillId="9" borderId="35" xfId="0" applyFont="1" applyFill="1" applyBorder="1"/>
    <xf numFmtId="0" fontId="19" fillId="9" borderId="36" xfId="0" applyFont="1" applyFill="1" applyBorder="1"/>
    <xf numFmtId="0" fontId="66" fillId="9" borderId="36" xfId="0" applyFont="1" applyFill="1" applyBorder="1"/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9" borderId="33" xfId="0" applyFont="1" applyFill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9" borderId="36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170" fontId="20" fillId="9" borderId="0" xfId="0" applyNumberFormat="1" applyFont="1" applyFill="1" applyAlignment="1">
      <alignment horizontal="right"/>
    </xf>
    <xf numFmtId="169" fontId="20" fillId="9" borderId="0" xfId="0" applyNumberFormat="1" applyFont="1" applyFill="1" applyAlignment="1">
      <alignment horizontal="right"/>
    </xf>
    <xf numFmtId="9" fontId="20" fillId="9" borderId="0" xfId="0" applyNumberFormat="1" applyFont="1" applyFill="1" applyAlignment="1">
      <alignment horizontal="right"/>
    </xf>
    <xf numFmtId="2" fontId="19" fillId="9" borderId="0" xfId="0" applyNumberFormat="1" applyFont="1" applyFill="1" applyAlignment="1">
      <alignment horizontal="right"/>
    </xf>
    <xf numFmtId="170" fontId="20" fillId="0" borderId="0" xfId="0" applyNumberFormat="1" applyFont="1" applyAlignment="1">
      <alignment horizontal="right"/>
    </xf>
    <xf numFmtId="169" fontId="20" fillId="0" borderId="0" xfId="0" applyNumberFormat="1" applyFont="1" applyAlignment="1">
      <alignment horizontal="right"/>
    </xf>
    <xf numFmtId="9" fontId="20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170" fontId="20" fillId="9" borderId="33" xfId="0" applyNumberFormat="1" applyFont="1" applyFill="1" applyBorder="1" applyAlignment="1">
      <alignment horizontal="right"/>
    </xf>
    <xf numFmtId="169" fontId="20" fillId="9" borderId="33" xfId="0" applyNumberFormat="1" applyFont="1" applyFill="1" applyBorder="1" applyAlignment="1">
      <alignment horizontal="right"/>
    </xf>
    <xf numFmtId="9" fontId="20" fillId="9" borderId="33" xfId="0" applyNumberFormat="1" applyFont="1" applyFill="1" applyBorder="1" applyAlignment="1">
      <alignment horizontal="right"/>
    </xf>
    <xf numFmtId="2" fontId="19" fillId="9" borderId="33" xfId="0" applyNumberFormat="1" applyFont="1" applyFill="1" applyBorder="1" applyAlignment="1">
      <alignment horizontal="right"/>
    </xf>
    <xf numFmtId="170" fontId="20" fillId="0" borderId="39" xfId="0" applyNumberFormat="1" applyFont="1" applyBorder="1" applyAlignment="1">
      <alignment horizontal="right"/>
    </xf>
    <xf numFmtId="169" fontId="20" fillId="0" borderId="39" xfId="0" applyNumberFormat="1" applyFont="1" applyBorder="1" applyAlignment="1">
      <alignment horizontal="right"/>
    </xf>
    <xf numFmtId="9" fontId="20" fillId="0" borderId="39" xfId="0" applyNumberFormat="1" applyFont="1" applyBorder="1" applyAlignment="1">
      <alignment horizontal="right"/>
    </xf>
    <xf numFmtId="2" fontId="19" fillId="0" borderId="39" xfId="0" applyNumberFormat="1" applyFont="1" applyBorder="1" applyAlignment="1">
      <alignment horizontal="right"/>
    </xf>
    <xf numFmtId="170" fontId="20" fillId="9" borderId="36" xfId="0" applyNumberFormat="1" applyFont="1" applyFill="1" applyBorder="1" applyAlignment="1">
      <alignment horizontal="right"/>
    </xf>
    <xf numFmtId="169" fontId="20" fillId="9" borderId="36" xfId="0" applyNumberFormat="1" applyFont="1" applyFill="1" applyBorder="1" applyAlignment="1">
      <alignment horizontal="right"/>
    </xf>
    <xf numFmtId="9" fontId="20" fillId="9" borderId="36" xfId="0" applyNumberFormat="1" applyFont="1" applyFill="1" applyBorder="1" applyAlignment="1">
      <alignment horizontal="right"/>
    </xf>
    <xf numFmtId="2" fontId="19" fillId="9" borderId="36" xfId="0" applyNumberFormat="1" applyFont="1" applyFill="1" applyBorder="1" applyAlignment="1">
      <alignment horizontal="right"/>
    </xf>
    <xf numFmtId="0" fontId="19" fillId="0" borderId="0" xfId="0" applyFont="1" applyAlignment="1">
      <alignment horizontal="right"/>
    </xf>
    <xf numFmtId="170" fontId="20" fillId="9" borderId="3" xfId="0" applyNumberFormat="1" applyFont="1" applyFill="1" applyBorder="1" applyAlignment="1">
      <alignment horizontal="right"/>
    </xf>
    <xf numFmtId="0" fontId="19" fillId="9" borderId="3" xfId="0" applyFont="1" applyFill="1" applyBorder="1" applyAlignment="1">
      <alignment horizontal="right"/>
    </xf>
    <xf numFmtId="0" fontId="63" fillId="9" borderId="20" xfId="0" applyFont="1" applyFill="1" applyBorder="1" applyAlignment="1">
      <alignment wrapText="1"/>
    </xf>
    <xf numFmtId="0" fontId="63" fillId="0" borderId="20" xfId="0" applyFont="1" applyBorder="1" applyAlignment="1">
      <alignment wrapText="1"/>
    </xf>
    <xf numFmtId="0" fontId="63" fillId="9" borderId="34" xfId="0" applyFont="1" applyFill="1" applyBorder="1" applyAlignment="1">
      <alignment wrapText="1"/>
    </xf>
    <xf numFmtId="0" fontId="63" fillId="0" borderId="40" xfId="0" applyFont="1" applyBorder="1" applyAlignment="1">
      <alignment wrapText="1"/>
    </xf>
    <xf numFmtId="0" fontId="63" fillId="9" borderId="37" xfId="0" applyFont="1" applyFill="1" applyBorder="1" applyAlignment="1">
      <alignment wrapText="1"/>
    </xf>
    <xf numFmtId="0" fontId="63" fillId="9" borderId="31" xfId="0" applyFont="1" applyFill="1" applyBorder="1" applyAlignment="1">
      <alignment wrapText="1"/>
    </xf>
    <xf numFmtId="0" fontId="27" fillId="19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7" fillId="0" borderId="0" xfId="0" applyFont="1" applyAlignment="1">
      <alignment horizontal="right"/>
    </xf>
    <xf numFmtId="0" fontId="23" fillId="19" borderId="0" xfId="0" applyFont="1" applyFill="1" applyAlignment="1">
      <alignment horizontal="center"/>
    </xf>
    <xf numFmtId="170" fontId="19" fillId="0" borderId="0" xfId="0" applyNumberFormat="1" applyFont="1" applyAlignment="1">
      <alignment horizontal="right"/>
    </xf>
    <xf numFmtId="169" fontId="19" fillId="0" borderId="0" xfId="0" applyNumberFormat="1" applyFont="1" applyAlignment="1">
      <alignment horizontal="right"/>
    </xf>
    <xf numFmtId="171" fontId="19" fillId="0" borderId="0" xfId="0" applyNumberFormat="1" applyFont="1" applyAlignment="1">
      <alignment horizontal="right"/>
    </xf>
    <xf numFmtId="0" fontId="19" fillId="0" borderId="15" xfId="0" applyFont="1" applyBorder="1"/>
    <xf numFmtId="0" fontId="23" fillId="0" borderId="17" xfId="0" applyFont="1" applyBorder="1"/>
    <xf numFmtId="0" fontId="23" fillId="19" borderId="20" xfId="0" applyFont="1" applyFill="1" applyBorder="1" applyAlignment="1">
      <alignment horizontal="center"/>
    </xf>
    <xf numFmtId="170" fontId="23" fillId="0" borderId="20" xfId="0" applyNumberFormat="1" applyFont="1" applyBorder="1" applyAlignment="1">
      <alignment horizontal="right"/>
    </xf>
    <xf numFmtId="169" fontId="23" fillId="0" borderId="20" xfId="0" applyNumberFormat="1" applyFont="1" applyBorder="1" applyAlignment="1">
      <alignment horizontal="right"/>
    </xf>
    <xf numFmtId="171" fontId="23" fillId="0" borderId="20" xfId="0" applyNumberFormat="1" applyFont="1" applyBorder="1" applyAlignment="1">
      <alignment horizontal="right"/>
    </xf>
    <xf numFmtId="0" fontId="19" fillId="0" borderId="30" xfId="0" applyFont="1" applyBorder="1"/>
    <xf numFmtId="171" fontId="19" fillId="0" borderId="3" xfId="0" applyNumberFormat="1" applyFont="1" applyBorder="1" applyAlignment="1">
      <alignment horizontal="right"/>
    </xf>
    <xf numFmtId="171" fontId="23" fillId="0" borderId="31" xfId="0" applyNumberFormat="1" applyFont="1" applyBorder="1" applyAlignment="1">
      <alignment horizontal="right"/>
    </xf>
    <xf numFmtId="0" fontId="23" fillId="0" borderId="38" xfId="0" applyFont="1" applyBorder="1"/>
    <xf numFmtId="0" fontId="19" fillId="0" borderId="39" xfId="0" applyFont="1" applyBorder="1" applyAlignment="1">
      <alignment horizontal="right"/>
    </xf>
    <xf numFmtId="0" fontId="23" fillId="0" borderId="40" xfId="0" applyFont="1" applyBorder="1" applyAlignment="1">
      <alignment horizontal="right"/>
    </xf>
    <xf numFmtId="0" fontId="19" fillId="0" borderId="44" xfId="0" applyFont="1" applyBorder="1"/>
    <xf numFmtId="171" fontId="23" fillId="0" borderId="45" xfId="0" applyNumberFormat="1" applyFont="1" applyBorder="1" applyAlignment="1">
      <alignment horizontal="right"/>
    </xf>
    <xf numFmtId="0" fontId="19" fillId="0" borderId="48" xfId="0" applyFont="1" applyBorder="1"/>
    <xf numFmtId="171" fontId="23" fillId="0" borderId="49" xfId="0" applyNumberFormat="1" applyFont="1" applyBorder="1" applyAlignment="1">
      <alignment horizontal="right"/>
    </xf>
    <xf numFmtId="0" fontId="23" fillId="8" borderId="50" xfId="0" applyFont="1" applyFill="1" applyBorder="1"/>
    <xf numFmtId="171" fontId="23" fillId="8" borderId="51" xfId="0" applyNumberFormat="1" applyFont="1" applyFill="1" applyBorder="1" applyAlignment="1">
      <alignment horizontal="right"/>
    </xf>
    <xf numFmtId="171" fontId="20" fillId="0" borderId="23" xfId="0" applyNumberFormat="1" applyFont="1" applyBorder="1" applyAlignment="1">
      <alignment horizontal="right"/>
    </xf>
    <xf numFmtId="170" fontId="19" fillId="0" borderId="25" xfId="0" applyNumberFormat="1" applyFont="1" applyBorder="1" applyAlignment="1">
      <alignment horizontal="right"/>
    </xf>
    <xf numFmtId="169" fontId="19" fillId="0" borderId="25" xfId="0" applyNumberFormat="1" applyFont="1" applyBorder="1" applyAlignment="1">
      <alignment horizontal="right"/>
    </xf>
    <xf numFmtId="0" fontId="19" fillId="9" borderId="26" xfId="0" applyFont="1" applyFill="1" applyBorder="1"/>
    <xf numFmtId="0" fontId="63" fillId="9" borderId="27" xfId="0" applyFont="1" applyFill="1" applyBorder="1" applyAlignment="1">
      <alignment wrapText="1"/>
    </xf>
    <xf numFmtId="0" fontId="23" fillId="19" borderId="44" xfId="0" applyFont="1" applyFill="1" applyBorder="1" applyAlignment="1">
      <alignment horizontal="left"/>
    </xf>
    <xf numFmtId="0" fontId="23" fillId="19" borderId="52" xfId="0" applyFont="1" applyFill="1" applyBorder="1" applyAlignment="1">
      <alignment horizontal="center"/>
    </xf>
    <xf numFmtId="0" fontId="23" fillId="19" borderId="45" xfId="0" applyFont="1" applyFill="1" applyBorder="1" applyAlignment="1">
      <alignment horizontal="center"/>
    </xf>
    <xf numFmtId="0" fontId="0" fillId="9" borderId="24" xfId="0" applyFill="1" applyBorder="1"/>
    <xf numFmtId="0" fontId="0" fillId="9" borderId="46" xfId="0" applyFill="1" applyBorder="1"/>
    <xf numFmtId="169" fontId="23" fillId="0" borderId="53" xfId="0" applyNumberFormat="1" applyFont="1" applyBorder="1" applyAlignment="1">
      <alignment horizontal="right"/>
    </xf>
    <xf numFmtId="170" fontId="19" fillId="0" borderId="53" xfId="0" applyNumberFormat="1" applyFont="1" applyBorder="1" applyAlignment="1">
      <alignment horizontal="right"/>
    </xf>
    <xf numFmtId="9" fontId="23" fillId="0" borderId="25" xfId="0" applyNumberFormat="1" applyFont="1" applyBorder="1" applyAlignment="1">
      <alignment horizontal="right"/>
    </xf>
    <xf numFmtId="0" fontId="19" fillId="9" borderId="24" xfId="0" applyFont="1" applyFill="1" applyBorder="1"/>
    <xf numFmtId="169" fontId="23" fillId="9" borderId="53" xfId="0" applyNumberFormat="1" applyFont="1" applyFill="1" applyBorder="1" applyAlignment="1">
      <alignment horizontal="right"/>
    </xf>
    <xf numFmtId="170" fontId="19" fillId="9" borderId="53" xfId="0" applyNumberFormat="1" applyFont="1" applyFill="1" applyBorder="1" applyAlignment="1">
      <alignment horizontal="right"/>
    </xf>
    <xf numFmtId="9" fontId="23" fillId="9" borderId="25" xfId="0" applyNumberFormat="1" applyFont="1" applyFill="1" applyBorder="1" applyAlignment="1">
      <alignment horizontal="right"/>
    </xf>
    <xf numFmtId="169" fontId="19" fillId="0" borderId="53" xfId="0" applyNumberFormat="1" applyFont="1" applyBorder="1" applyAlignment="1">
      <alignment horizontal="right"/>
    </xf>
    <xf numFmtId="0" fontId="19" fillId="9" borderId="46" xfId="0" applyFont="1" applyFill="1" applyBorder="1"/>
    <xf numFmtId="169" fontId="23" fillId="9" borderId="54" xfId="0" applyNumberFormat="1" applyFont="1" applyFill="1" applyBorder="1" applyAlignment="1">
      <alignment horizontal="right"/>
    </xf>
    <xf numFmtId="169" fontId="19" fillId="9" borderId="54" xfId="0" applyNumberFormat="1" applyFont="1" applyFill="1" applyBorder="1" applyAlignment="1">
      <alignment horizontal="right"/>
    </xf>
    <xf numFmtId="9" fontId="23" fillId="9" borderId="47" xfId="0" applyNumberFormat="1" applyFont="1" applyFill="1" applyBorder="1" applyAlignment="1">
      <alignment horizontal="right"/>
    </xf>
    <xf numFmtId="49" fontId="23" fillId="19" borderId="44" xfId="0" applyNumberFormat="1" applyFont="1" applyFill="1" applyBorder="1" applyAlignment="1">
      <alignment horizontal="left"/>
    </xf>
    <xf numFmtId="181" fontId="23" fillId="19" borderId="52" xfId="0" applyNumberFormat="1" applyFont="1" applyFill="1" applyBorder="1" applyAlignment="1">
      <alignment horizontal="center"/>
    </xf>
    <xf numFmtId="49" fontId="23" fillId="19" borderId="45" xfId="0" applyNumberFormat="1" applyFont="1" applyFill="1" applyBorder="1" applyAlignment="1">
      <alignment horizontal="center"/>
    </xf>
    <xf numFmtId="169" fontId="20" fillId="0" borderId="53" xfId="0" applyNumberFormat="1" applyFont="1" applyBorder="1" applyAlignment="1">
      <alignment horizontal="right"/>
    </xf>
    <xf numFmtId="9" fontId="19" fillId="0" borderId="25" xfId="0" applyNumberFormat="1" applyFont="1" applyBorder="1" applyAlignment="1">
      <alignment horizontal="right"/>
    </xf>
    <xf numFmtId="9" fontId="68" fillId="0" borderId="25" xfId="0" applyNumberFormat="1" applyFont="1" applyBorder="1" applyAlignment="1">
      <alignment horizontal="right"/>
    </xf>
    <xf numFmtId="169" fontId="20" fillId="9" borderId="53" xfId="0" applyNumberFormat="1" applyFont="1" applyFill="1" applyBorder="1" applyAlignment="1">
      <alignment horizontal="right"/>
    </xf>
    <xf numFmtId="9" fontId="19" fillId="9" borderId="25" xfId="0" applyNumberFormat="1" applyFont="1" applyFill="1" applyBorder="1" applyAlignment="1">
      <alignment horizontal="right"/>
    </xf>
    <xf numFmtId="169" fontId="20" fillId="9" borderId="54" xfId="0" applyNumberFormat="1" applyFont="1" applyFill="1" applyBorder="1" applyAlignment="1">
      <alignment horizontal="right"/>
    </xf>
    <xf numFmtId="9" fontId="68" fillId="9" borderId="47" xfId="0" applyNumberFormat="1" applyFont="1" applyFill="1" applyBorder="1" applyAlignment="1">
      <alignment horizontal="right"/>
    </xf>
    <xf numFmtId="0" fontId="23" fillId="19" borderId="0" xfId="0" applyFont="1" applyFill="1"/>
    <xf numFmtId="0" fontId="27" fillId="0" borderId="18" xfId="0" applyFont="1" applyBorder="1"/>
    <xf numFmtId="0" fontId="27" fillId="0" borderId="46" xfId="0" applyFont="1" applyBorder="1"/>
    <xf numFmtId="0" fontId="19" fillId="0" borderId="53" xfId="0" applyFont="1" applyBorder="1" applyAlignment="1">
      <alignment horizontal="right"/>
    </xf>
    <xf numFmtId="0" fontId="19" fillId="0" borderId="53" xfId="0" applyFont="1" applyBorder="1" applyAlignment="1">
      <alignment horizontal="center"/>
    </xf>
    <xf numFmtId="0" fontId="63" fillId="0" borderId="25" xfId="0" applyFont="1" applyBorder="1"/>
    <xf numFmtId="0" fontId="19" fillId="9" borderId="53" xfId="0" applyFont="1" applyFill="1" applyBorder="1" applyAlignment="1">
      <alignment horizontal="right"/>
    </xf>
    <xf numFmtId="0" fontId="19" fillId="9" borderId="53" xfId="0" applyFont="1" applyFill="1" applyBorder="1" applyAlignment="1">
      <alignment horizontal="center"/>
    </xf>
    <xf numFmtId="0" fontId="63" fillId="9" borderId="25" xfId="0" applyFont="1" applyFill="1" applyBorder="1"/>
    <xf numFmtId="0" fontId="0" fillId="9" borderId="48" xfId="0" applyFill="1" applyBorder="1"/>
    <xf numFmtId="0" fontId="19" fillId="9" borderId="55" xfId="0" applyFont="1" applyFill="1" applyBorder="1" applyAlignment="1">
      <alignment horizontal="right"/>
    </xf>
    <xf numFmtId="0" fontId="19" fillId="9" borderId="55" xfId="0" applyFont="1" applyFill="1" applyBorder="1" applyAlignment="1">
      <alignment horizontal="center"/>
    </xf>
    <xf numFmtId="0" fontId="63" fillId="9" borderId="49" xfId="0" applyFont="1" applyFill="1" applyBorder="1"/>
    <xf numFmtId="0" fontId="27" fillId="8" borderId="56" xfId="0" applyFont="1" applyFill="1" applyBorder="1"/>
    <xf numFmtId="0" fontId="23" fillId="8" borderId="57" xfId="0" applyFont="1" applyFill="1" applyBorder="1" applyAlignment="1">
      <alignment horizontal="right"/>
    </xf>
    <xf numFmtId="0" fontId="23" fillId="8" borderId="57" xfId="0" applyFont="1" applyFill="1" applyBorder="1" applyAlignment="1">
      <alignment horizontal="center"/>
    </xf>
    <xf numFmtId="0" fontId="70" fillId="8" borderId="58" xfId="0" applyFont="1" applyFill="1" applyBorder="1"/>
    <xf numFmtId="0" fontId="23" fillId="20" borderId="59" xfId="0" applyFont="1" applyFill="1" applyBorder="1"/>
    <xf numFmtId="0" fontId="19" fillId="20" borderId="19" xfId="0" applyFont="1" applyFill="1" applyBorder="1"/>
    <xf numFmtId="0" fontId="19" fillId="20" borderId="60" xfId="0" applyFont="1" applyFill="1" applyBorder="1"/>
    <xf numFmtId="0" fontId="19" fillId="20" borderId="61" xfId="0" applyFont="1" applyFill="1" applyBorder="1"/>
    <xf numFmtId="2" fontId="19" fillId="20" borderId="20" xfId="0" applyNumberFormat="1" applyFont="1" applyFill="1" applyBorder="1" applyAlignment="1">
      <alignment horizontal="right"/>
    </xf>
    <xf numFmtId="169" fontId="19" fillId="20" borderId="20" xfId="0" applyNumberFormat="1" applyFont="1" applyFill="1" applyBorder="1" applyAlignment="1">
      <alignment horizontal="right"/>
    </xf>
    <xf numFmtId="180" fontId="23" fillId="20" borderId="21" xfId="0" applyNumberFormat="1" applyFont="1" applyFill="1" applyBorder="1" applyAlignment="1">
      <alignment horizontal="right"/>
    </xf>
    <xf numFmtId="0" fontId="23" fillId="0" borderId="62" xfId="0" applyFont="1" applyBorder="1"/>
    <xf numFmtId="0" fontId="19" fillId="0" borderId="62" xfId="0" applyFont="1" applyBorder="1"/>
    <xf numFmtId="0" fontId="4" fillId="0" borderId="14" xfId="0" applyFont="1" applyBorder="1"/>
    <xf numFmtId="0" fontId="5" fillId="0" borderId="20" xfId="0" applyFont="1" applyBorder="1"/>
    <xf numFmtId="0" fontId="5" fillId="0" borderId="23" xfId="0" applyFont="1" applyBorder="1"/>
    <xf numFmtId="0" fontId="5" fillId="0" borderId="25" xfId="0" applyFont="1" applyBorder="1"/>
    <xf numFmtId="0" fontId="5" fillId="0" borderId="27" xfId="0" applyFont="1" applyBorder="1"/>
    <xf numFmtId="0" fontId="4" fillId="9" borderId="22" xfId="0" applyFont="1" applyFill="1" applyBorder="1"/>
    <xf numFmtId="0" fontId="4" fillId="9" borderId="24" xfId="0" applyFont="1" applyFill="1" applyBorder="1"/>
    <xf numFmtId="0" fontId="4" fillId="9" borderId="26" xfId="0" applyFont="1" applyFill="1" applyBorder="1"/>
    <xf numFmtId="0" fontId="7" fillId="9" borderId="0" xfId="0" applyFont="1" applyFill="1"/>
    <xf numFmtId="0" fontId="75" fillId="2" borderId="0" xfId="0" applyFont="1" applyFill="1"/>
    <xf numFmtId="0" fontId="41" fillId="8" borderId="0" xfId="0" applyFont="1" applyFill="1"/>
    <xf numFmtId="0" fontId="30" fillId="8" borderId="0" xfId="0" applyFont="1" applyFill="1"/>
    <xf numFmtId="0" fontId="27" fillId="0" borderId="16" xfId="0" applyFont="1" applyBorder="1"/>
    <xf numFmtId="0" fontId="27" fillId="0" borderId="44" xfId="0" applyFont="1" applyBorder="1"/>
    <xf numFmtId="0" fontId="27" fillId="0" borderId="24" xfId="0" quotePrefix="1" applyFont="1" applyBorder="1"/>
    <xf numFmtId="0" fontId="27" fillId="0" borderId="24" xfId="0" applyFont="1" applyBorder="1"/>
    <xf numFmtId="176" fontId="24" fillId="0" borderId="25" xfId="0" applyNumberFormat="1" applyFont="1" applyBorder="1" applyAlignment="1">
      <alignment horizontal="right"/>
    </xf>
    <xf numFmtId="0" fontId="0" fillId="0" borderId="25" xfId="0" applyBorder="1" applyAlignment="1">
      <alignment horizontal="right"/>
    </xf>
    <xf numFmtId="171" fontId="42" fillId="0" borderId="45" xfId="0" applyNumberFormat="1" applyFont="1" applyBorder="1" applyAlignment="1">
      <alignment horizontal="right"/>
    </xf>
    <xf numFmtId="171" fontId="24" fillId="0" borderId="25" xfId="0" applyNumberFormat="1" applyFont="1" applyBorder="1" applyAlignment="1">
      <alignment horizontal="right"/>
    </xf>
    <xf numFmtId="171" fontId="43" fillId="0" borderId="25" xfId="0" applyNumberFormat="1" applyFont="1" applyBorder="1" applyAlignment="1">
      <alignment horizontal="right"/>
    </xf>
    <xf numFmtId="171" fontId="42" fillId="0" borderId="47" xfId="0" applyNumberFormat="1" applyFont="1" applyBorder="1" applyAlignment="1">
      <alignment horizontal="right"/>
    </xf>
    <xf numFmtId="0" fontId="27" fillId="0" borderId="26" xfId="0" applyFont="1" applyBorder="1"/>
    <xf numFmtId="164" fontId="27" fillId="0" borderId="25" xfId="0" applyNumberFormat="1" applyFont="1" applyBorder="1" applyAlignment="1">
      <alignment horizontal="right"/>
    </xf>
    <xf numFmtId="164" fontId="27" fillId="0" borderId="27" xfId="0" applyNumberFormat="1" applyFont="1" applyBorder="1" applyAlignment="1">
      <alignment horizontal="right"/>
    </xf>
    <xf numFmtId="0" fontId="30" fillId="9" borderId="22" xfId="0" applyFont="1" applyFill="1" applyBorder="1"/>
    <xf numFmtId="171" fontId="77" fillId="9" borderId="23" xfId="0" applyNumberFormat="1" applyFont="1" applyFill="1" applyBorder="1" applyAlignment="1">
      <alignment horizontal="right"/>
    </xf>
    <xf numFmtId="176" fontId="24" fillId="0" borderId="20" xfId="0" applyNumberFormat="1" applyFont="1" applyBorder="1" applyAlignment="1">
      <alignment horizontal="right"/>
    </xf>
    <xf numFmtId="171" fontId="42" fillId="0" borderId="19" xfId="0" applyNumberFormat="1" applyFont="1" applyBorder="1" applyAlignment="1">
      <alignment horizontal="right"/>
    </xf>
    <xf numFmtId="164" fontId="27" fillId="0" borderId="21" xfId="0" applyNumberFormat="1" applyFont="1" applyBorder="1" applyAlignment="1">
      <alignment horizontal="right"/>
    </xf>
    <xf numFmtId="0" fontId="28" fillId="0" borderId="17" xfId="0" applyFont="1" applyBorder="1"/>
    <xf numFmtId="0" fontId="51" fillId="0" borderId="18" xfId="0" applyFont="1" applyBorder="1" applyAlignment="1">
      <alignment wrapText="1"/>
    </xf>
    <xf numFmtId="1" fontId="45" fillId="0" borderId="19" xfId="0" applyNumberFormat="1" applyFont="1" applyBorder="1" applyAlignment="1">
      <alignment horizontal="right"/>
    </xf>
    <xf numFmtId="1" fontId="37" fillId="0" borderId="20" xfId="0" applyNumberFormat="1" applyFont="1" applyBorder="1" applyAlignment="1">
      <alignment horizontal="right"/>
    </xf>
    <xf numFmtId="1" fontId="39" fillId="0" borderId="20" xfId="0" applyNumberFormat="1" applyFont="1" applyBorder="1" applyAlignment="1">
      <alignment horizontal="right"/>
    </xf>
    <xf numFmtId="0" fontId="27" fillId="0" borderId="21" xfId="0" applyFont="1" applyBorder="1" applyAlignment="1">
      <alignment horizontal="right"/>
    </xf>
    <xf numFmtId="0" fontId="0" fillId="0" borderId="0" xfId="0" applyAlignment="1">
      <alignment wrapText="1"/>
    </xf>
    <xf numFmtId="0" fontId="22" fillId="9" borderId="0" xfId="0" applyFont="1" applyFill="1"/>
    <xf numFmtId="173" fontId="19" fillId="9" borderId="0" xfId="0" applyNumberFormat="1" applyFont="1" applyFill="1"/>
    <xf numFmtId="0" fontId="55" fillId="9" borderId="0" xfId="0" applyFont="1" applyFill="1"/>
    <xf numFmtId="173" fontId="19" fillId="0" borderId="0" xfId="0" applyNumberFormat="1" applyFont="1"/>
    <xf numFmtId="0" fontId="23" fillId="9" borderId="0" xfId="0" applyFont="1" applyFill="1"/>
    <xf numFmtId="173" fontId="23" fillId="9" borderId="0" xfId="0" applyNumberFormat="1" applyFont="1" applyFill="1"/>
    <xf numFmtId="178" fontId="19" fillId="9" borderId="0" xfId="0" applyNumberFormat="1" applyFont="1" applyFill="1"/>
    <xf numFmtId="178" fontId="23" fillId="9" borderId="0" xfId="0" applyNumberFormat="1" applyFont="1" applyFill="1"/>
    <xf numFmtId="178" fontId="22" fillId="0" borderId="0" xfId="0" applyNumberFormat="1" applyFont="1"/>
    <xf numFmtId="9" fontId="20" fillId="9" borderId="0" xfId="0" applyNumberFormat="1" applyFont="1" applyFill="1" applyAlignment="1">
      <alignment horizontal="center"/>
    </xf>
    <xf numFmtId="173" fontId="23" fillId="0" borderId="0" xfId="0" applyNumberFormat="1" applyFont="1"/>
    <xf numFmtId="178" fontId="19" fillId="0" borderId="0" xfId="0" applyNumberFormat="1" applyFont="1"/>
    <xf numFmtId="178" fontId="23" fillId="0" borderId="0" xfId="0" applyNumberFormat="1" applyFont="1"/>
    <xf numFmtId="0" fontId="23" fillId="9" borderId="17" xfId="0" applyFont="1" applyFill="1" applyBorder="1"/>
    <xf numFmtId="0" fontId="65" fillId="18" borderId="41" xfId="0" applyFont="1" applyFill="1" applyBorder="1" applyAlignment="1">
      <alignment horizontal="left"/>
    </xf>
    <xf numFmtId="0" fontId="65" fillId="18" borderId="42" xfId="0" applyFont="1" applyFill="1" applyBorder="1" applyAlignment="1">
      <alignment horizontal="left"/>
    </xf>
    <xf numFmtId="0" fontId="65" fillId="18" borderId="42" xfId="0" applyFont="1" applyFill="1" applyBorder="1" applyAlignment="1">
      <alignment horizontal="center"/>
    </xf>
    <xf numFmtId="0" fontId="65" fillId="18" borderId="43" xfId="0" applyFont="1" applyFill="1" applyBorder="1" applyAlignment="1">
      <alignment horizontal="left"/>
    </xf>
    <xf numFmtId="0" fontId="23" fillId="9" borderId="30" xfId="0" applyFont="1" applyFill="1" applyBorder="1"/>
    <xf numFmtId="0" fontId="22" fillId="9" borderId="3" xfId="0" applyFont="1" applyFill="1" applyBorder="1"/>
    <xf numFmtId="178" fontId="19" fillId="9" borderId="3" xfId="0" applyNumberFormat="1" applyFont="1" applyFill="1" applyBorder="1"/>
    <xf numFmtId="178" fontId="23" fillId="9" borderId="3" xfId="0" applyNumberFormat="1" applyFont="1" applyFill="1" applyBorder="1"/>
    <xf numFmtId="179" fontId="19" fillId="9" borderId="0" xfId="0" applyNumberFormat="1" applyFont="1" applyFill="1"/>
    <xf numFmtId="179" fontId="23" fillId="9" borderId="0" xfId="0" applyNumberFormat="1" applyFont="1" applyFill="1"/>
    <xf numFmtId="179" fontId="22" fillId="0" borderId="0" xfId="0" applyNumberFormat="1" applyFont="1"/>
    <xf numFmtId="179" fontId="19" fillId="0" borderId="0" xfId="0" applyNumberFormat="1" applyFont="1"/>
    <xf numFmtId="179" fontId="55" fillId="9" borderId="0" xfId="0" applyNumberFormat="1" applyFont="1" applyFill="1" applyAlignment="1">
      <alignment horizontal="right"/>
    </xf>
    <xf numFmtId="179" fontId="23" fillId="0" borderId="0" xfId="0" applyNumberFormat="1" applyFont="1"/>
    <xf numFmtId="179" fontId="19" fillId="9" borderId="3" xfId="0" applyNumberFormat="1" applyFont="1" applyFill="1" applyBorder="1"/>
    <xf numFmtId="179" fontId="23" fillId="9" borderId="3" xfId="0" applyNumberFormat="1" applyFont="1" applyFill="1" applyBorder="1"/>
    <xf numFmtId="9" fontId="19" fillId="0" borderId="0" xfId="0" applyNumberFormat="1" applyFont="1"/>
    <xf numFmtId="9" fontId="19" fillId="9" borderId="0" xfId="0" applyNumberFormat="1" applyFont="1" applyFill="1"/>
    <xf numFmtId="9" fontId="20" fillId="0" borderId="0" xfId="0" applyNumberFormat="1" applyFont="1" applyAlignment="1">
      <alignment horizontal="center"/>
    </xf>
    <xf numFmtId="9" fontId="20" fillId="9" borderId="3" xfId="0" applyNumberFormat="1" applyFont="1" applyFill="1" applyBorder="1" applyAlignment="1">
      <alignment horizontal="center"/>
    </xf>
    <xf numFmtId="179" fontId="23" fillId="9" borderId="0" xfId="0" applyNumberFormat="1" applyFont="1" applyFill="1" applyAlignment="1">
      <alignment horizontal="center"/>
    </xf>
    <xf numFmtId="179" fontId="23" fillId="0" borderId="0" xfId="0" applyNumberFormat="1" applyFont="1" applyAlignment="1">
      <alignment horizontal="center"/>
    </xf>
    <xf numFmtId="179" fontId="23" fillId="9" borderId="3" xfId="0" applyNumberFormat="1" applyFont="1" applyFill="1" applyBorder="1" applyAlignment="1">
      <alignment horizontal="center"/>
    </xf>
    <xf numFmtId="0" fontId="18" fillId="9" borderId="20" xfId="0" applyFont="1" applyFill="1" applyBorder="1" applyAlignment="1">
      <alignment wrapText="1"/>
    </xf>
    <xf numFmtId="0" fontId="18" fillId="0" borderId="20" xfId="0" applyFont="1" applyBorder="1" applyAlignment="1">
      <alignment wrapText="1"/>
    </xf>
    <xf numFmtId="0" fontId="35" fillId="9" borderId="20" xfId="0" applyFont="1" applyFill="1" applyBorder="1" applyAlignment="1">
      <alignment wrapText="1"/>
    </xf>
    <xf numFmtId="0" fontId="18" fillId="9" borderId="31" xfId="0" applyFont="1" applyFill="1" applyBorder="1" applyAlignment="1">
      <alignment wrapText="1"/>
    </xf>
    <xf numFmtId="0" fontId="78" fillId="0" borderId="17" xfId="0" applyFont="1" applyBorder="1"/>
    <xf numFmtId="0" fontId="79" fillId="9" borderId="17" xfId="0" applyFont="1" applyFill="1" applyBorder="1"/>
    <xf numFmtId="0" fontId="0" fillId="0" borderId="14" xfId="0" applyBorder="1"/>
    <xf numFmtId="0" fontId="30" fillId="0" borderId="63" xfId="0" applyFont="1" applyBorder="1"/>
    <xf numFmtId="0" fontId="27" fillId="0" borderId="63" xfId="0" applyFont="1" applyBorder="1"/>
    <xf numFmtId="9" fontId="27" fillId="0" borderId="63" xfId="0" applyNumberFormat="1" applyFont="1" applyBorder="1" applyAlignment="1">
      <alignment horizontal="center"/>
    </xf>
    <xf numFmtId="0" fontId="0" fillId="0" borderId="63" xfId="0" applyBorder="1"/>
    <xf numFmtId="0" fontId="0" fillId="0" borderId="63" xfId="0" applyBorder="1" applyAlignment="1">
      <alignment wrapText="1"/>
    </xf>
    <xf numFmtId="0" fontId="29" fillId="8" borderId="13" xfId="0" applyFont="1" applyFill="1" applyBorder="1"/>
    <xf numFmtId="178" fontId="29" fillId="8" borderId="13" xfId="0" applyNumberFormat="1" applyFont="1" applyFill="1" applyBorder="1"/>
    <xf numFmtId="178" fontId="30" fillId="8" borderId="0" xfId="0" applyNumberFormat="1" applyFont="1" applyFill="1"/>
    <xf numFmtId="0" fontId="29" fillId="8" borderId="28" xfId="0" applyFont="1" applyFill="1" applyBorder="1"/>
    <xf numFmtId="0" fontId="30" fillId="8" borderId="17" xfId="0" applyFont="1" applyFill="1" applyBorder="1"/>
    <xf numFmtId="0" fontId="53" fillId="8" borderId="29" xfId="0" quotePrefix="1" applyFont="1" applyFill="1" applyBorder="1" applyAlignment="1">
      <alignment wrapText="1"/>
    </xf>
    <xf numFmtId="0" fontId="27" fillId="8" borderId="20" xfId="0" applyFont="1" applyFill="1" applyBorder="1" applyAlignment="1">
      <alignment wrapText="1"/>
    </xf>
    <xf numFmtId="0" fontId="27" fillId="8" borderId="30" xfId="0" applyFont="1" applyFill="1" applyBorder="1"/>
    <xf numFmtId="0" fontId="27" fillId="8" borderId="3" xfId="0" applyFont="1" applyFill="1" applyBorder="1"/>
    <xf numFmtId="0" fontId="51" fillId="8" borderId="31" xfId="0" applyFont="1" applyFill="1" applyBorder="1" applyAlignment="1">
      <alignment wrapText="1"/>
    </xf>
    <xf numFmtId="179" fontId="29" fillId="8" borderId="13" xfId="0" applyNumberFormat="1" applyFont="1" applyFill="1" applyBorder="1"/>
    <xf numFmtId="179" fontId="30" fillId="8" borderId="0" xfId="0" applyNumberFormat="1" applyFont="1" applyFill="1"/>
    <xf numFmtId="164" fontId="27" fillId="8" borderId="3" xfId="0" applyNumberFormat="1" applyFont="1" applyFill="1" applyBorder="1"/>
    <xf numFmtId="0" fontId="26" fillId="0" borderId="14" xfId="0" applyFont="1" applyBorder="1"/>
    <xf numFmtId="179" fontId="0" fillId="0" borderId="14" xfId="0" applyNumberFormat="1" applyBorder="1"/>
    <xf numFmtId="178" fontId="0" fillId="0" borderId="14" xfId="0" applyNumberFormat="1" applyBorder="1"/>
    <xf numFmtId="0" fontId="26" fillId="0" borderId="0" xfId="0" applyFont="1"/>
    <xf numFmtId="179" fontId="0" fillId="0" borderId="0" xfId="0" applyNumberFormat="1"/>
    <xf numFmtId="178" fontId="0" fillId="0" borderId="0" xfId="0" applyNumberFormat="1"/>
    <xf numFmtId="0" fontId="0" fillId="0" borderId="15" xfId="0" applyBorder="1"/>
    <xf numFmtId="179" fontId="27" fillId="0" borderId="15" xfId="0" applyNumberFormat="1" applyFont="1" applyBorder="1"/>
    <xf numFmtId="178" fontId="27" fillId="0" borderId="15" xfId="0" applyNumberFormat="1" applyFont="1" applyBorder="1"/>
    <xf numFmtId="0" fontId="26" fillId="0" borderId="16" xfId="0" applyFont="1" applyBorder="1"/>
    <xf numFmtId="0" fontId="26" fillId="0" borderId="17" xfId="0" applyFont="1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173" fontId="69" fillId="0" borderId="0" xfId="0" applyNumberFormat="1" applyFont="1"/>
    <xf numFmtId="0" fontId="81" fillId="0" borderId="0" xfId="0" applyFont="1"/>
    <xf numFmtId="0" fontId="80" fillId="12" borderId="0" xfId="0" applyFont="1" applyFill="1"/>
    <xf numFmtId="0" fontId="80" fillId="12" borderId="0" xfId="0" applyFont="1" applyFill="1" applyAlignment="1">
      <alignment horizontal="center"/>
    </xf>
    <xf numFmtId="173" fontId="81" fillId="0" borderId="0" xfId="0" applyNumberFormat="1" applyFont="1"/>
    <xf numFmtId="173" fontId="64" fillId="0" borderId="0" xfId="0" applyNumberFormat="1" applyFont="1"/>
    <xf numFmtId="0" fontId="13" fillId="18" borderId="1" xfId="0" applyFont="1" applyFill="1" applyBorder="1" applyAlignment="1">
      <alignment horizontal="center" vertical="center" wrapText="1"/>
    </xf>
    <xf numFmtId="164" fontId="31" fillId="0" borderId="0" xfId="0" applyNumberFormat="1" applyFont="1"/>
    <xf numFmtId="0" fontId="33" fillId="0" borderId="0" xfId="0" applyFont="1"/>
    <xf numFmtId="0" fontId="4" fillId="9" borderId="0" xfId="0" applyFont="1" applyFill="1"/>
    <xf numFmtId="0" fontId="33" fillId="9" borderId="0" xfId="0" applyFont="1" applyFill="1"/>
    <xf numFmtId="171" fontId="8" fillId="9" borderId="0" xfId="0" applyNumberFormat="1" applyFont="1" applyFill="1"/>
    <xf numFmtId="0" fontId="31" fillId="9" borderId="0" xfId="0" applyFont="1" applyFill="1"/>
    <xf numFmtId="49" fontId="33" fillId="9" borderId="0" xfId="0" applyNumberFormat="1" applyFont="1" applyFill="1" applyAlignment="1">
      <alignment horizontal="right"/>
    </xf>
    <xf numFmtId="175" fontId="31" fillId="9" borderId="0" xfId="0" applyNumberFormat="1" applyFont="1" applyFill="1"/>
    <xf numFmtId="164" fontId="36" fillId="0" borderId="0" xfId="0" applyNumberFormat="1" applyFont="1"/>
    <xf numFmtId="171" fontId="34" fillId="0" borderId="0" xfId="0" applyNumberFormat="1" applyFont="1"/>
    <xf numFmtId="0" fontId="86" fillId="0" borderId="0" xfId="0" applyFont="1"/>
    <xf numFmtId="3" fontId="4" fillId="0" borderId="0" xfId="0" applyNumberFormat="1" applyFont="1"/>
    <xf numFmtId="3" fontId="34" fillId="0" borderId="0" xfId="0" applyNumberFormat="1" applyFont="1"/>
    <xf numFmtId="3" fontId="8" fillId="9" borderId="0" xfId="0" applyNumberFormat="1" applyFont="1" applyFill="1"/>
    <xf numFmtId="169" fontId="8" fillId="9" borderId="0" xfId="0" applyNumberFormat="1" applyFont="1" applyFill="1"/>
    <xf numFmtId="166" fontId="8" fillId="9" borderId="0" xfId="0" applyNumberFormat="1" applyFont="1" applyFill="1"/>
    <xf numFmtId="171" fontId="4" fillId="9" borderId="0" xfId="0" applyNumberFormat="1" applyFont="1" applyFill="1"/>
    <xf numFmtId="3" fontId="7" fillId="9" borderId="0" xfId="0" applyNumberFormat="1" applyFont="1" applyFill="1"/>
    <xf numFmtId="0" fontId="4" fillId="8" borderId="0" xfId="0" applyFont="1" applyFill="1"/>
    <xf numFmtId="171" fontId="4" fillId="8" borderId="0" xfId="0" applyNumberFormat="1" applyFont="1" applyFill="1"/>
    <xf numFmtId="0" fontId="0" fillId="8" borderId="0" xfId="0" applyFill="1"/>
    <xf numFmtId="0" fontId="87" fillId="8" borderId="0" xfId="0" applyFont="1" applyFill="1"/>
    <xf numFmtId="3" fontId="4" fillId="8" borderId="0" xfId="0" applyNumberFormat="1" applyFont="1" applyFill="1"/>
    <xf numFmtId="171" fontId="7" fillId="0" borderId="0" xfId="0" applyNumberFormat="1" applyFont="1"/>
    <xf numFmtId="0" fontId="7" fillId="0" borderId="13" xfId="0" applyFont="1" applyBorder="1"/>
    <xf numFmtId="0" fontId="12" fillId="0" borderId="13" xfId="0" applyFont="1" applyBorder="1"/>
    <xf numFmtId="171" fontId="7" fillId="0" borderId="13" xfId="0" applyNumberFormat="1" applyFont="1" applyBorder="1"/>
    <xf numFmtId="3" fontId="7" fillId="0" borderId="13" xfId="0" applyNumberFormat="1" applyFont="1" applyBorder="1"/>
    <xf numFmtId="0" fontId="4" fillId="8" borderId="3" xfId="0" applyFont="1" applyFill="1" applyBorder="1"/>
    <xf numFmtId="0" fontId="87" fillId="8" borderId="3" xfId="0" applyFont="1" applyFill="1" applyBorder="1"/>
    <xf numFmtId="171" fontId="4" fillId="8" borderId="3" xfId="0" applyNumberFormat="1" applyFont="1" applyFill="1" applyBorder="1"/>
    <xf numFmtId="3" fontId="4" fillId="8" borderId="3" xfId="0" applyNumberFormat="1" applyFont="1" applyFill="1" applyBorder="1"/>
    <xf numFmtId="171" fontId="8" fillId="0" borderId="13" xfId="0" applyNumberFormat="1" applyFont="1" applyBorder="1"/>
    <xf numFmtId="176" fontId="4" fillId="8" borderId="3" xfId="0" applyNumberFormat="1" applyFont="1" applyFill="1" applyBorder="1"/>
    <xf numFmtId="168" fontId="4" fillId="8" borderId="3" xfId="0" applyNumberFormat="1" applyFont="1" applyFill="1" applyBorder="1"/>
    <xf numFmtId="0" fontId="87" fillId="0" borderId="0" xfId="0" applyFont="1"/>
    <xf numFmtId="0" fontId="89" fillId="0" borderId="0" xfId="0" applyFont="1"/>
    <xf numFmtId="171" fontId="89" fillId="0" borderId="0" xfId="0" applyNumberFormat="1" applyFont="1"/>
    <xf numFmtId="3" fontId="89" fillId="0" borderId="0" xfId="0" applyNumberFormat="1" applyFont="1"/>
    <xf numFmtId="164" fontId="23" fillId="0" borderId="0" xfId="0" applyNumberFormat="1" applyFont="1"/>
    <xf numFmtId="0" fontId="90" fillId="0" borderId="0" xfId="0" applyFont="1"/>
    <xf numFmtId="0" fontId="64" fillId="0" borderId="0" xfId="0" applyFont="1"/>
    <xf numFmtId="0" fontId="64" fillId="9" borderId="0" xfId="0" applyFont="1" applyFill="1"/>
    <xf numFmtId="0" fontId="91" fillId="9" borderId="0" xfId="0" applyFont="1" applyFill="1"/>
    <xf numFmtId="0" fontId="64" fillId="0" borderId="0" xfId="0" quotePrefix="1" applyFont="1"/>
    <xf numFmtId="0" fontId="64" fillId="0" borderId="13" xfId="0" applyFont="1" applyBorder="1"/>
    <xf numFmtId="0" fontId="82" fillId="8" borderId="3" xfId="0" applyFont="1" applyFill="1" applyBorder="1"/>
    <xf numFmtId="0" fontId="91" fillId="0" borderId="0" xfId="0" applyFont="1"/>
    <xf numFmtId="0" fontId="82" fillId="8" borderId="0" xfId="0" applyFont="1" applyFill="1"/>
    <xf numFmtId="164" fontId="0" fillId="0" borderId="0" xfId="0" applyNumberFormat="1"/>
    <xf numFmtId="10" fontId="0" fillId="0" borderId="0" xfId="0" applyNumberFormat="1"/>
    <xf numFmtId="175" fontId="0" fillId="0" borderId="0" xfId="0" applyNumberFormat="1"/>
    <xf numFmtId="171" fontId="0" fillId="9" borderId="0" xfId="0" applyNumberFormat="1" applyFill="1"/>
    <xf numFmtId="1" fontId="0" fillId="9" borderId="0" xfId="0" applyNumberFormat="1" applyFill="1"/>
    <xf numFmtId="164" fontId="0" fillId="9" borderId="0" xfId="0" applyNumberFormat="1" applyFill="1"/>
    <xf numFmtId="0" fontId="66" fillId="0" borderId="62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5" xfId="0" applyNumberFormat="1" applyBorder="1" applyAlignment="1">
      <alignment horizontal="center"/>
    </xf>
    <xf numFmtId="10" fontId="23" fillId="12" borderId="8" xfId="0" applyNumberFormat="1" applyFont="1" applyFill="1" applyBorder="1" applyAlignment="1">
      <alignment horizontal="center"/>
    </xf>
    <xf numFmtId="179" fontId="19" fillId="0" borderId="4" xfId="0" applyNumberFormat="1" applyFont="1" applyBorder="1" applyAlignment="1">
      <alignment horizontal="center"/>
    </xf>
    <xf numFmtId="179" fontId="19" fillId="0" borderId="6" xfId="0" applyNumberFormat="1" applyFont="1" applyBorder="1" applyAlignment="1">
      <alignment horizontal="center"/>
    </xf>
    <xf numFmtId="179" fontId="23" fillId="8" borderId="4" xfId="0" applyNumberFormat="1" applyFont="1" applyFill="1" applyBorder="1" applyAlignment="1">
      <alignment horizontal="center"/>
    </xf>
    <xf numFmtId="10" fontId="23" fillId="12" borderId="9" xfId="0" applyNumberFormat="1" applyFont="1" applyFill="1" applyBorder="1" applyAlignment="1">
      <alignment horizontal="center"/>
    </xf>
    <xf numFmtId="179" fontId="19" fillId="0" borderId="5" xfId="0" applyNumberFormat="1" applyFont="1" applyBorder="1" applyAlignment="1">
      <alignment horizontal="center"/>
    </xf>
    <xf numFmtId="179" fontId="19" fillId="0" borderId="7" xfId="0" applyNumberFormat="1" applyFont="1" applyBorder="1" applyAlignment="1">
      <alignment horizontal="center"/>
    </xf>
    <xf numFmtId="2" fontId="23" fillId="12" borderId="8" xfId="0" applyNumberFormat="1" applyFont="1" applyFill="1" applyBorder="1" applyAlignment="1">
      <alignment horizontal="center"/>
    </xf>
    <xf numFmtId="10" fontId="19" fillId="0" borderId="4" xfId="0" applyNumberFormat="1" applyFont="1" applyBorder="1" applyAlignment="1">
      <alignment horizontal="center"/>
    </xf>
    <xf numFmtId="10" fontId="19" fillId="0" borderId="6" xfId="0" applyNumberFormat="1" applyFont="1" applyBorder="1" applyAlignment="1">
      <alignment horizontal="center"/>
    </xf>
    <xf numFmtId="10" fontId="23" fillId="11" borderId="4" xfId="0" applyNumberFormat="1" applyFont="1" applyFill="1" applyBorder="1" applyAlignment="1">
      <alignment horizontal="center"/>
    </xf>
    <xf numFmtId="2" fontId="23" fillId="12" borderId="9" xfId="0" applyNumberFormat="1" applyFont="1" applyFill="1" applyBorder="1" applyAlignment="1">
      <alignment horizontal="center"/>
    </xf>
    <xf numFmtId="10" fontId="19" fillId="0" borderId="5" xfId="0" applyNumberFormat="1" applyFont="1" applyBorder="1" applyAlignment="1">
      <alignment horizontal="center"/>
    </xf>
    <xf numFmtId="10" fontId="19" fillId="0" borderId="7" xfId="0" applyNumberFormat="1" applyFont="1" applyBorder="1" applyAlignment="1">
      <alignment horizontal="center"/>
    </xf>
    <xf numFmtId="0" fontId="27" fillId="19" borderId="10" xfId="0" applyFont="1" applyFill="1" applyBorder="1"/>
    <xf numFmtId="0" fontId="27" fillId="19" borderId="11" xfId="0" applyFont="1" applyFill="1" applyBorder="1" applyAlignment="1">
      <alignment horizontal="center"/>
    </xf>
    <xf numFmtId="0" fontId="27" fillId="19" borderId="12" xfId="0" applyFont="1" applyFill="1" applyBorder="1" applyAlignment="1">
      <alignment horizontal="center"/>
    </xf>
    <xf numFmtId="179" fontId="27" fillId="0" borderId="4" xfId="0" applyNumberFormat="1" applyFont="1" applyBorder="1" applyAlignment="1">
      <alignment horizontal="center"/>
    </xf>
    <xf numFmtId="179" fontId="27" fillId="0" borderId="5" xfId="0" applyNumberFormat="1" applyFont="1" applyBorder="1" applyAlignment="1">
      <alignment horizontal="center"/>
    </xf>
    <xf numFmtId="0" fontId="4" fillId="19" borderId="0" xfId="0" applyFont="1" applyFill="1" applyAlignment="1">
      <alignment horizontal="center" vertical="center"/>
    </xf>
    <xf numFmtId="0" fontId="82" fillId="0" borderId="0" xfId="0" applyFont="1"/>
    <xf numFmtId="0" fontId="11" fillId="0" borderId="0" xfId="0" applyFont="1" applyAlignment="1">
      <alignment horizontal="left" vertical="center" wrapText="1"/>
    </xf>
    <xf numFmtId="1" fontId="13" fillId="18" borderId="1" xfId="0" applyNumberFormat="1" applyFont="1" applyFill="1" applyBorder="1" applyAlignment="1">
      <alignment horizontal="center" vertical="center"/>
    </xf>
    <xf numFmtId="0" fontId="65" fillId="18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 vertical="center"/>
    </xf>
    <xf numFmtId="0" fontId="10" fillId="19" borderId="0" xfId="0" applyFont="1" applyFill="1" applyAlignment="1">
      <alignment horizontal="center" vertical="center"/>
    </xf>
    <xf numFmtId="182" fontId="8" fillId="0" borderId="0" xfId="0" applyNumberFormat="1" applyFont="1" applyAlignment="1">
      <alignment horizontal="right" vertical="center"/>
    </xf>
    <xf numFmtId="182" fontId="7" fillId="0" borderId="0" xfId="0" applyNumberFormat="1" applyFont="1" applyAlignment="1">
      <alignment horizontal="right" vertical="center"/>
    </xf>
    <xf numFmtId="182" fontId="19" fillId="0" borderId="0" xfId="0" applyNumberFormat="1" applyFont="1" applyAlignment="1">
      <alignment horizontal="right"/>
    </xf>
    <xf numFmtId="0" fontId="4" fillId="0" borderId="14" xfId="0" applyFont="1" applyBorder="1" applyAlignment="1">
      <alignment horizontal="left" vertical="center" wrapText="1"/>
    </xf>
    <xf numFmtId="182" fontId="23" fillId="8" borderId="14" xfId="0" applyNumberFormat="1" applyFont="1" applyFill="1" applyBorder="1" applyAlignment="1">
      <alignment horizontal="right"/>
    </xf>
    <xf numFmtId="0" fontId="4" fillId="8" borderId="14" xfId="0" applyFont="1" applyFill="1" applyBorder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182" fontId="7" fillId="9" borderId="0" xfId="0" applyNumberFormat="1" applyFont="1" applyFill="1" applyAlignment="1">
      <alignment horizontal="right" vertical="center"/>
    </xf>
    <xf numFmtId="182" fontId="8" fillId="9" borderId="0" xfId="0" applyNumberFormat="1" applyFont="1" applyFill="1" applyAlignment="1">
      <alignment horizontal="right" vertical="center"/>
    </xf>
    <xf numFmtId="172" fontId="8" fillId="9" borderId="0" xfId="0" applyNumberFormat="1" applyFont="1" applyFill="1" applyAlignment="1">
      <alignment horizontal="right" vertical="center"/>
    </xf>
    <xf numFmtId="172" fontId="7" fillId="9" borderId="0" xfId="0" applyNumberFormat="1" applyFont="1" applyFill="1" applyAlignment="1">
      <alignment horizontal="right" vertical="center"/>
    </xf>
    <xf numFmtId="0" fontId="92" fillId="9" borderId="0" xfId="0" applyFont="1" applyFill="1" applyAlignment="1">
      <alignment horizontal="left" vertical="center" wrapText="1"/>
    </xf>
    <xf numFmtId="0" fontId="92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9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78" fillId="8" borderId="14" xfId="0" applyFont="1" applyFill="1" applyBorder="1" applyAlignment="1">
      <alignment horizontal="center"/>
    </xf>
    <xf numFmtId="0" fontId="56" fillId="9" borderId="0" xfId="0" applyFont="1" applyFill="1" applyAlignment="1">
      <alignment horizontal="left" vertical="center" wrapText="1"/>
    </xf>
    <xf numFmtId="0" fontId="95" fillId="0" borderId="28" xfId="0" applyFont="1" applyBorder="1"/>
    <xf numFmtId="0" fontId="19" fillId="0" borderId="13" xfId="0" applyFont="1" applyBorder="1"/>
    <xf numFmtId="173" fontId="19" fillId="0" borderId="13" xfId="0" applyNumberFormat="1" applyFont="1" applyBorder="1"/>
    <xf numFmtId="173" fontId="96" fillId="0" borderId="13" xfId="0" applyNumberFormat="1" applyFont="1" applyBorder="1"/>
    <xf numFmtId="173" fontId="96" fillId="0" borderId="29" xfId="0" applyNumberFormat="1" applyFont="1" applyBorder="1"/>
    <xf numFmtId="0" fontId="95" fillId="0" borderId="17" xfId="0" applyFont="1" applyBorder="1"/>
    <xf numFmtId="172" fontId="19" fillId="0" borderId="0" xfId="0" applyNumberFormat="1" applyFont="1"/>
    <xf numFmtId="172" fontId="25" fillId="0" borderId="0" xfId="0" applyNumberFormat="1" applyFont="1"/>
    <xf numFmtId="172" fontId="96" fillId="0" borderId="0" xfId="0" applyNumberFormat="1" applyFont="1"/>
    <xf numFmtId="172" fontId="96" fillId="0" borderId="20" xfId="0" applyNumberFormat="1" applyFont="1" applyBorder="1"/>
    <xf numFmtId="0" fontId="23" fillId="8" borderId="3" xfId="0" applyFont="1" applyFill="1" applyBorder="1"/>
    <xf numFmtId="173" fontId="97" fillId="8" borderId="3" xfId="0" applyNumberFormat="1" applyFont="1" applyFill="1" applyBorder="1"/>
    <xf numFmtId="173" fontId="48" fillId="8" borderId="3" xfId="0" applyNumberFormat="1" applyFont="1" applyFill="1" applyBorder="1"/>
    <xf numFmtId="173" fontId="48" fillId="8" borderId="31" xfId="0" applyNumberFormat="1" applyFont="1" applyFill="1" applyBorder="1"/>
    <xf numFmtId="173" fontId="96" fillId="0" borderId="0" xfId="0" applyNumberFormat="1" applyFont="1"/>
    <xf numFmtId="0" fontId="67" fillId="0" borderId="62" xfId="0" applyFont="1" applyBorder="1" applyAlignment="1">
      <alignment wrapText="1"/>
    </xf>
    <xf numFmtId="0" fontId="67" fillId="0" borderId="0" xfId="0" applyFont="1" applyAlignment="1">
      <alignment wrapText="1"/>
    </xf>
    <xf numFmtId="0" fontId="23" fillId="9" borderId="62" xfId="0" applyFont="1" applyFill="1" applyBorder="1"/>
    <xf numFmtId="0" fontId="95" fillId="0" borderId="62" xfId="0" applyFont="1" applyBorder="1"/>
    <xf numFmtId="173" fontId="20" fillId="0" borderId="0" xfId="0" applyNumberFormat="1" applyFont="1"/>
    <xf numFmtId="173" fontId="22" fillId="0" borderId="0" xfId="0" applyNumberFormat="1" applyFont="1"/>
    <xf numFmtId="167" fontId="25" fillId="0" borderId="0" xfId="0" applyNumberFormat="1" applyFont="1"/>
    <xf numFmtId="167" fontId="96" fillId="0" borderId="0" xfId="0" applyNumberFormat="1" applyFont="1"/>
    <xf numFmtId="2" fontId="20" fillId="0" borderId="0" xfId="0" applyNumberFormat="1" applyFont="1"/>
    <xf numFmtId="0" fontId="98" fillId="0" borderId="62" xfId="0" applyFont="1" applyBorder="1"/>
    <xf numFmtId="173" fontId="97" fillId="0" borderId="0" xfId="0" applyNumberFormat="1" applyFont="1"/>
    <xf numFmtId="173" fontId="48" fillId="0" borderId="0" xfId="0" applyNumberFormat="1" applyFont="1"/>
    <xf numFmtId="0" fontId="23" fillId="0" borderId="64" xfId="0" applyFont="1" applyBorder="1"/>
    <xf numFmtId="0" fontId="19" fillId="0" borderId="14" xfId="0" applyFont="1" applyBorder="1"/>
    <xf numFmtId="173" fontId="23" fillId="0" borderId="14" xfId="0" applyNumberFormat="1" applyFont="1" applyBorder="1"/>
    <xf numFmtId="0" fontId="98" fillId="9" borderId="62" xfId="0" applyFont="1" applyFill="1" applyBorder="1"/>
    <xf numFmtId="173" fontId="25" fillId="0" borderId="0" xfId="0" applyNumberFormat="1" applyFont="1"/>
    <xf numFmtId="172" fontId="20" fillId="0" borderId="0" xfId="0" applyNumberFormat="1" applyFont="1"/>
    <xf numFmtId="183" fontId="97" fillId="0" borderId="0" xfId="0" applyNumberFormat="1" applyFont="1"/>
    <xf numFmtId="173" fontId="78" fillId="0" borderId="0" xfId="0" applyNumberFormat="1" applyFont="1"/>
    <xf numFmtId="183" fontId="20" fillId="0" borderId="0" xfId="0" applyNumberFormat="1" applyFont="1"/>
    <xf numFmtId="0" fontId="48" fillId="9" borderId="0" xfId="0" applyFont="1" applyFill="1"/>
    <xf numFmtId="164" fontId="48" fillId="9" borderId="0" xfId="0" applyNumberFormat="1" applyFont="1" applyFill="1"/>
    <xf numFmtId="0" fontId="78" fillId="9" borderId="0" xfId="0" applyFont="1" applyFill="1"/>
    <xf numFmtId="0" fontId="99" fillId="0" borderId="62" xfId="0" applyFont="1" applyBorder="1"/>
    <xf numFmtId="173" fontId="90" fillId="0" borderId="0" xfId="0" applyNumberFormat="1" applyFont="1"/>
    <xf numFmtId="0" fontId="78" fillId="0" borderId="0" xfId="0" applyFont="1"/>
    <xf numFmtId="0" fontId="95" fillId="0" borderId="16" xfId="0" applyFont="1" applyBorder="1"/>
    <xf numFmtId="173" fontId="19" fillId="0" borderId="14" xfId="0" applyNumberFormat="1" applyFont="1" applyBorder="1"/>
    <xf numFmtId="0" fontId="19" fillId="0" borderId="19" xfId="0" applyFont="1" applyBorder="1"/>
    <xf numFmtId="0" fontId="19" fillId="0" borderId="20" xfId="0" applyFont="1" applyBorder="1"/>
    <xf numFmtId="184" fontId="23" fillId="0" borderId="0" xfId="0" applyNumberFormat="1" applyFont="1"/>
    <xf numFmtId="0" fontId="23" fillId="8" borderId="18" xfId="0" applyFont="1" applyFill="1" applyBorder="1"/>
    <xf numFmtId="0" fontId="23" fillId="8" borderId="15" xfId="0" applyFont="1" applyFill="1" applyBorder="1"/>
    <xf numFmtId="0" fontId="19" fillId="0" borderId="21" xfId="0" applyFont="1" applyBorder="1"/>
    <xf numFmtId="0" fontId="4" fillId="8" borderId="65" xfId="0" applyFont="1" applyFill="1" applyBorder="1" applyAlignment="1">
      <alignment horizontal="left" vertical="center" wrapText="1"/>
    </xf>
    <xf numFmtId="173" fontId="4" fillId="8" borderId="65" xfId="0" applyNumberFormat="1" applyFont="1" applyFill="1" applyBorder="1" applyAlignment="1">
      <alignment horizontal="right" vertical="center"/>
    </xf>
    <xf numFmtId="173" fontId="92" fillId="6" borderId="0" xfId="0" applyNumberFormat="1" applyFont="1" applyFill="1" applyAlignment="1">
      <alignment horizontal="right" vertical="center"/>
    </xf>
    <xf numFmtId="186" fontId="7" fillId="0" borderId="0" xfId="0" applyNumberFormat="1" applyFont="1" applyAlignment="1">
      <alignment horizontal="right" vertical="center"/>
    </xf>
    <xf numFmtId="186" fontId="7" fillId="6" borderId="0" xfId="0" applyNumberFormat="1" applyFont="1" applyFill="1" applyAlignment="1">
      <alignment horizontal="right" vertical="center"/>
    </xf>
    <xf numFmtId="185" fontId="7" fillId="9" borderId="0" xfId="0" applyNumberFormat="1" applyFont="1" applyFill="1" applyAlignment="1">
      <alignment horizontal="right" vertical="center"/>
    </xf>
    <xf numFmtId="0" fontId="94" fillId="8" borderId="65" xfId="0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27" fillId="9" borderId="0" xfId="0" applyFont="1" applyFill="1"/>
    <xf numFmtId="0" fontId="4" fillId="19" borderId="0" xfId="0" applyFont="1" applyFill="1"/>
    <xf numFmtId="173" fontId="61" fillId="19" borderId="0" xfId="0" applyNumberFormat="1" applyFont="1" applyFill="1"/>
    <xf numFmtId="0" fontId="92" fillId="0" borderId="0" xfId="0" applyFont="1"/>
    <xf numFmtId="172" fontId="92" fillId="0" borderId="0" xfId="0" applyNumberFormat="1" applyFont="1"/>
    <xf numFmtId="173" fontId="91" fillId="0" borderId="0" xfId="0" applyNumberFormat="1" applyFont="1"/>
    <xf numFmtId="0" fontId="94" fillId="0" borderId="14" xfId="0" applyFont="1" applyBorder="1"/>
    <xf numFmtId="173" fontId="4" fillId="0" borderId="14" xfId="0" applyNumberFormat="1" applyFont="1" applyBorder="1"/>
    <xf numFmtId="173" fontId="94" fillId="0" borderId="14" xfId="0" applyNumberFormat="1" applyFont="1" applyBorder="1"/>
    <xf numFmtId="0" fontId="4" fillId="19" borderId="13" xfId="0" applyFont="1" applyFill="1" applyBorder="1"/>
    <xf numFmtId="173" fontId="4" fillId="19" borderId="13" xfId="0" applyNumberFormat="1" applyFont="1" applyFill="1" applyBorder="1"/>
    <xf numFmtId="0" fontId="100" fillId="0" borderId="0" xfId="0" applyFont="1"/>
    <xf numFmtId="172" fontId="100" fillId="0" borderId="0" xfId="0" applyNumberFormat="1" applyFont="1"/>
    <xf numFmtId="0" fontId="4" fillId="8" borderId="13" xfId="0" applyFont="1" applyFill="1" applyBorder="1"/>
    <xf numFmtId="173" fontId="4" fillId="8" borderId="13" xfId="0" applyNumberFormat="1" applyFont="1" applyFill="1" applyBorder="1"/>
    <xf numFmtId="174" fontId="4" fillId="0" borderId="0" xfId="0" applyNumberFormat="1" applyFont="1"/>
    <xf numFmtId="0" fontId="4" fillId="8" borderId="66" xfId="0" applyFont="1" applyFill="1" applyBorder="1"/>
    <xf numFmtId="173" fontId="4" fillId="8" borderId="66" xfId="0" applyNumberFormat="1" applyFont="1" applyFill="1" applyBorder="1"/>
    <xf numFmtId="0" fontId="69" fillId="0" borderId="0" xfId="0" applyFont="1"/>
    <xf numFmtId="173" fontId="101" fillId="0" borderId="0" xfId="0" applyNumberFormat="1" applyFont="1"/>
    <xf numFmtId="0" fontId="23" fillId="0" borderId="14" xfId="0" applyFont="1" applyBorder="1"/>
    <xf numFmtId="0" fontId="79" fillId="0" borderId="14" xfId="0" applyFont="1" applyBorder="1"/>
    <xf numFmtId="0" fontId="86" fillId="19" borderId="0" xfId="0" applyFont="1" applyFill="1"/>
    <xf numFmtId="0" fontId="86" fillId="0" borderId="14" xfId="0" applyFont="1" applyBorder="1"/>
    <xf numFmtId="0" fontId="86" fillId="19" borderId="13" xfId="0" applyFont="1" applyFill="1" applyBorder="1"/>
    <xf numFmtId="0" fontId="86" fillId="8" borderId="13" xfId="0" applyFont="1" applyFill="1" applyBorder="1"/>
    <xf numFmtId="0" fontId="86" fillId="8" borderId="66" xfId="0" applyFont="1" applyFill="1" applyBorder="1"/>
    <xf numFmtId="0" fontId="91" fillId="0" borderId="0" xfId="0" quotePrefix="1" applyFont="1"/>
    <xf numFmtId="173" fontId="96" fillId="0" borderId="0" xfId="0" applyNumberFormat="1" applyFont="1" applyAlignment="1">
      <alignment horizontal="right"/>
    </xf>
    <xf numFmtId="173" fontId="96" fillId="9" borderId="0" xfId="0" applyNumberFormat="1" applyFont="1" applyFill="1" applyAlignment="1">
      <alignment horizontal="right"/>
    </xf>
    <xf numFmtId="0" fontId="96" fillId="0" borderId="0" xfId="0" applyFont="1"/>
    <xf numFmtId="173" fontId="7" fillId="9" borderId="0" xfId="0" applyNumberFormat="1" applyFont="1" applyFill="1" applyAlignment="1">
      <alignment horizontal="right" vertical="center" wrapText="1"/>
    </xf>
    <xf numFmtId="173" fontId="7" fillId="0" borderId="0" xfId="0" applyNumberFormat="1" applyFont="1" applyAlignment="1">
      <alignment horizontal="right" vertical="center" wrapText="1"/>
    </xf>
    <xf numFmtId="0" fontId="4" fillId="19" borderId="13" xfId="0" applyFont="1" applyFill="1" applyBorder="1" applyAlignment="1">
      <alignment horizontal="left" vertical="center" wrapText="1"/>
    </xf>
    <xf numFmtId="0" fontId="94" fillId="19" borderId="13" xfId="0" applyFont="1" applyFill="1" applyBorder="1" applyAlignment="1">
      <alignment horizontal="center" vertical="center"/>
    </xf>
    <xf numFmtId="173" fontId="23" fillId="19" borderId="13" xfId="0" applyNumberFormat="1" applyFont="1" applyFill="1" applyBorder="1"/>
    <xf numFmtId="173" fontId="48" fillId="19" borderId="13" xfId="0" applyNumberFormat="1" applyFont="1" applyFill="1" applyBorder="1" applyAlignment="1">
      <alignment horizontal="right"/>
    </xf>
    <xf numFmtId="0" fontId="4" fillId="8" borderId="66" xfId="0" applyFont="1" applyFill="1" applyBorder="1" applyAlignment="1">
      <alignment horizontal="left" vertical="center" wrapText="1"/>
    </xf>
    <xf numFmtId="0" fontId="94" fillId="8" borderId="66" xfId="0" applyFont="1" applyFill="1" applyBorder="1" applyAlignment="1">
      <alignment horizontal="center" vertical="center"/>
    </xf>
    <xf numFmtId="0" fontId="23" fillId="8" borderId="66" xfId="0" applyFont="1" applyFill="1" applyBorder="1"/>
    <xf numFmtId="173" fontId="23" fillId="8" borderId="66" xfId="0" applyNumberFormat="1" applyFont="1" applyFill="1" applyBorder="1"/>
    <xf numFmtId="173" fontId="4" fillId="8" borderId="66" xfId="0" applyNumberFormat="1" applyFont="1" applyFill="1" applyBorder="1" applyAlignment="1">
      <alignment horizontal="right" vertical="center" wrapText="1"/>
    </xf>
    <xf numFmtId="0" fontId="88" fillId="0" borderId="0" xfId="0" applyFont="1" applyAlignment="1">
      <alignment horizontal="left" vertical="center" wrapText="1"/>
    </xf>
    <xf numFmtId="0" fontId="91" fillId="0" borderId="0" xfId="0" applyFont="1" applyAlignment="1">
      <alignment horizontal="center" vertical="center"/>
    </xf>
    <xf numFmtId="164" fontId="66" fillId="0" borderId="0" xfId="0" applyNumberFormat="1" applyFont="1"/>
    <xf numFmtId="164" fontId="88" fillId="0" borderId="0" xfId="0" applyNumberFormat="1" applyFont="1" applyAlignment="1">
      <alignment horizontal="right" vertical="center" wrapText="1"/>
    </xf>
    <xf numFmtId="0" fontId="52" fillId="0" borderId="0" xfId="0" applyFont="1" applyAlignment="1">
      <alignment horizontal="left" vertical="center" wrapText="1"/>
    </xf>
    <xf numFmtId="0" fontId="94" fillId="0" borderId="0" xfId="0" applyFont="1" applyAlignment="1">
      <alignment horizontal="center" vertical="center"/>
    </xf>
    <xf numFmtId="167" fontId="90" fillId="0" borderId="0" xfId="0" applyNumberFormat="1" applyFont="1"/>
    <xf numFmtId="167" fontId="52" fillId="0" borderId="0" xfId="0" applyNumberFormat="1" applyFont="1" applyAlignment="1">
      <alignment horizontal="right" vertical="center" wrapText="1"/>
    </xf>
    <xf numFmtId="0" fontId="91" fillId="0" borderId="0" xfId="0" quotePrefix="1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1" fontId="65" fillId="18" borderId="1" xfId="0" applyNumberFormat="1" applyFont="1" applyFill="1" applyBorder="1" applyAlignment="1">
      <alignment horizontal="center"/>
    </xf>
    <xf numFmtId="1" fontId="20" fillId="0" borderId="0" xfId="0" applyNumberFormat="1" applyFont="1" applyAlignment="1">
      <alignment horizontal="right"/>
    </xf>
    <xf numFmtId="1" fontId="20" fillId="9" borderId="0" xfId="0" applyNumberFormat="1" applyFont="1" applyFill="1" applyAlignment="1">
      <alignment horizontal="right"/>
    </xf>
    <xf numFmtId="164" fontId="20" fillId="9" borderId="0" xfId="0" applyNumberFormat="1" applyFont="1" applyFill="1" applyAlignment="1">
      <alignment horizontal="right"/>
    </xf>
    <xf numFmtId="171" fontId="20" fillId="9" borderId="0" xfId="0" applyNumberFormat="1" applyFont="1" applyFill="1" applyAlignment="1">
      <alignment horizontal="right"/>
    </xf>
    <xf numFmtId="173" fontId="20" fillId="9" borderId="0" xfId="0" applyNumberFormat="1" applyFont="1" applyFill="1"/>
    <xf numFmtId="0" fontId="23" fillId="19" borderId="13" xfId="0" applyFont="1" applyFill="1" applyBorder="1"/>
    <xf numFmtId="0" fontId="79" fillId="19" borderId="13" xfId="0" applyFont="1" applyFill="1" applyBorder="1"/>
    <xf numFmtId="0" fontId="79" fillId="8" borderId="66" xfId="0" applyFont="1" applyFill="1" applyBorder="1"/>
    <xf numFmtId="173" fontId="82" fillId="0" borderId="0" xfId="0" applyNumberFormat="1" applyFont="1"/>
    <xf numFmtId="0" fontId="4" fillId="8" borderId="0" xfId="0" applyFont="1" applyFill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/>
    </xf>
    <xf numFmtId="0" fontId="59" fillId="0" borderId="0" xfId="0" applyFont="1"/>
    <xf numFmtId="0" fontId="59" fillId="6" borderId="0" xfId="0" applyFont="1" applyFill="1"/>
    <xf numFmtId="0" fontId="54" fillId="0" borderId="0" xfId="0" applyFont="1"/>
    <xf numFmtId="0" fontId="54" fillId="8" borderId="0" xfId="0" applyFont="1" applyFill="1"/>
    <xf numFmtId="164" fontId="20" fillId="0" borderId="0" xfId="0" applyNumberFormat="1" applyFont="1"/>
    <xf numFmtId="164" fontId="20" fillId="11" borderId="0" xfId="0" applyNumberFormat="1" applyFont="1" applyFill="1"/>
    <xf numFmtId="167" fontId="20" fillId="0" borderId="0" xfId="0" applyNumberFormat="1" applyFont="1"/>
    <xf numFmtId="171" fontId="23" fillId="22" borderId="0" xfId="0" applyNumberFormat="1" applyFont="1" applyFill="1" applyAlignment="1">
      <alignment horizontal="right"/>
    </xf>
    <xf numFmtId="164" fontId="23" fillId="22" borderId="0" xfId="0" applyNumberFormat="1" applyFont="1" applyFill="1"/>
    <xf numFmtId="0" fontId="27" fillId="22" borderId="0" xfId="0" applyFont="1" applyFill="1"/>
    <xf numFmtId="2" fontId="4" fillId="22" borderId="0" xfId="0" applyNumberFormat="1" applyFont="1" applyFill="1" applyAlignment="1">
      <alignment horizontal="right" vertical="center"/>
    </xf>
    <xf numFmtId="173" fontId="4" fillId="22" borderId="0" xfId="0" applyNumberFormat="1" applyFont="1" applyFill="1" applyAlignment="1">
      <alignment horizontal="right" vertical="center"/>
    </xf>
    <xf numFmtId="164" fontId="4" fillId="22" borderId="0" xfId="0" applyNumberFormat="1" applyFont="1" applyFill="1" applyAlignment="1">
      <alignment horizontal="right" vertical="center"/>
    </xf>
    <xf numFmtId="0" fontId="23" fillId="22" borderId="0" xfId="0" applyFont="1" applyFill="1"/>
    <xf numFmtId="3" fontId="4" fillId="22" borderId="0" xfId="0" applyNumberFormat="1" applyFont="1" applyFill="1" applyAlignment="1">
      <alignment horizontal="right" vertical="center"/>
    </xf>
    <xf numFmtId="168" fontId="4" fillId="22" borderId="0" xfId="0" applyNumberFormat="1" applyFont="1" applyFill="1" applyAlignment="1">
      <alignment horizontal="right" vertical="center"/>
    </xf>
    <xf numFmtId="0" fontId="4" fillId="22" borderId="0" xfId="0" applyFont="1" applyFill="1" applyAlignment="1">
      <alignment horizontal="center" vertical="center"/>
    </xf>
    <xf numFmtId="164" fontId="23" fillId="22" borderId="0" xfId="0" applyNumberFormat="1" applyFont="1" applyFill="1" applyAlignment="1">
      <alignment horizontal="right"/>
    </xf>
    <xf numFmtId="10" fontId="4" fillId="22" borderId="0" xfId="0" applyNumberFormat="1" applyFont="1" applyFill="1" applyAlignment="1">
      <alignment horizontal="right" vertical="center"/>
    </xf>
    <xf numFmtId="169" fontId="4" fillId="22" borderId="0" xfId="0" applyNumberFormat="1" applyFont="1" applyFill="1" applyAlignment="1">
      <alignment horizontal="right" vertical="center"/>
    </xf>
    <xf numFmtId="1" fontId="4" fillId="22" borderId="0" xfId="0" applyNumberFormat="1" applyFont="1" applyFill="1" applyAlignment="1">
      <alignment horizontal="right" vertical="center"/>
    </xf>
    <xf numFmtId="173" fontId="23" fillId="22" borderId="0" xfId="0" applyNumberFormat="1" applyFont="1" applyFill="1" applyAlignment="1">
      <alignment horizontal="right"/>
    </xf>
    <xf numFmtId="1" fontId="23" fillId="22" borderId="0" xfId="0" applyNumberFormat="1" applyFont="1" applyFill="1" applyAlignment="1">
      <alignment horizontal="right"/>
    </xf>
    <xf numFmtId="172" fontId="23" fillId="22" borderId="0" xfId="0" applyNumberFormat="1" applyFont="1" applyFill="1"/>
    <xf numFmtId="173" fontId="23" fillId="22" borderId="0" xfId="0" applyNumberFormat="1" applyFont="1" applyFill="1"/>
    <xf numFmtId="167" fontId="23" fillId="22" borderId="0" xfId="0" applyNumberFormat="1" applyFont="1" applyFill="1"/>
    <xf numFmtId="0" fontId="91" fillId="6" borderId="0" xfId="0" applyFont="1" applyFill="1" applyAlignment="1">
      <alignment horizontal="left" vertical="center" wrapText="1"/>
    </xf>
    <xf numFmtId="0" fontId="64" fillId="8" borderId="0" xfId="0" applyFont="1" applyFill="1"/>
    <xf numFmtId="173" fontId="5" fillId="5" borderId="0" xfId="0" applyNumberFormat="1" applyFont="1" applyFill="1" applyAlignment="1">
      <alignment horizontal="right" vertical="center"/>
    </xf>
    <xf numFmtId="0" fontId="20" fillId="0" borderId="0" xfId="0" applyFont="1"/>
    <xf numFmtId="10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2" fontId="5" fillId="9" borderId="0" xfId="0" applyNumberFormat="1" applyFont="1" applyFill="1" applyAlignment="1">
      <alignment horizontal="right" vertical="center"/>
    </xf>
    <xf numFmtId="0" fontId="59" fillId="9" borderId="0" xfId="0" applyFont="1" applyFill="1"/>
    <xf numFmtId="0" fontId="91" fillId="9" borderId="0" xfId="0" applyFont="1" applyFill="1" applyAlignment="1">
      <alignment horizontal="left" vertical="center" wrapText="1"/>
    </xf>
    <xf numFmtId="173" fontId="5" fillId="9" borderId="0" xfId="0" applyNumberFormat="1" applyFont="1" applyFill="1" applyAlignment="1">
      <alignment horizontal="right" vertical="center"/>
    </xf>
    <xf numFmtId="164" fontId="5" fillId="9" borderId="0" xfId="0" applyNumberFormat="1" applyFont="1" applyFill="1" applyAlignment="1">
      <alignment horizontal="right" vertical="center"/>
    </xf>
    <xf numFmtId="0" fontId="15" fillId="9" borderId="0" xfId="0" applyFont="1" applyFill="1"/>
    <xf numFmtId="0" fontId="13" fillId="18" borderId="1" xfId="0" applyFont="1" applyFill="1" applyBorder="1" applyAlignment="1">
      <alignment horizontal="left" vertical="center" wrapText="1"/>
    </xf>
    <xf numFmtId="0" fontId="5" fillId="9" borderId="0" xfId="0" applyFont="1" applyFill="1"/>
    <xf numFmtId="0" fontId="13" fillId="18" borderId="67" xfId="0" applyFont="1" applyFill="1" applyBorder="1" applyAlignment="1">
      <alignment horizontal="center" vertical="center" wrapText="1"/>
    </xf>
    <xf numFmtId="179" fontId="5" fillId="0" borderId="0" xfId="0" applyNumberFormat="1" applyFont="1"/>
    <xf numFmtId="178" fontId="5" fillId="0" borderId="0" xfId="0" applyNumberFormat="1" applyFont="1"/>
    <xf numFmtId="164" fontId="5" fillId="0" borderId="0" xfId="0" applyNumberFormat="1" applyFont="1"/>
    <xf numFmtId="171" fontId="5" fillId="9" borderId="0" xfId="0" applyNumberFormat="1" applyFont="1" applyFill="1"/>
    <xf numFmtId="179" fontId="5" fillId="9" borderId="0" xfId="0" applyNumberFormat="1" applyFont="1" applyFill="1"/>
    <xf numFmtId="178" fontId="5" fillId="9" borderId="0" xfId="0" applyNumberFormat="1" applyFont="1" applyFill="1"/>
    <xf numFmtId="164" fontId="5" fillId="9" borderId="0" xfId="0" applyNumberFormat="1" applyFont="1" applyFill="1"/>
    <xf numFmtId="0" fontId="13" fillId="18" borderId="68" xfId="0" applyFont="1" applyFill="1" applyBorder="1" applyAlignment="1">
      <alignment horizontal="left" vertical="center" wrapText="1"/>
    </xf>
    <xf numFmtId="0" fontId="5" fillId="0" borderId="17" xfId="0" applyFont="1" applyBorder="1"/>
    <xf numFmtId="0" fontId="5" fillId="9" borderId="17" xfId="0" applyFont="1" applyFill="1" applyBorder="1"/>
    <xf numFmtId="0" fontId="13" fillId="18" borderId="69" xfId="0" applyFont="1" applyFill="1" applyBorder="1" applyAlignment="1">
      <alignment horizontal="left" vertical="center" wrapText="1"/>
    </xf>
    <xf numFmtId="0" fontId="5" fillId="9" borderId="20" xfId="0" applyFont="1" applyFill="1" applyBorder="1"/>
    <xf numFmtId="0" fontId="5" fillId="0" borderId="30" xfId="0" applyFont="1" applyBorder="1"/>
    <xf numFmtId="0" fontId="5" fillId="0" borderId="3" xfId="0" applyFont="1" applyBorder="1"/>
    <xf numFmtId="171" fontId="5" fillId="0" borderId="3" xfId="0" applyNumberFormat="1" applyFont="1" applyBorder="1"/>
    <xf numFmtId="179" fontId="5" fillId="0" borderId="3" xfId="0" applyNumberFormat="1" applyFont="1" applyBorder="1"/>
    <xf numFmtId="178" fontId="5" fillId="0" borderId="3" xfId="0" applyNumberFormat="1" applyFont="1" applyBorder="1"/>
    <xf numFmtId="164" fontId="5" fillId="0" borderId="3" xfId="0" applyNumberFormat="1" applyFont="1" applyBorder="1"/>
    <xf numFmtId="0" fontId="5" fillId="0" borderId="31" xfId="0" applyFont="1" applyBorder="1"/>
    <xf numFmtId="0" fontId="27" fillId="8" borderId="66" xfId="0" applyFont="1" applyFill="1" applyBorder="1"/>
    <xf numFmtId="171" fontId="4" fillId="8" borderId="66" xfId="0" applyNumberFormat="1" applyFont="1" applyFill="1" applyBorder="1"/>
    <xf numFmtId="0" fontId="4" fillId="19" borderId="1" xfId="0" applyFont="1" applyFill="1" applyBorder="1" applyAlignment="1">
      <alignment horizontal="center" vertical="center" wrapText="1"/>
    </xf>
    <xf numFmtId="0" fontId="104" fillId="0" borderId="0" xfId="0" applyFont="1"/>
    <xf numFmtId="0" fontId="105" fillId="0" borderId="0" xfId="0" applyFont="1"/>
    <xf numFmtId="3" fontId="104" fillId="0" borderId="0" xfId="0" applyNumberFormat="1" applyFont="1"/>
    <xf numFmtId="0" fontId="13" fillId="18" borderId="14" xfId="0" applyFont="1" applyFill="1" applyBorder="1" applyAlignment="1">
      <alignment horizontal="center" vertical="center"/>
    </xf>
    <xf numFmtId="177" fontId="7" fillId="5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172" fontId="7" fillId="5" borderId="0" xfId="0" applyNumberFormat="1" applyFont="1" applyFill="1" applyAlignment="1">
      <alignment horizontal="center" vertical="center"/>
    </xf>
    <xf numFmtId="0" fontId="31" fillId="0" borderId="0" xfId="0" quotePrefix="1" applyFont="1" applyAlignment="1">
      <alignment horizontal="center" vertical="center"/>
    </xf>
    <xf numFmtId="172" fontId="19" fillId="9" borderId="0" xfId="0" applyNumberFormat="1" applyFont="1" applyFill="1" applyAlignment="1">
      <alignment horizontal="center"/>
    </xf>
    <xf numFmtId="172" fontId="19" fillId="0" borderId="0" xfId="0" applyNumberFormat="1" applyFont="1" applyAlignment="1">
      <alignment horizontal="center"/>
    </xf>
    <xf numFmtId="164" fontId="19" fillId="9" borderId="0" xfId="0" applyNumberFormat="1" applyFont="1" applyFill="1" applyAlignment="1">
      <alignment horizontal="center"/>
    </xf>
    <xf numFmtId="0" fontId="31" fillId="9" borderId="0" xfId="0" quotePrefix="1" applyFont="1" applyFill="1" applyAlignment="1">
      <alignment horizontal="center" vertical="center"/>
    </xf>
    <xf numFmtId="169" fontId="7" fillId="9" borderId="0" xfId="0" applyNumberFormat="1" applyFont="1" applyFill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/>
    </xf>
    <xf numFmtId="0" fontId="13" fillId="18" borderId="16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9" borderId="17" xfId="0" applyFont="1" applyFill="1" applyBorder="1" applyAlignment="1">
      <alignment horizontal="left" vertical="center" wrapText="1"/>
    </xf>
    <xf numFmtId="0" fontId="13" fillId="18" borderId="19" xfId="0" applyFont="1" applyFill="1" applyBorder="1" applyAlignment="1">
      <alignment horizontal="left" vertical="center"/>
    </xf>
    <xf numFmtId="0" fontId="91" fillId="0" borderId="20" xfId="0" applyFont="1" applyBorder="1" applyAlignment="1">
      <alignment horizontal="left" vertical="center" wrapText="1"/>
    </xf>
    <xf numFmtId="0" fontId="91" fillId="9" borderId="20" xfId="0" applyFont="1" applyFill="1" applyBorder="1" applyAlignment="1">
      <alignment horizontal="left" vertical="center" wrapText="1"/>
    </xf>
    <xf numFmtId="0" fontId="23" fillId="9" borderId="3" xfId="0" applyFont="1" applyFill="1" applyBorder="1" applyAlignment="1">
      <alignment horizontal="center"/>
    </xf>
    <xf numFmtId="0" fontId="64" fillId="9" borderId="31" xfId="0" applyFont="1" applyFill="1" applyBorder="1"/>
    <xf numFmtId="1" fontId="19" fillId="0" borderId="0" xfId="0" applyNumberFormat="1" applyFont="1"/>
    <xf numFmtId="1" fontId="106" fillId="0" borderId="0" xfId="0" applyNumberFormat="1" applyFont="1"/>
    <xf numFmtId="1" fontId="21" fillId="0" borderId="0" xfId="0" applyNumberFormat="1" applyFont="1"/>
    <xf numFmtId="0" fontId="31" fillId="0" borderId="0" xfId="0" applyFont="1" applyAlignment="1">
      <alignment horizontal="center"/>
    </xf>
    <xf numFmtId="0" fontId="31" fillId="9" borderId="0" xfId="0" applyFont="1" applyFill="1" applyAlignment="1">
      <alignment horizont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15" fontId="19" fillId="0" borderId="0" xfId="0" applyNumberFormat="1" applyFont="1"/>
    <xf numFmtId="17" fontId="19" fillId="0" borderId="0" xfId="0" applyNumberFormat="1" applyFont="1"/>
    <xf numFmtId="0" fontId="65" fillId="18" borderId="3" xfId="0" applyFont="1" applyFill="1" applyBorder="1" applyAlignment="1">
      <alignment horizontal="left"/>
    </xf>
    <xf numFmtId="0" fontId="19" fillId="9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21" fillId="9" borderId="0" xfId="0" applyFont="1" applyFill="1" applyAlignment="1">
      <alignment horizontal="center"/>
    </xf>
    <xf numFmtId="0" fontId="107" fillId="0" borderId="0" xfId="0" applyFont="1" applyAlignment="1">
      <alignment horizontal="center"/>
    </xf>
    <xf numFmtId="0" fontId="107" fillId="9" borderId="0" xfId="0" applyFont="1" applyFill="1" applyAlignment="1">
      <alignment horizontal="center"/>
    </xf>
    <xf numFmtId="0" fontId="106" fillId="0" borderId="0" xfId="0" applyFont="1" applyAlignment="1">
      <alignment horizontal="center"/>
    </xf>
    <xf numFmtId="0" fontId="106" fillId="9" borderId="0" xfId="0" applyFont="1" applyFill="1" applyAlignment="1">
      <alignment horizontal="center"/>
    </xf>
    <xf numFmtId="0" fontId="108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4" fillId="9" borderId="0" xfId="0" applyFont="1" applyFill="1" applyAlignment="1">
      <alignment horizontal="center"/>
    </xf>
    <xf numFmtId="0" fontId="108" fillId="9" borderId="0" xfId="0" applyFont="1" applyFill="1" applyAlignment="1">
      <alignment horizontal="center"/>
    </xf>
    <xf numFmtId="0" fontId="109" fillId="9" borderId="0" xfId="0" applyFont="1" applyFill="1" applyAlignment="1">
      <alignment horizontal="center"/>
    </xf>
    <xf numFmtId="169" fontId="5" fillId="0" borderId="0" xfId="0" applyNumberFormat="1" applyFont="1"/>
    <xf numFmtId="0" fontId="5" fillId="0" borderId="0" xfId="0" applyFont="1" applyAlignment="1">
      <alignment horizontal="center"/>
    </xf>
    <xf numFmtId="169" fontId="5" fillId="9" borderId="0" xfId="0" applyNumberFormat="1" applyFont="1" applyFill="1"/>
    <xf numFmtId="0" fontId="5" fillId="9" borderId="0" xfId="0" applyFont="1" applyFill="1" applyAlignment="1">
      <alignment horizontal="center"/>
    </xf>
    <xf numFmtId="169" fontId="5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91" fillId="0" borderId="31" xfId="0" applyFont="1" applyBorder="1" applyAlignment="1">
      <alignment horizontal="left" vertical="center" wrapText="1"/>
    </xf>
    <xf numFmtId="0" fontId="7" fillId="0" borderId="62" xfId="0" applyFont="1" applyBorder="1"/>
    <xf numFmtId="0" fontId="9" fillId="0" borderId="62" xfId="0" applyFont="1" applyBorder="1"/>
    <xf numFmtId="0" fontId="65" fillId="18" borderId="0" xfId="0" applyFont="1" applyFill="1"/>
    <xf numFmtId="0" fontId="102" fillId="18" borderId="0" xfId="0" applyFont="1" applyFill="1"/>
    <xf numFmtId="0" fontId="103" fillId="0" borderId="0" xfId="0" applyFont="1"/>
    <xf numFmtId="0" fontId="78" fillId="22" borderId="0" xfId="0" applyFont="1" applyFill="1"/>
    <xf numFmtId="0" fontId="88" fillId="0" borderId="0" xfId="0" applyFont="1"/>
    <xf numFmtId="0" fontId="110" fillId="0" borderId="0" xfId="0" applyFont="1"/>
    <xf numFmtId="164" fontId="4" fillId="22" borderId="0" xfId="0" applyNumberFormat="1" applyFont="1" applyFill="1"/>
    <xf numFmtId="0" fontId="23" fillId="19" borderId="45" xfId="0" applyFont="1" applyFill="1" applyBorder="1" applyAlignment="1">
      <alignment horizontal="center" wrapText="1"/>
    </xf>
    <xf numFmtId="0" fontId="114" fillId="0" borderId="0" xfId="0" applyFont="1"/>
    <xf numFmtId="0" fontId="115" fillId="0" borderId="0" xfId="0" applyFont="1"/>
    <xf numFmtId="0" fontId="116" fillId="10" borderId="0" xfId="0" applyFont="1" applyFill="1"/>
    <xf numFmtId="0" fontId="118" fillId="0" borderId="0" xfId="0" applyFont="1"/>
    <xf numFmtId="0" fontId="16" fillId="10" borderId="0" xfId="0" applyFont="1" applyFill="1"/>
    <xf numFmtId="0" fontId="27" fillId="12" borderId="70" xfId="0" applyFont="1" applyFill="1" applyBorder="1"/>
    <xf numFmtId="0" fontId="27" fillId="12" borderId="71" xfId="0" applyFont="1" applyFill="1" applyBorder="1"/>
    <xf numFmtId="0" fontId="27" fillId="12" borderId="71" xfId="0" applyFont="1" applyFill="1" applyBorder="1" applyAlignment="1">
      <alignment horizontal="center"/>
    </xf>
    <xf numFmtId="0" fontId="27" fillId="8" borderId="71" xfId="0" applyFont="1" applyFill="1" applyBorder="1" applyAlignment="1">
      <alignment horizontal="center"/>
    </xf>
    <xf numFmtId="0" fontId="27" fillId="12" borderId="72" xfId="0" applyFont="1" applyFill="1" applyBorder="1" applyAlignment="1">
      <alignment horizontal="center"/>
    </xf>
    <xf numFmtId="0" fontId="0" fillId="0" borderId="73" xfId="0" applyBorder="1"/>
    <xf numFmtId="0" fontId="0" fillId="0" borderId="74" xfId="0" applyBorder="1"/>
    <xf numFmtId="175" fontId="117" fillId="0" borderId="74" xfId="0" applyNumberFormat="1" applyFont="1" applyBorder="1"/>
    <xf numFmtId="171" fontId="117" fillId="0" borderId="74" xfId="0" applyNumberFormat="1" applyFont="1" applyBorder="1"/>
    <xf numFmtId="175" fontId="0" fillId="0" borderId="74" xfId="0" applyNumberFormat="1" applyBorder="1"/>
    <xf numFmtId="164" fontId="117" fillId="0" borderId="74" xfId="0" applyNumberFormat="1" applyFont="1" applyBorder="1"/>
    <xf numFmtId="164" fontId="0" fillId="0" borderId="74" xfId="0" applyNumberFormat="1" applyBorder="1"/>
    <xf numFmtId="175" fontId="27" fillId="8" borderId="74" xfId="0" applyNumberFormat="1" applyFont="1" applyFill="1" applyBorder="1"/>
    <xf numFmtId="175" fontId="0" fillId="0" borderId="75" xfId="0" applyNumberFormat="1" applyBorder="1"/>
    <xf numFmtId="0" fontId="117" fillId="0" borderId="74" xfId="0" applyFont="1" applyBorder="1" applyAlignment="1">
      <alignment horizontal="center"/>
    </xf>
    <xf numFmtId="0" fontId="0" fillId="0" borderId="76" xfId="0" applyBorder="1"/>
    <xf numFmtId="0" fontId="0" fillId="0" borderId="77" xfId="0" applyBorder="1"/>
    <xf numFmtId="175" fontId="117" fillId="0" borderId="77" xfId="0" applyNumberFormat="1" applyFont="1" applyBorder="1"/>
    <xf numFmtId="171" fontId="117" fillId="0" borderId="77" xfId="0" applyNumberFormat="1" applyFont="1" applyBorder="1"/>
    <xf numFmtId="175" fontId="0" fillId="0" borderId="77" xfId="0" applyNumberFormat="1" applyBorder="1"/>
    <xf numFmtId="0" fontId="117" fillId="0" borderId="77" xfId="0" applyFont="1" applyBorder="1" applyAlignment="1">
      <alignment horizontal="center"/>
    </xf>
    <xf numFmtId="164" fontId="117" fillId="0" borderId="77" xfId="0" applyNumberFormat="1" applyFont="1" applyBorder="1"/>
    <xf numFmtId="175" fontId="27" fillId="8" borderId="77" xfId="0" applyNumberFormat="1" applyFont="1" applyFill="1" applyBorder="1"/>
    <xf numFmtId="175" fontId="0" fillId="0" borderId="78" xfId="0" applyNumberFormat="1" applyBorder="1"/>
    <xf numFmtId="0" fontId="27" fillId="12" borderId="71" xfId="0" applyFont="1" applyFill="1" applyBorder="1" applyAlignment="1">
      <alignment horizontal="center" wrapText="1"/>
    </xf>
    <xf numFmtId="0" fontId="27" fillId="8" borderId="71" xfId="0" applyFont="1" applyFill="1" applyBorder="1" applyAlignment="1">
      <alignment horizontal="center" wrapText="1"/>
    </xf>
    <xf numFmtId="0" fontId="27" fillId="12" borderId="71" xfId="0" applyFont="1" applyFill="1" applyBorder="1" applyAlignment="1">
      <alignment wrapText="1"/>
    </xf>
    <xf numFmtId="0" fontId="27" fillId="12" borderId="72" xfId="0" applyFont="1" applyFill="1" applyBorder="1" applyAlignment="1">
      <alignment horizontal="center" wrapText="1"/>
    </xf>
    <xf numFmtId="187" fontId="0" fillId="0" borderId="74" xfId="0" applyNumberFormat="1" applyBorder="1"/>
    <xf numFmtId="0" fontId="115" fillId="0" borderId="75" xfId="0" applyFont="1" applyBorder="1" applyAlignment="1">
      <alignment horizontal="center"/>
    </xf>
    <xf numFmtId="187" fontId="0" fillId="0" borderId="77" xfId="0" applyNumberFormat="1" applyBorder="1"/>
    <xf numFmtId="0" fontId="115" fillId="0" borderId="78" xfId="0" applyFont="1" applyBorder="1" applyAlignment="1">
      <alignment horizontal="center"/>
    </xf>
    <xf numFmtId="0" fontId="27" fillId="0" borderId="73" xfId="0" applyFont="1" applyBorder="1"/>
    <xf numFmtId="9" fontId="24" fillId="0" borderId="74" xfId="0" applyNumberFormat="1" applyFont="1" applyBorder="1"/>
    <xf numFmtId="175" fontId="24" fillId="0" borderId="74" xfId="0" applyNumberFormat="1" applyFont="1" applyBorder="1"/>
    <xf numFmtId="188" fontId="0" fillId="0" borderId="74" xfId="0" applyNumberFormat="1" applyBorder="1"/>
    <xf numFmtId="0" fontId="27" fillId="0" borderId="76" xfId="0" applyFont="1" applyBorder="1"/>
    <xf numFmtId="9" fontId="24" fillId="0" borderId="77" xfId="0" applyNumberFormat="1" applyFont="1" applyBorder="1"/>
    <xf numFmtId="175" fontId="24" fillId="0" borderId="77" xfId="0" applyNumberFormat="1" applyFont="1" applyBorder="1"/>
    <xf numFmtId="188" fontId="0" fillId="0" borderId="77" xfId="0" applyNumberFormat="1" applyBorder="1"/>
    <xf numFmtId="0" fontId="0" fillId="0" borderId="71" xfId="0" applyBorder="1"/>
    <xf numFmtId="10" fontId="117" fillId="0" borderId="75" xfId="0" applyNumberFormat="1" applyFont="1" applyBorder="1"/>
    <xf numFmtId="0" fontId="0" fillId="0" borderId="75" xfId="0" applyBorder="1"/>
    <xf numFmtId="10" fontId="27" fillId="0" borderId="78" xfId="0" applyNumberFormat="1" applyFont="1" applyBorder="1"/>
    <xf numFmtId="0" fontId="27" fillId="8" borderId="72" xfId="0" applyFont="1" applyFill="1" applyBorder="1" applyAlignment="1">
      <alignment horizontal="center"/>
    </xf>
    <xf numFmtId="9" fontId="117" fillId="0" borderId="74" xfId="0" applyNumberFormat="1" applyFont="1" applyBorder="1"/>
    <xf numFmtId="10" fontId="0" fillId="0" borderId="74" xfId="0" applyNumberFormat="1" applyBorder="1"/>
    <xf numFmtId="10" fontId="0" fillId="0" borderId="75" xfId="0" applyNumberFormat="1" applyBorder="1"/>
    <xf numFmtId="9" fontId="41" fillId="0" borderId="74" xfId="0" applyNumberFormat="1" applyFont="1" applyBorder="1"/>
    <xf numFmtId="10" fontId="27" fillId="8" borderId="75" xfId="0" applyNumberFormat="1" applyFont="1" applyFill="1" applyBorder="1"/>
    <xf numFmtId="9" fontId="117" fillId="0" borderId="77" xfId="0" applyNumberFormat="1" applyFont="1" applyBorder="1"/>
    <xf numFmtId="10" fontId="0" fillId="0" borderId="77" xfId="0" applyNumberFormat="1" applyBorder="1"/>
    <xf numFmtId="10" fontId="0" fillId="0" borderId="78" xfId="0" applyNumberFormat="1" applyBorder="1"/>
    <xf numFmtId="0" fontId="0" fillId="0" borderId="72" xfId="0" applyBorder="1"/>
    <xf numFmtId="10" fontId="24" fillId="0" borderId="75" xfId="0" applyNumberFormat="1" applyFont="1" applyBorder="1"/>
    <xf numFmtId="9" fontId="0" fillId="0" borderId="74" xfId="0" applyNumberFormat="1" applyBorder="1"/>
    <xf numFmtId="9" fontId="0" fillId="0" borderId="77" xfId="0" applyNumberFormat="1" applyBorder="1"/>
    <xf numFmtId="164" fontId="41" fillId="8" borderId="74" xfId="0" applyNumberFormat="1" applyFont="1" applyFill="1" applyBorder="1"/>
    <xf numFmtId="164" fontId="117" fillId="0" borderId="75" xfId="0" applyNumberFormat="1" applyFont="1" applyBorder="1"/>
    <xf numFmtId="164" fontId="24" fillId="0" borderId="77" xfId="0" applyNumberFormat="1" applyFont="1" applyBorder="1"/>
    <xf numFmtId="164" fontId="24" fillId="0" borderId="78" xfId="0" applyNumberFormat="1" applyFont="1" applyBorder="1"/>
    <xf numFmtId="0" fontId="27" fillId="12" borderId="74" xfId="0" applyFont="1" applyFill="1" applyBorder="1" applyAlignment="1">
      <alignment horizontal="center"/>
    </xf>
    <xf numFmtId="0" fontId="27" fillId="8" borderId="74" xfId="0" applyFont="1" applyFill="1" applyBorder="1" applyAlignment="1">
      <alignment horizontal="center"/>
    </xf>
    <xf numFmtId="10" fontId="24" fillId="0" borderId="74" xfId="0" applyNumberFormat="1" applyFont="1" applyBorder="1"/>
    <xf numFmtId="189" fontId="0" fillId="0" borderId="75" xfId="0" applyNumberFormat="1" applyBorder="1"/>
    <xf numFmtId="188" fontId="0" fillId="0" borderId="75" xfId="0" applyNumberFormat="1" applyBorder="1"/>
    <xf numFmtId="10" fontId="27" fillId="12" borderId="77" xfId="0" applyNumberFormat="1" applyFont="1" applyFill="1" applyBorder="1"/>
    <xf numFmtId="10" fontId="27" fillId="8" borderId="77" xfId="0" applyNumberFormat="1" applyFont="1" applyFill="1" applyBorder="1"/>
    <xf numFmtId="189" fontId="27" fillId="0" borderId="78" xfId="0" applyNumberFormat="1" applyFont="1" applyBorder="1"/>
    <xf numFmtId="0" fontId="27" fillId="12" borderId="70" xfId="0" applyFont="1" applyFill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6" xfId="0" applyBorder="1" applyAlignment="1">
      <alignment horizontal="center"/>
    </xf>
    <xf numFmtId="173" fontId="119" fillId="0" borderId="13" xfId="0" applyNumberFormat="1" applyFont="1" applyBorder="1"/>
    <xf numFmtId="173" fontId="112" fillId="8" borderId="3" xfId="0" applyNumberFormat="1" applyFont="1" applyFill="1" applyBorder="1"/>
    <xf numFmtId="173" fontId="112" fillId="9" borderId="0" xfId="0" applyNumberFormat="1" applyFont="1" applyFill="1"/>
    <xf numFmtId="184" fontId="112" fillId="9" borderId="0" xfId="0" applyNumberFormat="1" applyFont="1" applyFill="1"/>
    <xf numFmtId="184" fontId="120" fillId="0" borderId="0" xfId="0" applyNumberFormat="1" applyFont="1"/>
    <xf numFmtId="173" fontId="121" fillId="0" borderId="0" xfId="0" applyNumberFormat="1" applyFont="1" applyAlignment="1">
      <alignment horizontal="right" vertical="center"/>
    </xf>
    <xf numFmtId="0" fontId="122" fillId="0" borderId="0" xfId="0" applyFont="1" applyAlignment="1">
      <alignment horizontal="left" vertical="center" wrapText="1"/>
    </xf>
    <xf numFmtId="0" fontId="122" fillId="9" borderId="0" xfId="0" applyFont="1" applyFill="1" applyAlignment="1">
      <alignment horizontal="left" vertical="center" wrapText="1"/>
    </xf>
    <xf numFmtId="0" fontId="123" fillId="0" borderId="0" xfId="0" applyFont="1"/>
    <xf numFmtId="0" fontId="124" fillId="0" borderId="0" xfId="0" applyFont="1" applyAlignment="1">
      <alignment horizontal="left"/>
    </xf>
    <xf numFmtId="0" fontId="119" fillId="0" borderId="0" xfId="0" applyFont="1"/>
    <xf numFmtId="0" fontId="112" fillId="0" borderId="0" xfId="0" applyFont="1"/>
    <xf numFmtId="0" fontId="126" fillId="0" borderId="0" xfId="0" applyFont="1" applyAlignment="1">
      <alignment horizontal="left"/>
    </xf>
    <xf numFmtId="182" fontId="112" fillId="8" borderId="14" xfId="0" applyNumberFormat="1" applyFont="1" applyFill="1" applyBorder="1" applyAlignment="1">
      <alignment horizontal="right"/>
    </xf>
    <xf numFmtId="173" fontId="119" fillId="0" borderId="0" xfId="0" applyNumberFormat="1" applyFont="1" applyAlignment="1">
      <alignment horizontal="right"/>
    </xf>
    <xf numFmtId="1" fontId="127" fillId="0" borderId="0" xfId="0" applyNumberFormat="1" applyFont="1" applyAlignment="1">
      <alignment horizontal="center"/>
    </xf>
    <xf numFmtId="1" fontId="128" fillId="0" borderId="0" xfId="0" applyNumberFormat="1" applyFont="1" applyAlignment="1">
      <alignment horizontal="center"/>
    </xf>
    <xf numFmtId="0" fontId="129" fillId="0" borderId="0" xfId="0" applyFont="1" applyAlignment="1">
      <alignment horizontal="left"/>
    </xf>
    <xf numFmtId="0" fontId="129" fillId="0" borderId="0" xfId="0" applyFont="1" applyAlignment="1">
      <alignment horizontal="center"/>
    </xf>
    <xf numFmtId="186" fontId="129" fillId="9" borderId="0" xfId="0" applyNumberFormat="1" applyFont="1" applyFill="1" applyAlignment="1">
      <alignment horizontal="right"/>
    </xf>
    <xf numFmtId="0" fontId="67" fillId="0" borderId="0" xfId="0" applyFont="1"/>
    <xf numFmtId="0" fontId="111" fillId="18" borderId="0" xfId="0" applyFont="1" applyFill="1"/>
    <xf numFmtId="0" fontId="122" fillId="0" borderId="0" xfId="0" applyFont="1"/>
    <xf numFmtId="0" fontId="126" fillId="0" borderId="0" xfId="0" applyFont="1"/>
    <xf numFmtId="0" fontId="130" fillId="0" borderId="0" xfId="0" applyFont="1"/>
    <xf numFmtId="0" fontId="130" fillId="12" borderId="0" xfId="0" applyFont="1" applyFill="1"/>
    <xf numFmtId="0" fontId="130" fillId="15" borderId="0" xfId="0" applyFont="1" applyFill="1" applyAlignment="1">
      <alignment horizontal="center"/>
    </xf>
    <xf numFmtId="0" fontId="130" fillId="8" borderId="0" xfId="0" applyFont="1" applyFill="1"/>
    <xf numFmtId="0" fontId="130" fillId="8" borderId="0" xfId="0" applyFont="1" applyFill="1" applyAlignment="1">
      <alignment horizontal="center"/>
    </xf>
    <xf numFmtId="0" fontId="130" fillId="17" borderId="0" xfId="0" applyFont="1" applyFill="1" applyAlignment="1">
      <alignment horizontal="center"/>
    </xf>
    <xf numFmtId="0" fontId="130" fillId="22" borderId="0" xfId="0" applyFont="1" applyFill="1" applyAlignment="1">
      <alignment horizontal="center"/>
    </xf>
    <xf numFmtId="0" fontId="130" fillId="12" borderId="0" xfId="0" applyFont="1" applyFill="1" applyAlignment="1">
      <alignment horizontal="center"/>
    </xf>
    <xf numFmtId="9" fontId="131" fillId="0" borderId="0" xfId="0" applyNumberFormat="1" applyFont="1" applyAlignment="1">
      <alignment horizontal="right"/>
    </xf>
    <xf numFmtId="9" fontId="132" fillId="22" borderId="0" xfId="0" applyNumberFormat="1" applyFont="1" applyFill="1" applyAlignment="1">
      <alignment horizontal="right"/>
    </xf>
    <xf numFmtId="0" fontId="126" fillId="0" borderId="0" xfId="0" applyFont="1" applyAlignment="1">
      <alignment horizontal="center"/>
    </xf>
    <xf numFmtId="9" fontId="117" fillId="0" borderId="0" xfId="0" applyNumberFormat="1" applyFont="1" applyAlignment="1">
      <alignment horizontal="right"/>
    </xf>
    <xf numFmtId="9" fontId="27" fillId="22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191" fontId="133" fillId="15" borderId="0" xfId="0" applyNumberFormat="1" applyFont="1" applyFill="1" applyAlignment="1">
      <alignment horizontal="right"/>
    </xf>
    <xf numFmtId="191" fontId="133" fillId="8" borderId="0" xfId="0" applyNumberFormat="1" applyFont="1" applyFill="1" applyAlignment="1">
      <alignment horizontal="right"/>
    </xf>
    <xf numFmtId="191" fontId="133" fillId="17" borderId="0" xfId="0" applyNumberFormat="1" applyFont="1" applyFill="1" applyAlignment="1">
      <alignment horizontal="right"/>
    </xf>
    <xf numFmtId="191" fontId="23" fillId="22" borderId="0" xfId="0" applyNumberFormat="1" applyFont="1" applyFill="1" applyAlignment="1">
      <alignment horizontal="right"/>
    </xf>
    <xf numFmtId="2" fontId="112" fillId="8" borderId="14" xfId="0" applyNumberFormat="1" applyFont="1" applyFill="1" applyBorder="1" applyAlignment="1">
      <alignment horizontal="right" vertical="center"/>
    </xf>
    <xf numFmtId="2" fontId="134" fillId="8" borderId="0" xfId="0" applyNumberFormat="1" applyFont="1" applyFill="1" applyAlignment="1">
      <alignment horizontal="right"/>
    </xf>
    <xf numFmtId="4" fontId="135" fillId="8" borderId="0" xfId="0" applyNumberFormat="1" applyFont="1" applyFill="1" applyAlignment="1">
      <alignment horizontal="center"/>
    </xf>
    <xf numFmtId="2" fontId="136" fillId="22" borderId="0" xfId="0" applyNumberFormat="1" applyFont="1" applyFill="1" applyAlignment="1">
      <alignment horizontal="right"/>
    </xf>
    <xf numFmtId="0" fontId="135" fillId="0" borderId="0" xfId="0" applyFont="1" applyAlignment="1">
      <alignment horizontal="left"/>
    </xf>
    <xf numFmtId="171" fontId="125" fillId="0" borderId="0" xfId="0" applyNumberFormat="1" applyFont="1" applyAlignment="1">
      <alignment horizontal="right"/>
    </xf>
    <xf numFmtId="171" fontId="130" fillId="22" borderId="0" xfId="0" applyNumberFormat="1" applyFont="1" applyFill="1" applyAlignment="1">
      <alignment horizontal="right"/>
    </xf>
    <xf numFmtId="0" fontId="120" fillId="0" borderId="0" xfId="0" applyFont="1"/>
    <xf numFmtId="0" fontId="122" fillId="8" borderId="0" xfId="0" applyFont="1" applyFill="1"/>
    <xf numFmtId="0" fontId="137" fillId="0" borderId="0" xfId="0" applyFont="1"/>
    <xf numFmtId="173" fontId="138" fillId="0" borderId="0" xfId="0" applyNumberFormat="1" applyFont="1" applyAlignment="1">
      <alignment horizontal="right"/>
    </xf>
    <xf numFmtId="0" fontId="138" fillId="0" borderId="0" xfId="0" applyFont="1"/>
    <xf numFmtId="173" fontId="112" fillId="8" borderId="0" xfId="0" applyNumberFormat="1" applyFont="1" applyFill="1" applyAlignment="1">
      <alignment horizontal="right"/>
    </xf>
    <xf numFmtId="169" fontId="138" fillId="0" borderId="0" xfId="0" applyNumberFormat="1" applyFont="1" applyAlignment="1">
      <alignment horizontal="right"/>
    </xf>
    <xf numFmtId="0" fontId="111" fillId="18" borderId="0" xfId="0" applyFont="1" applyFill="1" applyAlignment="1">
      <alignment horizontal="left"/>
    </xf>
    <xf numFmtId="0" fontId="137" fillId="0" borderId="0" xfId="0" applyFont="1" applyAlignment="1">
      <alignment horizontal="center"/>
    </xf>
    <xf numFmtId="0" fontId="130" fillId="9" borderId="0" xfId="0" applyFont="1" applyFill="1" applyAlignment="1">
      <alignment horizontal="left"/>
    </xf>
    <xf numFmtId="0" fontId="122" fillId="0" borderId="0" xfId="0" applyFont="1" applyAlignment="1">
      <alignment horizontal="left"/>
    </xf>
    <xf numFmtId="0" fontId="130" fillId="9" borderId="0" xfId="0" applyFont="1" applyFill="1" applyAlignment="1">
      <alignment horizontal="center"/>
    </xf>
    <xf numFmtId="0" fontId="130" fillId="11" borderId="0" xfId="0" applyFont="1" applyFill="1"/>
    <xf numFmtId="164" fontId="126" fillId="0" borderId="0" xfId="0" applyNumberFormat="1" applyFont="1" applyAlignment="1">
      <alignment horizontal="center"/>
    </xf>
    <xf numFmtId="171" fontId="126" fillId="0" borderId="0" xfId="0" applyNumberFormat="1" applyFont="1" applyAlignment="1">
      <alignment horizontal="center"/>
    </xf>
    <xf numFmtId="169" fontId="126" fillId="0" borderId="0" xfId="0" applyNumberFormat="1" applyFont="1" applyAlignment="1">
      <alignment horizontal="center"/>
    </xf>
    <xf numFmtId="2" fontId="126" fillId="0" borderId="0" xfId="0" applyNumberFormat="1" applyFont="1" applyAlignment="1">
      <alignment horizontal="center"/>
    </xf>
    <xf numFmtId="184" fontId="126" fillId="0" borderId="0" xfId="0" applyNumberFormat="1" applyFont="1" applyAlignment="1">
      <alignment horizontal="center"/>
    </xf>
    <xf numFmtId="176" fontId="126" fillId="0" borderId="0" xfId="0" applyNumberFormat="1" applyFont="1" applyAlignment="1">
      <alignment horizontal="center"/>
    </xf>
    <xf numFmtId="173" fontId="121" fillId="0" borderId="0" xfId="0" applyNumberFormat="1" applyFont="1" applyAlignment="1">
      <alignment horizontal="right"/>
    </xf>
    <xf numFmtId="2" fontId="129" fillId="0" borderId="0" xfId="0" applyNumberFormat="1" applyFont="1" applyAlignment="1">
      <alignment horizontal="right"/>
    </xf>
    <xf numFmtId="173" fontId="123" fillId="0" borderId="0" xfId="0" applyNumberFormat="1" applyFont="1" applyAlignment="1">
      <alignment horizontal="right"/>
    </xf>
    <xf numFmtId="173" fontId="140" fillId="0" borderId="0" xfId="0" applyNumberFormat="1" applyFont="1" applyAlignment="1">
      <alignment horizontal="right"/>
    </xf>
    <xf numFmtId="0" fontId="141" fillId="8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28" fillId="0" borderId="0" xfId="0" applyFont="1" applyAlignment="1">
      <alignment horizontal="center"/>
    </xf>
    <xf numFmtId="0" fontId="128" fillId="8" borderId="0" xfId="0" applyFont="1" applyFill="1" applyAlignment="1">
      <alignment horizontal="center"/>
    </xf>
    <xf numFmtId="0" fontId="129" fillId="0" borderId="0" xfId="0" applyFont="1"/>
    <xf numFmtId="0" fontId="130" fillId="8" borderId="14" xfId="0" applyFont="1" applyFill="1" applyBorder="1"/>
    <xf numFmtId="0" fontId="138" fillId="0" borderId="0" xfId="0" applyFont="1" applyAlignment="1">
      <alignment horizontal="left"/>
    </xf>
    <xf numFmtId="0" fontId="10" fillId="19" borderId="79" xfId="0" applyFont="1" applyFill="1" applyBorder="1" applyAlignment="1">
      <alignment horizontal="center" vertical="center"/>
    </xf>
    <xf numFmtId="1" fontId="13" fillId="18" borderId="0" xfId="0" applyNumberFormat="1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/>
    </xf>
    <xf numFmtId="2" fontId="5" fillId="7" borderId="0" xfId="0" applyNumberFormat="1" applyFont="1" applyFill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2" fontId="7" fillId="9" borderId="0" xfId="0" applyNumberFormat="1" applyFont="1" applyFill="1" applyAlignment="1">
      <alignment horizontal="right" vertical="center"/>
    </xf>
    <xf numFmtId="2" fontId="8" fillId="9" borderId="0" xfId="0" applyNumberFormat="1" applyFont="1" applyFill="1" applyAlignment="1">
      <alignment horizontal="right" vertical="center"/>
    </xf>
    <xf numFmtId="2" fontId="4" fillId="8" borderId="14" xfId="0" applyNumberFormat="1" applyFont="1" applyFill="1" applyBorder="1" applyAlignment="1">
      <alignment horizontal="right" vertical="center"/>
    </xf>
    <xf numFmtId="2" fontId="4" fillId="5" borderId="14" xfId="0" applyNumberFormat="1" applyFont="1" applyFill="1" applyBorder="1" applyAlignment="1">
      <alignment horizontal="right" vertical="center"/>
    </xf>
    <xf numFmtId="2" fontId="7" fillId="6" borderId="0" xfId="0" applyNumberFormat="1" applyFont="1" applyFill="1" applyAlignment="1">
      <alignment horizontal="right" vertical="center"/>
    </xf>
    <xf numFmtId="2" fontId="34" fillId="8" borderId="0" xfId="0" applyNumberFormat="1" applyFont="1" applyFill="1" applyAlignment="1">
      <alignment horizontal="right" vertical="center"/>
    </xf>
    <xf numFmtId="2" fontId="4" fillId="8" borderId="0" xfId="0" applyNumberFormat="1" applyFont="1" applyFill="1" applyAlignment="1">
      <alignment horizontal="right" vertical="center"/>
    </xf>
    <xf numFmtId="2" fontId="112" fillId="8" borderId="0" xfId="0" applyNumberFormat="1" applyFont="1" applyFill="1" applyAlignment="1">
      <alignment horizontal="right" vertical="center"/>
    </xf>
    <xf numFmtId="2" fontId="4" fillId="0" borderId="14" xfId="0" applyNumberFormat="1" applyFont="1" applyBorder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8" fillId="9" borderId="0" xfId="0" applyNumberFormat="1" applyFont="1" applyFill="1" applyAlignment="1">
      <alignment horizontal="right" vertical="center"/>
    </xf>
    <xf numFmtId="164" fontId="7" fillId="9" borderId="0" xfId="0" applyNumberFormat="1" applyFont="1" applyFill="1" applyAlignment="1">
      <alignment horizontal="right" vertical="center"/>
    </xf>
    <xf numFmtId="164" fontId="7" fillId="6" borderId="0" xfId="0" applyNumberFormat="1" applyFont="1" applyFill="1" applyAlignment="1">
      <alignment horizontal="right" vertical="center"/>
    </xf>
    <xf numFmtId="164" fontId="19" fillId="9" borderId="0" xfId="0" applyNumberFormat="1" applyFont="1" applyFill="1" applyAlignment="1">
      <alignment horizontal="right"/>
    </xf>
    <xf numFmtId="164" fontId="19" fillId="0" borderId="0" xfId="0" applyNumberFormat="1" applyFont="1" applyAlignment="1">
      <alignment horizontal="right"/>
    </xf>
    <xf numFmtId="172" fontId="19" fillId="0" borderId="0" xfId="0" applyNumberFormat="1" applyFont="1" applyAlignment="1">
      <alignment horizontal="right"/>
    </xf>
    <xf numFmtId="0" fontId="111" fillId="18" borderId="0" xfId="0" applyFont="1" applyFill="1" applyAlignment="1">
      <alignment horizontal="right"/>
    </xf>
    <xf numFmtId="0" fontId="132" fillId="22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right"/>
    </xf>
    <xf numFmtId="164" fontId="129" fillId="9" borderId="0" xfId="0" applyNumberFormat="1" applyFont="1" applyFill="1" applyAlignment="1">
      <alignment horizontal="right"/>
    </xf>
    <xf numFmtId="164" fontId="129" fillId="0" borderId="0" xfId="0" applyNumberFormat="1" applyFont="1" applyAlignment="1">
      <alignment horizontal="right"/>
    </xf>
    <xf numFmtId="0" fontId="65" fillId="18" borderId="0" xfId="0" applyFont="1" applyFill="1" applyAlignment="1">
      <alignment horizontal="left"/>
    </xf>
    <xf numFmtId="0" fontId="91" fillId="0" borderId="0" xfId="0" applyFont="1" applyAlignment="1">
      <alignment horizontal="left" vertical="center" wrapText="1"/>
    </xf>
    <xf numFmtId="0" fontId="16" fillId="18" borderId="0" xfId="0" applyFont="1" applyFill="1"/>
    <xf numFmtId="0" fontId="143" fillId="18" borderId="0" xfId="0" applyFont="1" applyFill="1"/>
    <xf numFmtId="164" fontId="117" fillId="0" borderId="0" xfId="0" applyNumberFormat="1" applyFont="1"/>
    <xf numFmtId="164" fontId="29" fillId="22" borderId="0" xfId="0" applyNumberFormat="1" applyFont="1" applyFill="1"/>
    <xf numFmtId="167" fontId="19" fillId="9" borderId="3" xfId="0" applyNumberFormat="1" applyFont="1" applyFill="1" applyBorder="1" applyAlignment="1">
      <alignment horizontal="center"/>
    </xf>
    <xf numFmtId="0" fontId="18" fillId="0" borderId="0" xfId="0" applyFont="1"/>
    <xf numFmtId="0" fontId="32" fillId="0" borderId="0" xfId="0" applyFont="1"/>
    <xf numFmtId="0" fontId="62" fillId="18" borderId="0" xfId="0" applyFont="1" applyFill="1"/>
    <xf numFmtId="10" fontId="20" fillId="0" borderId="0" xfId="0" applyNumberFormat="1" applyFont="1"/>
    <xf numFmtId="0" fontId="63" fillId="0" borderId="0" xfId="0" applyFont="1"/>
    <xf numFmtId="0" fontId="78" fillId="8" borderId="62" xfId="0" applyFont="1" applyFill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72" fillId="18" borderId="0" xfId="0" applyFont="1" applyFill="1" applyAlignment="1">
      <alignment horizontal="left"/>
    </xf>
    <xf numFmtId="0" fontId="1" fillId="0" borderId="0" xfId="0" applyFont="1"/>
    <xf numFmtId="0" fontId="73" fillId="18" borderId="0" xfId="0" applyFont="1" applyFill="1"/>
    <xf numFmtId="0" fontId="2" fillId="0" borderId="0" xfId="0" applyFont="1"/>
    <xf numFmtId="0" fontId="74" fillId="18" borderId="0" xfId="0" applyFont="1" applyFill="1"/>
    <xf numFmtId="0" fontId="3" fillId="0" borderId="0" xfId="0" applyFont="1"/>
    <xf numFmtId="0" fontId="14" fillId="18" borderId="0" xfId="0" applyFont="1" applyFill="1"/>
    <xf numFmtId="0" fontId="6" fillId="0" borderId="0" xfId="0" applyFont="1"/>
    <xf numFmtId="0" fontId="76" fillId="18" borderId="0" xfId="0" applyFont="1" applyFill="1"/>
    <xf numFmtId="0" fontId="40" fillId="10" borderId="0" xfId="0" applyFont="1" applyFill="1"/>
    <xf numFmtId="0" fontId="16" fillId="18" borderId="14" xfId="0" applyFont="1" applyFill="1" applyBorder="1"/>
    <xf numFmtId="0" fontId="44" fillId="10" borderId="14" xfId="0" applyFont="1" applyFill="1" applyBorder="1"/>
    <xf numFmtId="0" fontId="16" fillId="18" borderId="0" xfId="0" applyFont="1" applyFill="1"/>
    <xf numFmtId="0" fontId="44" fillId="10" borderId="0" xfId="0" applyFont="1" applyFill="1"/>
    <xf numFmtId="0" fontId="22" fillId="0" borderId="62" xfId="0" applyFont="1" applyBorder="1" applyAlignment="1">
      <alignment vertical="top" wrapText="1"/>
    </xf>
    <xf numFmtId="0" fontId="83" fillId="18" borderId="0" xfId="0" applyFont="1" applyFill="1" applyAlignment="1">
      <alignment horizontal="left" vertical="center"/>
    </xf>
    <xf numFmtId="0" fontId="64" fillId="0" borderId="0" xfId="0" applyFont="1"/>
    <xf numFmtId="0" fontId="0" fillId="0" borderId="0" xfId="0"/>
    <xf numFmtId="0" fontId="111" fillId="18" borderId="0" xfId="0" applyFont="1" applyFill="1" applyAlignment="1">
      <alignment horizontal="left" vertical="center" indent="1"/>
    </xf>
    <xf numFmtId="0" fontId="112" fillId="9" borderId="0" xfId="0" applyFont="1" applyFill="1" applyAlignment="1">
      <alignment horizontal="left" vertical="center" indent="1"/>
    </xf>
    <xf numFmtId="0" fontId="31" fillId="0" borderId="0" xfId="0" applyFont="1" applyAlignment="1">
      <alignment horizontal="left" vertical="center" wrapText="1"/>
    </xf>
    <xf numFmtId="0" fontId="20" fillId="0" borderId="0" xfId="0" applyFont="1"/>
    <xf numFmtId="0" fontId="23" fillId="22" borderId="0" xfId="0" applyFont="1" applyFill="1"/>
    <xf numFmtId="0" fontId="19" fillId="0" borderId="0" xfId="0" applyFont="1"/>
    <xf numFmtId="0" fontId="4" fillId="9" borderId="0" xfId="0" applyFont="1" applyFill="1" applyAlignment="1">
      <alignment horizontal="left" vertical="center" indent="1"/>
    </xf>
    <xf numFmtId="0" fontId="48" fillId="9" borderId="0" xfId="0" applyFont="1" applyFill="1"/>
    <xf numFmtId="0" fontId="97" fillId="9" borderId="0" xfId="0" applyFont="1" applyFill="1"/>
    <xf numFmtId="0" fontId="48" fillId="22" borderId="0" xfId="0" applyFont="1" applyFill="1"/>
    <xf numFmtId="0" fontId="82" fillId="9" borderId="0" xfId="0" applyFont="1" applyFill="1"/>
    <xf numFmtId="0" fontId="111" fillId="18" borderId="0" xfId="0" applyFont="1" applyFill="1" applyAlignment="1">
      <alignment horizontal="center"/>
    </xf>
    <xf numFmtId="0" fontId="65" fillId="18" borderId="0" xfId="0" applyFont="1" applyFill="1"/>
    <xf numFmtId="0" fontId="84" fillId="12" borderId="0" xfId="0" applyFont="1" applyFill="1" applyAlignment="1">
      <alignment horizontal="left" vertical="center" indent="1"/>
    </xf>
    <xf numFmtId="0" fontId="52" fillId="12" borderId="0" xfId="0" applyFont="1" applyFill="1" applyAlignment="1">
      <alignment horizontal="left" vertical="center" indent="1"/>
    </xf>
    <xf numFmtId="0" fontId="113" fillId="18" borderId="0" xfId="0" applyFont="1" applyFill="1" applyAlignment="1">
      <alignment horizontal="left" vertical="center" indent="1"/>
    </xf>
    <xf numFmtId="0" fontId="16" fillId="18" borderId="0" xfId="0" applyFont="1" applyFill="1" applyAlignment="1">
      <alignment horizontal="left"/>
    </xf>
    <xf numFmtId="0" fontId="65" fillId="18" borderId="0" xfId="0" applyFont="1" applyFill="1" applyAlignment="1">
      <alignment horizontal="left"/>
    </xf>
    <xf numFmtId="0" fontId="111" fillId="18" borderId="0" xfId="0" applyFont="1" applyFill="1" applyAlignment="1">
      <alignment horizontal="left"/>
    </xf>
    <xf numFmtId="0" fontId="48" fillId="18" borderId="0" xfId="0" applyFont="1" applyFill="1" applyAlignment="1">
      <alignment horizontal="left"/>
    </xf>
    <xf numFmtId="0" fontId="142" fillId="18" borderId="0" xfId="0" applyFont="1" applyFill="1" applyAlignment="1">
      <alignment horizontal="left" vertical="center" wrapText="1"/>
    </xf>
    <xf numFmtId="0" fontId="83" fillId="18" borderId="0" xfId="0" applyFont="1" applyFill="1" applyAlignment="1">
      <alignment horizontal="left" vertical="center" wrapText="1"/>
    </xf>
    <xf numFmtId="0" fontId="32" fillId="18" borderId="0" xfId="0" applyFont="1" applyFill="1" applyAlignment="1">
      <alignment horizontal="center" vertical="center" indent="1"/>
    </xf>
    <xf numFmtId="0" fontId="4" fillId="18" borderId="0" xfId="0" applyFont="1" applyFill="1" applyAlignment="1">
      <alignment horizontal="right" vertical="center" indent="1"/>
    </xf>
    <xf numFmtId="0" fontId="14" fillId="18" borderId="0" xfId="0" applyFont="1" applyFill="1" applyAlignment="1">
      <alignment horizontal="left" vertical="center" indent="1"/>
    </xf>
    <xf numFmtId="0" fontId="32" fillId="9" borderId="0" xfId="0" applyFont="1" applyFill="1" applyAlignment="1">
      <alignment horizontal="center" vertical="center" indent="1"/>
    </xf>
    <xf numFmtId="0" fontId="4" fillId="9" borderId="0" xfId="0" applyFont="1" applyFill="1" applyAlignment="1">
      <alignment horizontal="right" vertical="center" indent="1"/>
    </xf>
    <xf numFmtId="0" fontId="122" fillId="21" borderId="0" xfId="0" applyFont="1" applyFill="1" applyAlignment="1">
      <alignment horizontal="left" vertical="center" wrapText="1"/>
    </xf>
    <xf numFmtId="0" fontId="91" fillId="0" borderId="0" xfId="0" applyFont="1" applyAlignment="1">
      <alignment horizontal="left" vertical="center" wrapText="1"/>
    </xf>
    <xf numFmtId="0" fontId="4" fillId="18" borderId="0" xfId="0" applyFont="1" applyFill="1" applyAlignment="1">
      <alignment horizontal="left" vertical="center" indent="1"/>
    </xf>
    <xf numFmtId="0" fontId="27" fillId="8" borderId="0" xfId="0" applyFont="1" applyFill="1"/>
    <xf numFmtId="0" fontId="23" fillId="13" borderId="0" xfId="0" applyFont="1" applyFill="1"/>
    <xf numFmtId="0" fontId="23" fillId="8" borderId="0" xfId="0" applyFont="1" applyFill="1"/>
    <xf numFmtId="0" fontId="83" fillId="18" borderId="0" xfId="0" applyFont="1" applyFill="1" applyAlignment="1">
      <alignment horizontal="left"/>
    </xf>
    <xf numFmtId="0" fontId="91" fillId="0" borderId="0" xfId="0" applyFont="1"/>
    <xf numFmtId="0" fontId="4" fillId="4" borderId="0" xfId="0" applyFont="1" applyFill="1"/>
    <xf numFmtId="0" fontId="23" fillId="9" borderId="0" xfId="0" applyFont="1" applyFill="1"/>
    <xf numFmtId="0" fontId="85" fillId="0" borderId="0" xfId="0" applyFont="1"/>
    <xf numFmtId="0" fontId="18" fillId="0" borderId="0" xfId="0" applyFont="1"/>
    <xf numFmtId="0" fontId="6" fillId="4" borderId="0" xfId="0" applyFont="1" applyFill="1"/>
    <xf numFmtId="0" fontId="6" fillId="9" borderId="0" xfId="0" applyFont="1" applyFill="1" applyAlignment="1">
      <alignment horizontal="left" vertical="center" indent="1"/>
    </xf>
    <xf numFmtId="0" fontId="84" fillId="9" borderId="0" xfId="0" applyFont="1" applyFill="1" applyAlignment="1">
      <alignment horizontal="left" vertical="center" indent="1"/>
    </xf>
    <xf numFmtId="0" fontId="13" fillId="18" borderId="0" xfId="0" applyFont="1" applyFill="1" applyAlignment="1">
      <alignment horizontal="left" vertical="center" indent="1"/>
    </xf>
    <xf numFmtId="0" fontId="62" fillId="18" borderId="0" xfId="0" applyFont="1" applyFill="1" applyAlignment="1">
      <alignment horizontal="left"/>
    </xf>
    <xf numFmtId="0" fontId="49" fillId="0" borderId="0" xfId="0" applyFont="1"/>
    <xf numFmtId="0" fontId="29" fillId="9" borderId="0" xfId="0" applyFont="1" applyFill="1"/>
    <xf numFmtId="0" fontId="6" fillId="9" borderId="0" xfId="0" applyFont="1" applyFill="1"/>
    <xf numFmtId="0" fontId="84" fillId="9" borderId="0" xfId="0" applyFont="1" applyFill="1"/>
    <xf numFmtId="0" fontId="83" fillId="18" borderId="0" xfId="0" applyFont="1" applyFill="1"/>
    <xf numFmtId="0" fontId="11" fillId="0" borderId="0" xfId="0" applyFont="1"/>
    <xf numFmtId="0" fontId="84" fillId="0" borderId="0" xfId="0" applyFont="1"/>
    <xf numFmtId="0" fontId="32" fillId="0" borderId="0" xfId="0" applyFont="1"/>
    <xf numFmtId="0" fontId="50" fillId="0" borderId="0" xfId="0" applyFont="1"/>
    <xf numFmtId="0" fontId="0" fillId="0" borderId="74" xfId="0" applyBorder="1"/>
    <xf numFmtId="0" fontId="0" fillId="0" borderId="75" xfId="0" applyBorder="1"/>
    <xf numFmtId="0" fontId="0" fillId="0" borderId="77" xfId="0" applyBorder="1"/>
    <xf numFmtId="0" fontId="0" fillId="0" borderId="78" xfId="0" applyBorder="1"/>
    <xf numFmtId="0" fontId="46" fillId="14" borderId="0" xfId="0" applyFont="1" applyFill="1"/>
    <xf numFmtId="0" fontId="62" fillId="18" borderId="0" xfId="0" applyFont="1" applyFill="1"/>
    <xf numFmtId="0" fontId="38" fillId="0" borderId="0" xfId="0" applyFont="1"/>
    <xf numFmtId="0" fontId="64" fillId="0" borderId="0" xfId="0" applyFont="1" applyAlignment="1">
      <alignment wrapText="1"/>
    </xf>
    <xf numFmtId="0" fontId="16" fillId="18" borderId="0" xfId="0" applyFont="1" applyFill="1" applyAlignment="1">
      <alignment horizontal="left" vertical="center"/>
    </xf>
    <xf numFmtId="0" fontId="23" fillId="8" borderId="62" xfId="0" applyFont="1" applyFill="1" applyBorder="1" applyAlignment="1">
      <alignment vertical="top" wrapText="1"/>
    </xf>
    <xf numFmtId="0" fontId="23" fillId="0" borderId="0" xfId="0" applyFont="1"/>
    <xf numFmtId="0" fontId="71" fillId="0" borderId="0" xfId="0" applyFont="1" applyAlignment="1">
      <alignment horizontal="left"/>
    </xf>
    <xf numFmtId="0" fontId="23" fillId="0" borderId="62" xfId="0" applyFont="1" applyBorder="1" applyAlignment="1">
      <alignment vertical="top" wrapText="1"/>
    </xf>
    <xf numFmtId="0" fontId="19" fillId="0" borderId="62" xfId="0" applyFont="1" applyBorder="1" applyAlignment="1">
      <alignment vertical="top" wrapText="1"/>
    </xf>
    <xf numFmtId="0" fontId="16" fillId="18" borderId="0" xfId="0" applyFont="1" applyFill="1" applyAlignment="1">
      <alignment horizontal="right" vertical="center"/>
    </xf>
    <xf numFmtId="0" fontId="23" fillId="15" borderId="41" xfId="0" applyFont="1" applyFill="1" applyBorder="1" applyAlignment="1">
      <alignment horizontal="left"/>
    </xf>
    <xf numFmtId="0" fontId="23" fillId="15" borderId="42" xfId="0" applyFont="1" applyFill="1" applyBorder="1" applyAlignment="1">
      <alignment horizontal="left"/>
    </xf>
    <xf numFmtId="0" fontId="23" fillId="15" borderId="43" xfId="0" applyFont="1" applyFill="1" applyBorder="1" applyAlignment="1">
      <alignment horizontal="left"/>
    </xf>
    <xf numFmtId="0" fontId="67" fillId="0" borderId="28" xfId="0" applyFont="1" applyBorder="1" applyAlignment="1">
      <alignment wrapText="1"/>
    </xf>
    <xf numFmtId="0" fontId="67" fillId="0" borderId="13" xfId="0" applyFont="1" applyBorder="1" applyAlignment="1">
      <alignment wrapText="1"/>
    </xf>
    <xf numFmtId="0" fontId="67" fillId="0" borderId="29" xfId="0" applyFont="1" applyBorder="1" applyAlignment="1">
      <alignment wrapText="1"/>
    </xf>
    <xf numFmtId="0" fontId="23" fillId="16" borderId="41" xfId="0" applyFont="1" applyFill="1" applyBorder="1" applyAlignment="1">
      <alignment horizontal="left"/>
    </xf>
    <xf numFmtId="0" fontId="23" fillId="16" borderId="42" xfId="0" applyFont="1" applyFill="1" applyBorder="1" applyAlignment="1">
      <alignment horizontal="left"/>
    </xf>
    <xf numFmtId="0" fontId="23" fillId="16" borderId="43" xfId="0" applyFont="1" applyFill="1" applyBorder="1" applyAlignment="1">
      <alignment horizontal="left"/>
    </xf>
    <xf numFmtId="0" fontId="23" fillId="17" borderId="41" xfId="0" applyFont="1" applyFill="1" applyBorder="1" applyAlignment="1">
      <alignment horizontal="left"/>
    </xf>
    <xf numFmtId="0" fontId="23" fillId="17" borderId="42" xfId="0" applyFont="1" applyFill="1" applyBorder="1" applyAlignment="1">
      <alignment horizontal="left"/>
    </xf>
    <xf numFmtId="0" fontId="23" fillId="17" borderId="43" xfId="0" applyFont="1" applyFill="1" applyBorder="1" applyAlignment="1">
      <alignment horizontal="left"/>
    </xf>
    <xf numFmtId="0" fontId="62" fillId="18" borderId="0" xfId="0" applyFont="1" applyFill="1" applyAlignment="1">
      <alignment horizontal="left" vertical="center"/>
    </xf>
    <xf numFmtId="0" fontId="80" fillId="9" borderId="0" xfId="0" applyFont="1" applyFill="1"/>
    <xf numFmtId="0" fontId="27" fillId="9" borderId="0" xfId="0" applyFont="1" applyFill="1"/>
    <xf numFmtId="0" fontId="18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6" fillId="0" borderId="0" xfId="0" applyFont="1"/>
    <xf numFmtId="0" fontId="16" fillId="18" borderId="13" xfId="0" applyFont="1" applyFill="1" applyBorder="1"/>
    <xf numFmtId="0" fontId="27" fillId="9" borderId="13" xfId="0" applyFont="1" applyFill="1" applyBorder="1"/>
    <xf numFmtId="0" fontId="46" fillId="9" borderId="0" xfId="0" applyFont="1" applyFill="1"/>
    <xf numFmtId="0" fontId="82" fillId="0" borderId="0" xfId="0" applyFont="1"/>
    <xf numFmtId="0" fontId="27" fillId="12" borderId="0" xfId="0" applyFont="1" applyFill="1"/>
    <xf numFmtId="0" fontId="27" fillId="12" borderId="0" xfId="0" applyFont="1" applyFill="1" applyAlignment="1">
      <alignment horizontal="center"/>
    </xf>
    <xf numFmtId="2" fontId="117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0" fontId="27" fillId="17" borderId="0" xfId="0" applyFont="1" applyFill="1"/>
    <xf numFmtId="0" fontId="145" fillId="0" borderId="0" xfId="0" applyFont="1"/>
    <xf numFmtId="0" fontId="0" fillId="0" borderId="0" xfId="0" applyFont="1"/>
    <xf numFmtId="164" fontId="147" fillId="8" borderId="0" xfId="0" applyNumberFormat="1" applyFont="1" applyFill="1" applyAlignment="1">
      <alignment horizontal="center"/>
    </xf>
    <xf numFmtId="164" fontId="146" fillId="8" borderId="0" xfId="0" applyNumberFormat="1" applyFont="1" applyFill="1" applyAlignment="1">
      <alignment horizontal="center"/>
    </xf>
    <xf numFmtId="0" fontId="0" fillId="0" borderId="0" xfId="0" quotePrefix="1"/>
    <xf numFmtId="0" fontId="62" fillId="18" borderId="0" xfId="0" applyFont="1" applyFill="1" applyAlignment="1">
      <alignment horizontal="left" vertical="center" wrapText="1"/>
    </xf>
    <xf numFmtId="0" fontId="16" fillId="18" borderId="0" xfId="0" applyFont="1" applyFill="1" applyAlignment="1">
      <alignment horizontal="left" vertical="center" wrapText="1"/>
    </xf>
    <xf numFmtId="0" fontId="19" fillId="21" borderId="0" xfId="0" applyFont="1" applyFill="1" applyAlignment="1">
      <alignment vertical="center" wrapText="1"/>
    </xf>
    <xf numFmtId="2" fontId="19" fillId="21" borderId="0" xfId="0" applyNumberFormat="1" applyFont="1" applyFill="1" applyAlignment="1">
      <alignment horizontal="center" vertical="center" wrapText="1"/>
    </xf>
    <xf numFmtId="199" fontId="19" fillId="21" borderId="0" xfId="0" applyNumberFormat="1" applyFont="1" applyFill="1" applyAlignment="1">
      <alignment horizontal="center" vertical="center" wrapText="1"/>
    </xf>
    <xf numFmtId="0" fontId="64" fillId="21" borderId="0" xfId="0" applyFont="1" applyFill="1" applyAlignment="1">
      <alignment vertical="center" wrapText="1"/>
    </xf>
    <xf numFmtId="0" fontId="19" fillId="9" borderId="0" xfId="0" applyFont="1" applyFill="1" applyAlignment="1">
      <alignment vertical="center" wrapText="1"/>
    </xf>
    <xf numFmtId="2" fontId="19" fillId="9" borderId="0" xfId="0" applyNumberFormat="1" applyFont="1" applyFill="1" applyAlignment="1">
      <alignment horizontal="center" vertical="center" wrapText="1"/>
    </xf>
    <xf numFmtId="199" fontId="19" fillId="9" borderId="0" xfId="0" applyNumberFormat="1" applyFont="1" applyFill="1" applyAlignment="1">
      <alignment horizontal="center" vertical="center" wrapText="1"/>
    </xf>
    <xf numFmtId="0" fontId="64" fillId="9" borderId="0" xfId="0" applyFont="1" applyFill="1" applyAlignment="1">
      <alignment vertical="center" wrapText="1"/>
    </xf>
    <xf numFmtId="0" fontId="64" fillId="0" borderId="0" xfId="0" applyFont="1" applyAlignment="1">
      <alignment vertical="center" wrapText="1"/>
    </xf>
    <xf numFmtId="0" fontId="65" fillId="23" borderId="0" xfId="0" applyFont="1" applyFill="1" applyAlignment="1">
      <alignment horizontal="left" vertical="center" wrapText="1"/>
    </xf>
    <xf numFmtId="2" fontId="23" fillId="21" borderId="0" xfId="0" applyNumberFormat="1" applyFont="1" applyFill="1" applyAlignment="1">
      <alignment horizontal="center" vertical="center" wrapText="1"/>
    </xf>
    <xf numFmtId="0" fontId="65" fillId="18" borderId="0" xfId="0" applyFont="1" applyFill="1" applyAlignment="1">
      <alignment horizontal="left" vertical="center" wrapText="1"/>
    </xf>
    <xf numFmtId="0" fontId="65" fillId="18" borderId="0" xfId="0" applyFont="1" applyFill="1" applyAlignment="1">
      <alignment horizontal="center" vertical="center" wrapText="1"/>
    </xf>
    <xf numFmtId="0" fontId="23" fillId="21" borderId="0" xfId="0" applyFont="1" applyFill="1" applyAlignment="1">
      <alignment vertical="center" wrapText="1"/>
    </xf>
    <xf numFmtId="164" fontId="23" fillId="21" borderId="0" xfId="0" applyNumberFormat="1" applyFont="1" applyFill="1" applyAlignment="1">
      <alignment horizontal="center" vertical="center" wrapText="1"/>
    </xf>
    <xf numFmtId="164" fontId="81" fillId="9" borderId="0" xfId="0" applyNumberFormat="1" applyFont="1" applyFill="1" applyAlignment="1">
      <alignment horizontal="center" vertical="center" wrapText="1"/>
    </xf>
    <xf numFmtId="0" fontId="64" fillId="9" borderId="0" xfId="0" quotePrefix="1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18" borderId="0" xfId="0" applyFont="1" applyFill="1" applyAlignment="1">
      <alignment vertical="center" wrapText="1"/>
    </xf>
    <xf numFmtId="2" fontId="20" fillId="21" borderId="0" xfId="0" applyNumberFormat="1" applyFont="1" applyFill="1" applyAlignment="1">
      <alignment horizontal="right" vertical="center" wrapText="1"/>
    </xf>
    <xf numFmtId="0" fontId="19" fillId="21" borderId="80" xfId="0" applyFont="1" applyFill="1" applyBorder="1" applyAlignment="1">
      <alignment horizontal="left" vertical="center" wrapText="1"/>
    </xf>
    <xf numFmtId="2" fontId="20" fillId="21" borderId="81" xfId="0" applyNumberFormat="1" applyFont="1" applyFill="1" applyBorder="1" applyAlignment="1">
      <alignment horizontal="right" vertical="center" wrapText="1"/>
    </xf>
    <xf numFmtId="0" fontId="19" fillId="21" borderId="82" xfId="0" applyFont="1" applyFill="1" applyBorder="1" applyAlignment="1">
      <alignment horizontal="left" vertical="center" wrapText="1"/>
    </xf>
    <xf numFmtId="171" fontId="25" fillId="21" borderId="83" xfId="0" applyNumberFormat="1" applyFont="1" applyFill="1" applyBorder="1" applyAlignment="1">
      <alignment horizontal="right" vertical="center" wrapText="1"/>
    </xf>
    <xf numFmtId="171" fontId="20" fillId="21" borderId="83" xfId="0" applyNumberFormat="1" applyFont="1" applyFill="1" applyBorder="1" applyAlignment="1">
      <alignment horizontal="right" vertical="center" wrapText="1"/>
    </xf>
    <xf numFmtId="0" fontId="19" fillId="21" borderId="84" xfId="0" applyFont="1" applyFill="1" applyBorder="1" applyAlignment="1">
      <alignment horizontal="left" vertical="center" wrapText="1"/>
    </xf>
    <xf numFmtId="178" fontId="20" fillId="21" borderId="83" xfId="0" applyNumberFormat="1" applyFont="1" applyFill="1" applyBorder="1" applyAlignment="1">
      <alignment horizontal="right" vertical="center" wrapText="1"/>
    </xf>
    <xf numFmtId="178" fontId="25" fillId="21" borderId="85" xfId="0" applyNumberFormat="1" applyFont="1" applyFill="1" applyBorder="1" applyAlignment="1">
      <alignment horizontal="right" vertical="center" wrapText="1"/>
    </xf>
    <xf numFmtId="0" fontId="65" fillId="18" borderId="86" xfId="0" applyFont="1" applyFill="1" applyBorder="1" applyAlignment="1">
      <alignment horizontal="left" vertical="center" wrapText="1"/>
    </xf>
    <xf numFmtId="0" fontId="65" fillId="18" borderId="86" xfId="0" applyFont="1" applyFill="1" applyBorder="1" applyAlignment="1">
      <alignment horizontal="center" vertical="center" wrapText="1"/>
    </xf>
    <xf numFmtId="0" fontId="65" fillId="18" borderId="89" xfId="0" applyFont="1" applyFill="1" applyBorder="1" applyAlignment="1">
      <alignment horizontal="left" vertical="center" wrapText="1"/>
    </xf>
    <xf numFmtId="0" fontId="19" fillId="21" borderId="89" xfId="0" applyFont="1" applyFill="1" applyBorder="1" applyAlignment="1">
      <alignment vertical="center" wrapText="1"/>
    </xf>
    <xf numFmtId="0" fontId="19" fillId="21" borderId="0" xfId="0" applyFont="1" applyFill="1" applyAlignment="1">
      <alignment horizontal="center" vertical="center" wrapText="1"/>
    </xf>
    <xf numFmtId="0" fontId="65" fillId="18" borderId="90" xfId="0" applyFont="1" applyFill="1" applyBorder="1" applyAlignment="1">
      <alignment horizontal="left" vertical="center" wrapText="1"/>
    </xf>
    <xf numFmtId="0" fontId="64" fillId="21" borderId="90" xfId="0" applyFont="1" applyFill="1" applyBorder="1" applyAlignment="1">
      <alignment vertical="center" wrapText="1"/>
    </xf>
    <xf numFmtId="0" fontId="19" fillId="9" borderId="91" xfId="0" applyFont="1" applyFill="1" applyBorder="1" applyAlignment="1">
      <alignment vertical="center" wrapText="1"/>
    </xf>
    <xf numFmtId="0" fontId="19" fillId="9" borderId="0" xfId="0" applyFont="1" applyFill="1" applyAlignment="1">
      <alignment horizontal="center" vertical="center" wrapText="1"/>
    </xf>
    <xf numFmtId="0" fontId="64" fillId="9" borderId="92" xfId="0" applyFont="1" applyFill="1" applyBorder="1" applyAlignment="1">
      <alignment vertical="center" wrapText="1"/>
    </xf>
    <xf numFmtId="0" fontId="19" fillId="21" borderId="91" xfId="0" applyFont="1" applyFill="1" applyBorder="1" applyAlignment="1">
      <alignment vertical="center" wrapText="1"/>
    </xf>
    <xf numFmtId="0" fontId="64" fillId="21" borderId="92" xfId="0" applyFont="1" applyFill="1" applyBorder="1" applyAlignment="1">
      <alignment vertical="center" wrapText="1"/>
    </xf>
    <xf numFmtId="0" fontId="23" fillId="8" borderId="93" xfId="0" applyFont="1" applyFill="1" applyBorder="1" applyAlignment="1">
      <alignment vertical="center" wrapText="1"/>
    </xf>
    <xf numFmtId="0" fontId="23" fillId="8" borderId="94" xfId="0" applyFont="1" applyFill="1" applyBorder="1" applyAlignment="1">
      <alignment vertical="center" wrapText="1"/>
    </xf>
    <xf numFmtId="2" fontId="23" fillId="8" borderId="93" xfId="0" applyNumberFormat="1" applyFont="1" applyFill="1" applyBorder="1" applyAlignment="1">
      <alignment horizontal="center" vertical="center" wrapText="1"/>
    </xf>
    <xf numFmtId="199" fontId="19" fillId="9" borderId="0" xfId="0" applyNumberFormat="1" applyFont="1" applyFill="1" applyBorder="1" applyAlignment="1">
      <alignment horizontal="center" vertical="center" wrapText="1"/>
    </xf>
    <xf numFmtId="164" fontId="23" fillId="8" borderId="93" xfId="0" applyNumberFormat="1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 vertical="center" wrapText="1"/>
    </xf>
    <xf numFmtId="0" fontId="23" fillId="8" borderId="93" xfId="0" applyFont="1" applyFill="1" applyBorder="1" applyAlignment="1">
      <alignment horizontal="center" vertical="center" wrapText="1"/>
    </xf>
    <xf numFmtId="0" fontId="82" fillId="8" borderId="95" xfId="0" applyFont="1" applyFill="1" applyBorder="1" applyAlignment="1">
      <alignment vertical="center" wrapText="1"/>
    </xf>
    <xf numFmtId="0" fontId="48" fillId="15" borderId="87" xfId="0" applyFont="1" applyFill="1" applyBorder="1" applyAlignment="1">
      <alignment horizontal="left" vertical="center" wrapText="1"/>
    </xf>
    <xf numFmtId="0" fontId="0" fillId="15" borderId="86" xfId="0" applyFont="1" applyFill="1" applyBorder="1" applyAlignment="1">
      <alignment vertical="center" wrapText="1"/>
    </xf>
    <xf numFmtId="0" fontId="0" fillId="15" borderId="88" xfId="0" applyFont="1" applyFill="1" applyBorder="1" applyAlignment="1">
      <alignment vertical="center" wrapText="1"/>
    </xf>
    <xf numFmtId="1" fontId="20" fillId="21" borderId="0" xfId="0" applyNumberFormat="1" applyFont="1" applyFill="1" applyAlignment="1">
      <alignment horizontal="right" vertical="center" wrapText="1"/>
    </xf>
    <xf numFmtId="164" fontId="20" fillId="9" borderId="0" xfId="0" applyNumberFormat="1" applyFont="1" applyFill="1" applyAlignment="1">
      <alignment horizontal="right" vertical="center" wrapText="1"/>
    </xf>
    <xf numFmtId="164" fontId="20" fillId="21" borderId="0" xfId="0" applyNumberFormat="1" applyFont="1" applyFill="1" applyAlignment="1">
      <alignment horizontal="right" vertical="center" wrapText="1"/>
    </xf>
    <xf numFmtId="164" fontId="20" fillId="21" borderId="0" xfId="0" applyNumberFormat="1" applyFont="1" applyFill="1" applyBorder="1" applyAlignment="1">
      <alignment horizontal="right" vertical="center" wrapText="1"/>
    </xf>
    <xf numFmtId="2" fontId="23" fillId="8" borderId="93" xfId="0" applyNumberFormat="1" applyFont="1" applyFill="1" applyBorder="1" applyAlignment="1">
      <alignment horizontal="right" vertical="center" wrapText="1"/>
    </xf>
    <xf numFmtId="0" fontId="82" fillId="8" borderId="93" xfId="0" quotePrefix="1" applyFont="1" applyFill="1" applyBorder="1" applyAlignment="1">
      <alignment vertical="center" wrapText="1"/>
    </xf>
    <xf numFmtId="0" fontId="48" fillId="16" borderId="87" xfId="0" applyFont="1" applyFill="1" applyBorder="1" applyAlignment="1">
      <alignment horizontal="left" vertical="center" wrapText="1"/>
    </xf>
    <xf numFmtId="0" fontId="0" fillId="16" borderId="86" xfId="0" applyFont="1" applyFill="1" applyBorder="1" applyAlignment="1">
      <alignment vertical="center" wrapText="1"/>
    </xf>
    <xf numFmtId="0" fontId="0" fillId="16" borderId="88" xfId="0" applyFont="1" applyFill="1" applyBorder="1" applyAlignment="1">
      <alignment vertical="center" wrapText="1"/>
    </xf>
    <xf numFmtId="175" fontId="20" fillId="21" borderId="0" xfId="0" applyNumberFormat="1" applyFont="1" applyFill="1" applyAlignment="1">
      <alignment horizontal="right" vertical="center" wrapText="1"/>
    </xf>
    <xf numFmtId="2" fontId="20" fillId="9" borderId="0" xfId="0" applyNumberFormat="1" applyFont="1" applyFill="1" applyAlignment="1">
      <alignment horizontal="right" vertical="center" wrapText="1"/>
    </xf>
    <xf numFmtId="170" fontId="20" fillId="21" borderId="0" xfId="0" applyNumberFormat="1" applyFont="1" applyFill="1" applyAlignment="1">
      <alignment horizontal="right" vertical="center" wrapText="1"/>
    </xf>
    <xf numFmtId="170" fontId="20" fillId="9" borderId="0" xfId="0" applyNumberFormat="1" applyFont="1" applyFill="1" applyBorder="1" applyAlignment="1">
      <alignment horizontal="right" vertical="center" wrapText="1"/>
    </xf>
    <xf numFmtId="0" fontId="82" fillId="8" borderId="95" xfId="0" quotePrefix="1" applyFont="1" applyFill="1" applyBorder="1" applyAlignment="1">
      <alignment vertical="center" wrapText="1"/>
    </xf>
    <xf numFmtId="0" fontId="0" fillId="23" borderId="0" xfId="0" applyFont="1" applyFill="1" applyAlignment="1">
      <alignment vertical="center" wrapText="1"/>
    </xf>
    <xf numFmtId="1" fontId="20" fillId="9" borderId="0" xfId="0" applyNumberFormat="1" applyFont="1" applyFill="1" applyAlignment="1">
      <alignment horizontal="right" vertical="center" wrapText="1"/>
    </xf>
    <xf numFmtId="170" fontId="19" fillId="9" borderId="0" xfId="0" applyNumberFormat="1" applyFont="1" applyFill="1" applyAlignment="1">
      <alignment horizontal="right" vertical="center" wrapText="1"/>
    </xf>
    <xf numFmtId="200" fontId="19" fillId="21" borderId="0" xfId="0" applyNumberFormat="1" applyFont="1" applyFill="1" applyAlignment="1">
      <alignment horizontal="right" vertical="center" wrapText="1"/>
    </xf>
    <xf numFmtId="169" fontId="20" fillId="9" borderId="0" xfId="0" applyNumberFormat="1" applyFont="1" applyFill="1" applyAlignment="1">
      <alignment horizontal="right" vertical="center" wrapText="1"/>
    </xf>
    <xf numFmtId="2" fontId="19" fillId="21" borderId="0" xfId="0" applyNumberFormat="1" applyFont="1" applyFill="1" applyAlignment="1">
      <alignment horizontal="right" vertical="center" wrapText="1"/>
    </xf>
    <xf numFmtId="169" fontId="20" fillId="21" borderId="0" xfId="0" applyNumberFormat="1" applyFont="1" applyFill="1" applyAlignment="1">
      <alignment horizontal="right" vertical="center" wrapText="1"/>
    </xf>
    <xf numFmtId="2" fontId="23" fillId="19" borderId="0" xfId="0" applyNumberFormat="1" applyFont="1" applyFill="1" applyAlignment="1">
      <alignment horizontal="center" vertical="center" wrapText="1"/>
    </xf>
    <xf numFmtId="0" fontId="48" fillId="17" borderId="87" xfId="0" applyFont="1" applyFill="1" applyBorder="1" applyAlignment="1">
      <alignment horizontal="left" vertical="center" wrapText="1"/>
    </xf>
    <xf numFmtId="0" fontId="0" fillId="17" borderId="86" xfId="0" applyFont="1" applyFill="1" applyBorder="1" applyAlignment="1">
      <alignment vertical="center" wrapText="1"/>
    </xf>
    <xf numFmtId="0" fontId="0" fillId="17" borderId="88" xfId="0" applyFont="1" applyFill="1" applyBorder="1" applyAlignment="1">
      <alignment vertical="center" wrapText="1"/>
    </xf>
    <xf numFmtId="201" fontId="20" fillId="21" borderId="0" xfId="0" applyNumberFormat="1" applyFont="1" applyFill="1" applyAlignment="1">
      <alignment horizontal="right" vertical="center" wrapText="1"/>
    </xf>
    <xf numFmtId="164" fontId="20" fillId="9" borderId="0" xfId="0" applyNumberFormat="1" applyFont="1" applyFill="1" applyBorder="1" applyAlignment="1">
      <alignment horizontal="right" vertical="center" wrapText="1"/>
    </xf>
    <xf numFmtId="190" fontId="19" fillId="21" borderId="79" xfId="0" applyNumberFormat="1" applyFont="1" applyFill="1" applyBorder="1" applyAlignment="1">
      <alignment horizontal="right" vertical="center" wrapText="1"/>
    </xf>
    <xf numFmtId="190" fontId="19" fillId="9" borderId="92" xfId="0" applyNumberFormat="1" applyFont="1" applyFill="1" applyBorder="1" applyAlignment="1">
      <alignment horizontal="right" vertical="center" wrapText="1"/>
    </xf>
    <xf numFmtId="190" fontId="23" fillId="8" borderId="79" xfId="0" applyNumberFormat="1" applyFont="1" applyFill="1" applyBorder="1" applyAlignment="1">
      <alignment horizontal="right" vertical="center" wrapText="1"/>
    </xf>
    <xf numFmtId="0" fontId="23" fillId="8" borderId="89" xfId="0" applyFont="1" applyFill="1" applyBorder="1" applyAlignment="1">
      <alignment vertical="center" wrapText="1"/>
    </xf>
    <xf numFmtId="0" fontId="19" fillId="21" borderId="97" xfId="0" applyFont="1" applyFill="1" applyBorder="1" applyAlignment="1">
      <alignment vertical="center" wrapText="1"/>
    </xf>
    <xf numFmtId="190" fontId="19" fillId="21" borderId="96" xfId="0" applyNumberFormat="1" applyFont="1" applyFill="1" applyBorder="1" applyAlignment="1">
      <alignment horizontal="right" vertical="center" wrapText="1"/>
    </xf>
    <xf numFmtId="9" fontId="81" fillId="21" borderId="0" xfId="0" applyNumberFormat="1" applyFont="1" applyFill="1" applyAlignment="1">
      <alignment horizontal="center" vertical="center" wrapText="1"/>
    </xf>
    <xf numFmtId="198" fontId="101" fillId="9" borderId="0" xfId="0" applyNumberFormat="1" applyFont="1" applyFill="1" applyAlignment="1">
      <alignment horizontal="center" vertical="center" wrapText="1"/>
    </xf>
    <xf numFmtId="2" fontId="97" fillId="21" borderId="0" xfId="0" applyNumberFormat="1" applyFont="1" applyFill="1" applyAlignment="1">
      <alignment horizontal="center" vertical="center" wrapText="1"/>
    </xf>
    <xf numFmtId="2" fontId="23" fillId="8" borderId="98" xfId="0" applyNumberFormat="1" applyFont="1" applyFill="1" applyBorder="1" applyAlignment="1">
      <alignment horizontal="center" vertical="center" wrapText="1"/>
    </xf>
    <xf numFmtId="2" fontId="25" fillId="21" borderId="0" xfId="0" applyNumberFormat="1" applyFont="1" applyFill="1" applyAlignment="1">
      <alignment horizontal="center" vertical="center" wrapText="1"/>
    </xf>
    <xf numFmtId="199" fontId="149" fillId="8" borderId="93" xfId="0" applyNumberFormat="1" applyFont="1" applyFill="1" applyBorder="1" applyAlignment="1">
      <alignment horizontal="center" vertical="center" wrapText="1"/>
    </xf>
    <xf numFmtId="178" fontId="25" fillId="21" borderId="0" xfId="0" applyNumberFormat="1" applyFont="1" applyFill="1" applyAlignment="1">
      <alignment horizontal="center" vertical="center" wrapText="1"/>
    </xf>
    <xf numFmtId="178" fontId="25" fillId="9" borderId="0" xfId="0" applyNumberFormat="1" applyFont="1" applyFill="1" applyAlignment="1">
      <alignment horizontal="center" vertical="center" wrapText="1"/>
    </xf>
    <xf numFmtId="199" fontId="150" fillId="21" borderId="0" xfId="0" applyNumberFormat="1" applyFont="1" applyFill="1" applyAlignment="1">
      <alignment horizontal="center" vertical="center" wrapText="1"/>
    </xf>
    <xf numFmtId="190" fontId="19" fillId="9" borderId="0" xfId="0" applyNumberFormat="1" applyFont="1" applyFill="1" applyAlignment="1">
      <alignment horizontal="center" vertical="center" wrapText="1"/>
    </xf>
    <xf numFmtId="199" fontId="21" fillId="8" borderId="93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202" fontId="0" fillId="0" borderId="0" xfId="0" applyNumberFormat="1"/>
    <xf numFmtId="2" fontId="19" fillId="15" borderId="0" xfId="0" applyNumberFormat="1" applyFont="1" applyFill="1" applyAlignment="1">
      <alignment horizontal="right"/>
    </xf>
    <xf numFmtId="2" fontId="19" fillId="16" borderId="0" xfId="0" applyNumberFormat="1" applyFont="1" applyFill="1" applyAlignment="1">
      <alignment horizontal="right"/>
    </xf>
    <xf numFmtId="2" fontId="19" fillId="17" borderId="0" xfId="0" applyNumberFormat="1" applyFont="1" applyFill="1" applyAlignment="1">
      <alignment horizontal="right"/>
    </xf>
    <xf numFmtId="189" fontId="23" fillId="22" borderId="0" xfId="0" applyNumberFormat="1" applyFont="1" applyFill="1" applyAlignment="1">
      <alignment horizontal="center"/>
    </xf>
    <xf numFmtId="0" fontId="91" fillId="0" borderId="0" xfId="0" applyFont="1" applyAlignment="1">
      <alignment wrapText="1"/>
    </xf>
    <xf numFmtId="0" fontId="64" fillId="0" borderId="0" xfId="0" applyFont="1" applyAlignment="1">
      <alignment vertical="center"/>
    </xf>
    <xf numFmtId="0" fontId="64" fillId="21" borderId="0" xfId="0" applyFont="1" applyFill="1" applyAlignment="1">
      <alignment vertical="center"/>
    </xf>
    <xf numFmtId="0" fontId="64" fillId="9" borderId="0" xfId="0" applyFont="1" applyFill="1" applyAlignment="1">
      <alignment vertical="center"/>
    </xf>
    <xf numFmtId="0" fontId="64" fillId="21" borderId="0" xfId="0" applyFont="1" applyFill="1" applyBorder="1" applyAlignment="1">
      <alignment vertical="center"/>
    </xf>
    <xf numFmtId="0" fontId="82" fillId="8" borderId="93" xfId="0" quotePrefix="1" applyFont="1" applyFill="1" applyBorder="1" applyAlignment="1">
      <alignment vertical="center"/>
    </xf>
    <xf numFmtId="0" fontId="64" fillId="9" borderId="0" xfId="0" applyFont="1" applyFill="1" applyBorder="1" applyAlignment="1">
      <alignment vertical="center"/>
    </xf>
    <xf numFmtId="0" fontId="13" fillId="24" borderId="0" xfId="0" applyFont="1" applyFill="1" applyBorder="1" applyAlignment="1">
      <alignment horizontal="center" vertical="center"/>
    </xf>
    <xf numFmtId="164" fontId="152" fillId="0" borderId="0" xfId="0" applyNumberFormat="1" applyFont="1"/>
    <xf numFmtId="170" fontId="152" fillId="0" borderId="0" xfId="0" applyNumberFormat="1" applyFont="1"/>
    <xf numFmtId="0" fontId="27" fillId="24" borderId="0" xfId="0" applyFont="1" applyFill="1" applyAlignment="1">
      <alignment horizontal="center"/>
    </xf>
    <xf numFmtId="0" fontId="64" fillId="21" borderId="0" xfId="0" quotePrefix="1" applyFont="1" applyFill="1" applyAlignment="1">
      <alignment vertical="center"/>
    </xf>
    <xf numFmtId="164" fontId="11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64" fontId="41" fillId="0" borderId="0" xfId="0" applyNumberFormat="1" applyFont="1" applyAlignment="1">
      <alignment horizontal="center"/>
    </xf>
    <xf numFmtId="0" fontId="27" fillId="12" borderId="0" xfId="0" applyFont="1" applyFill="1" applyAlignment="1">
      <alignment horizontal="right"/>
    </xf>
    <xf numFmtId="164" fontId="27" fillId="8" borderId="0" xfId="0" applyNumberFormat="1" applyFont="1" applyFill="1"/>
    <xf numFmtId="0" fontId="65" fillId="18" borderId="0" xfId="0" applyFont="1" applyFill="1" applyAlignment="1">
      <alignment horizontal="center" vertical="center"/>
    </xf>
    <xf numFmtId="0" fontId="148" fillId="8" borderId="93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18" borderId="0" xfId="0" applyFont="1" applyFill="1" applyAlignment="1">
      <alignment vertical="center"/>
    </xf>
    <xf numFmtId="0" fontId="65" fillId="18" borderId="0" xfId="0" applyFont="1" applyFill="1" applyAlignment="1">
      <alignment horizontal="left" vertical="center"/>
    </xf>
    <xf numFmtId="0" fontId="82" fillId="8" borderId="93" xfId="0" applyFont="1" applyFill="1" applyBorder="1" applyAlignment="1">
      <alignment vertical="center"/>
    </xf>
    <xf numFmtId="173" fontId="27" fillId="17" borderId="0" xfId="0" applyNumberFormat="1" applyFont="1" applyFill="1"/>
    <xf numFmtId="164" fontId="27" fillId="17" borderId="0" xfId="0" applyNumberFormat="1" applyFont="1" applyFill="1"/>
    <xf numFmtId="0" fontId="23" fillId="15" borderId="0" xfId="0" applyFont="1" applyFill="1"/>
    <xf numFmtId="0" fontId="153" fillId="0" borderId="0" xfId="0" applyFont="1"/>
    <xf numFmtId="0" fontId="96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144" fillId="0" borderId="0" xfId="0" applyFont="1" applyAlignment="1">
      <alignment vertical="center"/>
    </xf>
    <xf numFmtId="0" fontId="151" fillId="0" borderId="0" xfId="0" applyFont="1" applyAlignment="1"/>
    <xf numFmtId="0" fontId="64" fillId="21" borderId="89" xfId="0" applyFont="1" applyFill="1" applyBorder="1" applyAlignment="1">
      <alignment vertical="center"/>
    </xf>
    <xf numFmtId="0" fontId="82" fillId="8" borderId="89" xfId="0" applyFont="1" applyFill="1" applyBorder="1" applyAlignment="1">
      <alignment vertical="center"/>
    </xf>
    <xf numFmtId="0" fontId="64" fillId="21" borderId="97" xfId="0" applyFont="1" applyFill="1" applyBorder="1" applyAlignment="1">
      <alignment vertical="center"/>
    </xf>
    <xf numFmtId="0" fontId="29" fillId="0" borderId="0" xfId="0" applyFont="1"/>
    <xf numFmtId="0" fontId="154" fillId="0" borderId="0" xfId="0" applyFont="1"/>
    <xf numFmtId="0" fontId="53" fillId="0" borderId="0" xfId="0" applyFont="1"/>
    <xf numFmtId="173" fontId="0" fillId="0" borderId="0" xfId="0" applyNumberFormat="1" applyFont="1" applyAlignment="1">
      <alignment horizontal="right"/>
    </xf>
    <xf numFmtId="173" fontId="27" fillId="8" borderId="0" xfId="0" applyNumberFormat="1" applyFont="1" applyFill="1" applyAlignment="1">
      <alignment horizontal="right"/>
    </xf>
    <xf numFmtId="173" fontId="27" fillId="17" borderId="0" xfId="0" applyNumberFormat="1" applyFont="1" applyFill="1" applyAlignment="1">
      <alignment horizontal="right"/>
    </xf>
    <xf numFmtId="173" fontId="60" fillId="0" borderId="0" xfId="0" applyNumberFormat="1" applyFont="1" applyAlignment="1">
      <alignment horizontal="right"/>
    </xf>
    <xf numFmtId="0" fontId="27" fillId="15" borderId="0" xfId="0" applyFont="1" applyFill="1"/>
    <xf numFmtId="204" fontId="27" fillId="15" borderId="0" xfId="0" applyNumberFormat="1" applyFont="1" applyFill="1" applyAlignment="1">
      <alignment horizontal="right"/>
    </xf>
    <xf numFmtId="199" fontId="66" fillId="0" borderId="0" xfId="0" applyNumberFormat="1" applyFont="1" applyAlignment="1">
      <alignment horizontal="right"/>
    </xf>
    <xf numFmtId="0" fontId="22" fillId="9" borderId="20" xfId="0" applyFont="1" applyFill="1" applyBorder="1" applyAlignment="1">
      <alignment wrapText="1"/>
    </xf>
    <xf numFmtId="0" fontId="116" fillId="10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89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right" vertical="center"/>
    </xf>
    <xf numFmtId="0" fontId="29" fillId="12" borderId="0" xfId="0" applyFont="1" applyFill="1"/>
    <xf numFmtId="0" fontId="47" fillId="0" borderId="0" xfId="0" applyFont="1" applyAlignment="1">
      <alignment horizontal="left" vertical="center" wrapText="1"/>
    </xf>
    <xf numFmtId="173" fontId="47" fillId="0" borderId="0" xfId="0" applyNumberFormat="1" applyFont="1" applyAlignment="1">
      <alignment horizontal="right" vertical="center"/>
    </xf>
    <xf numFmtId="173" fontId="155" fillId="0" borderId="0" xfId="0" applyNumberFormat="1" applyFont="1" applyAlignment="1">
      <alignment horizontal="right" vertical="center" wrapText="1"/>
    </xf>
    <xf numFmtId="0" fontId="156" fillId="0" borderId="0" xfId="0" applyFont="1" applyAlignment="1">
      <alignment horizontal="right" vertical="center" wrapText="1"/>
    </xf>
    <xf numFmtId="168" fontId="156" fillId="0" borderId="0" xfId="0" applyNumberFormat="1" applyFont="1" applyAlignment="1">
      <alignment horizontal="right" vertical="center"/>
    </xf>
    <xf numFmtId="0" fontId="139" fillId="10" borderId="0" xfId="0" applyFont="1" applyFill="1" applyAlignment="1">
      <alignment horizontal="left" vertical="center" indent="1"/>
    </xf>
    <xf numFmtId="0" fontId="6" fillId="12" borderId="0" xfId="0" applyFont="1" applyFill="1" applyAlignment="1">
      <alignment horizontal="left" vertical="center" wrapText="1"/>
    </xf>
    <xf numFmtId="164" fontId="158" fillId="12" borderId="0" xfId="0" applyNumberFormat="1" applyFont="1" applyFill="1" applyAlignment="1">
      <alignment horizontal="center" vertical="center"/>
    </xf>
    <xf numFmtId="164" fontId="131" fillId="0" borderId="0" xfId="0" applyNumberFormat="1" applyFont="1" applyAlignment="1">
      <alignment horizontal="center" vertical="center"/>
    </xf>
    <xf numFmtId="173" fontId="47" fillId="5" borderId="0" xfId="0" applyNumberFormat="1" applyFont="1" applyFill="1" applyAlignment="1">
      <alignment horizontal="right" vertical="center"/>
    </xf>
    <xf numFmtId="173" fontId="155" fillId="0" borderId="0" xfId="0" applyNumberFormat="1" applyFont="1" applyAlignment="1">
      <alignment horizontal="right" vertical="center"/>
    </xf>
    <xf numFmtId="204" fontId="0" fillId="0" borderId="0" xfId="0" applyNumberFormat="1" applyFont="1" applyAlignment="1">
      <alignment horizontal="right"/>
    </xf>
    <xf numFmtId="199" fontId="0" fillId="0" borderId="0" xfId="0" applyNumberFormat="1" applyFont="1" applyAlignment="1">
      <alignment horizontal="right"/>
    </xf>
    <xf numFmtId="164" fontId="27" fillId="8" borderId="0" xfId="0" applyNumberFormat="1" applyFont="1" applyFill="1" applyAlignment="1">
      <alignment horizontal="center"/>
    </xf>
    <xf numFmtId="204" fontId="27" fillId="8" borderId="0" xfId="0" applyNumberFormat="1" applyFont="1" applyFill="1" applyAlignment="1">
      <alignment horizontal="right"/>
    </xf>
    <xf numFmtId="199" fontId="27" fillId="8" borderId="0" xfId="0" applyNumberFormat="1" applyFont="1" applyFill="1" applyAlignment="1">
      <alignment horizontal="right"/>
    </xf>
    <xf numFmtId="173" fontId="26" fillId="0" borderId="0" xfId="0" applyNumberFormat="1" applyFont="1" applyAlignment="1">
      <alignment horizontal="right"/>
    </xf>
    <xf numFmtId="0" fontId="64" fillId="9" borderId="0" xfId="0" applyFont="1" applyFill="1" applyBorder="1"/>
    <xf numFmtId="0" fontId="0" fillId="9" borderId="0" xfId="0" applyFont="1" applyFill="1" applyBorder="1"/>
    <xf numFmtId="175" fontId="0" fillId="9" borderId="0" xfId="0" applyNumberFormat="1" applyFont="1" applyFill="1" applyBorder="1" applyAlignment="1">
      <alignment horizontal="right"/>
    </xf>
    <xf numFmtId="0" fontId="0" fillId="9" borderId="0" xfId="0" quotePrefix="1" applyFont="1" applyFill="1" applyBorder="1" applyAlignment="1">
      <alignment horizontal="center"/>
    </xf>
    <xf numFmtId="0" fontId="27" fillId="9" borderId="0" xfId="0" applyFont="1" applyFill="1" applyBorder="1" applyAlignment="1">
      <alignment horizontal="center"/>
    </xf>
    <xf numFmtId="168" fontId="6" fillId="12" borderId="0" xfId="0" applyNumberFormat="1" applyFont="1" applyFill="1" applyAlignment="1">
      <alignment horizontal="right" vertical="center" wrapText="1"/>
    </xf>
    <xf numFmtId="164" fontId="158" fillId="12" borderId="0" xfId="0" applyNumberFormat="1" applyFont="1" applyFill="1" applyAlignment="1">
      <alignment horizontal="right" vertical="center" wrapText="1"/>
    </xf>
    <xf numFmtId="0" fontId="27" fillId="12" borderId="0" xfId="0" applyFont="1" applyFill="1" applyAlignment="1">
      <alignment horizontal="right" wrapText="1"/>
    </xf>
    <xf numFmtId="0" fontId="157" fillId="19" borderId="0" xfId="0" applyFont="1" applyFill="1" applyAlignment="1">
      <alignment horizontal="center" vertical="center" wrapText="1"/>
    </xf>
    <xf numFmtId="0" fontId="116" fillId="10" borderId="0" xfId="0" applyFont="1" applyFill="1"/>
    <xf numFmtId="0" fontId="30" fillId="12" borderId="10" xfId="0" applyFont="1" applyFill="1" applyBorder="1"/>
    <xf numFmtId="10" fontId="23" fillId="8" borderId="8" xfId="0" applyNumberFormat="1" applyFont="1" applyFill="1" applyBorder="1" applyAlignment="1">
      <alignment horizontal="center"/>
    </xf>
    <xf numFmtId="169" fontId="23" fillId="12" borderId="11" xfId="0" applyNumberFormat="1" applyFont="1" applyFill="1" applyBorder="1" applyAlignment="1">
      <alignment horizontal="center"/>
    </xf>
    <xf numFmtId="169" fontId="23" fillId="8" borderId="11" xfId="0" applyNumberFormat="1" applyFont="1" applyFill="1" applyBorder="1" applyAlignment="1">
      <alignment horizontal="center"/>
    </xf>
    <xf numFmtId="169" fontId="23" fillId="12" borderId="12" xfId="0" applyNumberFormat="1" applyFont="1" applyFill="1" applyBorder="1" applyAlignment="1">
      <alignment horizontal="center"/>
    </xf>
    <xf numFmtId="164" fontId="23" fillId="12" borderId="11" xfId="0" applyNumberFormat="1" applyFont="1" applyFill="1" applyBorder="1" applyAlignment="1">
      <alignment horizontal="center"/>
    </xf>
    <xf numFmtId="164" fontId="23" fillId="8" borderId="11" xfId="0" applyNumberFormat="1" applyFont="1" applyFill="1" applyBorder="1" applyAlignment="1">
      <alignment horizontal="center"/>
    </xf>
    <xf numFmtId="164" fontId="23" fillId="12" borderId="12" xfId="0" applyNumberFormat="1" applyFont="1" applyFill="1" applyBorder="1" applyAlignment="1">
      <alignment horizontal="center"/>
    </xf>
    <xf numFmtId="2" fontId="23" fillId="8" borderId="8" xfId="0" applyNumberFormat="1" applyFont="1" applyFill="1" applyBorder="1" applyAlignment="1">
      <alignment horizontal="center"/>
    </xf>
    <xf numFmtId="164" fontId="27" fillId="12" borderId="11" xfId="0" applyNumberFormat="1" applyFont="1" applyFill="1" applyBorder="1" applyAlignment="1">
      <alignment horizontal="center"/>
    </xf>
    <xf numFmtId="164" fontId="27" fillId="8" borderId="11" xfId="0" applyNumberFormat="1" applyFont="1" applyFill="1" applyBorder="1" applyAlignment="1">
      <alignment horizontal="center"/>
    </xf>
    <xf numFmtId="164" fontId="27" fillId="12" borderId="12" xfId="0" applyNumberFormat="1" applyFont="1" applyFill="1" applyBorder="1" applyAlignment="1">
      <alignment horizontal="center"/>
    </xf>
    <xf numFmtId="0" fontId="132" fillId="1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34" fillId="11" borderId="0" xfId="0" applyNumberFormat="1" applyFont="1" applyFill="1" applyAlignment="1">
      <alignment horizontal="center"/>
    </xf>
    <xf numFmtId="164" fontId="34" fillId="8" borderId="0" xfId="0" applyNumberFormat="1" applyFont="1" applyFill="1" applyAlignment="1">
      <alignment horizontal="center"/>
    </xf>
    <xf numFmtId="9" fontId="117" fillId="0" borderId="0" xfId="0" applyNumberFormat="1" applyFont="1" applyAlignment="1">
      <alignment horizontal="center"/>
    </xf>
    <xf numFmtId="9" fontId="41" fillId="8" borderId="0" xfId="0" applyNumberFormat="1" applyFont="1" applyFill="1" applyAlignment="1">
      <alignment horizontal="center"/>
    </xf>
    <xf numFmtId="9" fontId="41" fillId="12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17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73" fontId="27" fillId="8" borderId="0" xfId="0" applyNumberFormat="1" applyFont="1" applyFill="1" applyAlignment="1">
      <alignment wrapText="1"/>
    </xf>
    <xf numFmtId="164" fontId="27" fillId="8" borderId="0" xfId="0" applyNumberFormat="1" applyFont="1" applyFill="1" applyAlignment="1">
      <alignment wrapText="1"/>
    </xf>
    <xf numFmtId="171" fontId="27" fillId="0" borderId="0" xfId="0" applyNumberFormat="1" applyFont="1" applyAlignment="1">
      <alignment horizontal="center"/>
    </xf>
    <xf numFmtId="171" fontId="27" fillId="8" borderId="0" xfId="0" applyNumberFormat="1" applyFont="1" applyFill="1" applyAlignment="1">
      <alignment horizontal="center"/>
    </xf>
    <xf numFmtId="2" fontId="27" fillId="8" borderId="0" xfId="0" applyNumberFormat="1" applyFont="1" applyFill="1" applyAlignment="1">
      <alignment horizontal="center"/>
    </xf>
    <xf numFmtId="171" fontId="0" fillId="0" borderId="0" xfId="0" applyNumberForma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139" fillId="10" borderId="0" xfId="0" applyFont="1" applyFill="1" applyAlignment="1">
      <alignment horizontal="center"/>
    </xf>
    <xf numFmtId="0" fontId="60" fillId="0" borderId="0" xfId="0" applyFont="1" applyAlignment="1">
      <alignment wrapText="1"/>
    </xf>
    <xf numFmtId="0" fontId="27" fillId="8" borderId="0" xfId="0" applyFont="1" applyFill="1" applyAlignment="1">
      <alignment wrapText="1"/>
    </xf>
    <xf numFmtId="0" fontId="27" fillId="12" borderId="0" xfId="0" applyFont="1" applyFill="1" applyAlignment="1">
      <alignment wrapText="1"/>
    </xf>
    <xf numFmtId="0" fontId="27" fillId="12" borderId="0" xfId="0" applyFont="1" applyFill="1" applyAlignment="1">
      <alignment horizontal="center" wrapText="1"/>
    </xf>
    <xf numFmtId="171" fontId="27" fillId="17" borderId="0" xfId="0" applyNumberFormat="1" applyFont="1" applyFill="1"/>
    <xf numFmtId="179" fontId="27" fillId="17" borderId="0" xfId="0" applyNumberFormat="1" applyFont="1" applyFill="1"/>
    <xf numFmtId="0" fontId="67" fillId="0" borderId="0" xfId="0" applyFont="1" applyFill="1" applyBorder="1"/>
    <xf numFmtId="0" fontId="116" fillId="18" borderId="0" xfId="0" applyFont="1" applyFill="1"/>
    <xf numFmtId="9" fontId="0" fillId="0" borderId="0" xfId="0" applyNumberFormat="1"/>
    <xf numFmtId="9" fontId="27" fillId="8" borderId="0" xfId="0" applyNumberFormat="1" applyFont="1" applyFill="1"/>
    <xf numFmtId="9" fontId="27" fillId="12" borderId="0" xfId="0" applyNumberFormat="1" applyFont="1" applyFill="1" applyAlignment="1">
      <alignment horizontal="center"/>
    </xf>
    <xf numFmtId="9" fontId="27" fillId="8" borderId="0" xfId="0" applyNumberFormat="1" applyFont="1" applyFill="1" applyAlignment="1">
      <alignment horizontal="center"/>
    </xf>
    <xf numFmtId="0" fontId="159" fillId="8" borderId="62" xfId="0" applyFont="1" applyFill="1" applyBorder="1"/>
    <xf numFmtId="0" fontId="116" fillId="10" borderId="0" xfId="0" applyFont="1" applyFill="1" applyBorder="1"/>
    <xf numFmtId="0" fontId="23" fillId="12" borderId="0" xfId="0" applyFont="1" applyFill="1" applyAlignment="1">
      <alignment wrapText="1"/>
    </xf>
  </cellXfs>
  <cellStyles count="1">
    <cellStyle name="Normal" xfId="0" builtinId="0"/>
  </cellStyles>
  <dxfs count="16"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</dxfs>
  <tableStyles count="0" defaultTableStyle="TableStyleMedium9" defaultPivotStyle="PivotStyleLight16"/>
  <colors>
    <mruColors>
      <color rgb="FFD9E1F2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WHOOP Valuation Football Field — Series G mark $10.1B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Field'!$B$30</c:f>
              <c:strCache>
                <c:ptCount val="1"/>
                <c:pt idx="0">
                  <c:v>Low (offset)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'Football Field'!$A$31:$A$35</c:f>
              <c:strCache>
                <c:ptCount val="5"/>
                <c:pt idx="0">
                  <c:v>1. Intrinsic DCF</c:v>
                </c:pt>
                <c:pt idx="1">
                  <c:v>1b. DCF + Real Options</c:v>
                </c:pt>
                <c:pt idx="2">
                  <c:v>2. Public Comps (Three-Thesis)</c:v>
                </c:pt>
                <c:pt idx="3">
                  <c:v>4. Last-Round Implied (Series G)</c:v>
                </c:pt>
                <c:pt idx="4">
                  <c:v>5. Implied IPO Range</c:v>
                </c:pt>
              </c:strCache>
            </c:strRef>
          </c:cat>
          <c:val>
            <c:numRef>
              <c:f>'Football Field'!$B$31:$B$35</c:f>
              <c:numCache>
                <c:formatCode>"$"#,##0;\("$"#,##0\);\-</c:formatCode>
                <c:ptCount val="5"/>
                <c:pt idx="0">
                  <c:v>4.5972973345902624</c:v>
                </c:pt>
                <c:pt idx="1">
                  <c:v>4.7614531782173097</c:v>
                </c:pt>
                <c:pt idx="2">
                  <c:v>1.177</c:v>
                </c:pt>
                <c:pt idx="3">
                  <c:v>10.1</c:v>
                </c:pt>
                <c:pt idx="4">
                  <c:v>11.882352941176471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9-48D5-93A6-3B40211673AC}"/>
            </c:ext>
          </c:extLst>
        </c:ser>
        <c:ser>
          <c:idx val="1"/>
          <c:order val="1"/>
          <c:tx>
            <c:strRef>
              <c:f>'Football Field'!$C$30</c:f>
              <c:strCache>
                <c:ptCount val="1"/>
                <c:pt idx="0">
                  <c:v>Range (visible bar)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'Football Field'!$A$31:$A$37</c:f>
              <c:strCache>
                <c:ptCount val="7"/>
                <c:pt idx="0">
                  <c:v>1. Intrinsic DCF</c:v>
                </c:pt>
                <c:pt idx="1">
                  <c:v>1b. DCF + Real Options</c:v>
                </c:pt>
                <c:pt idx="2">
                  <c:v>2. Public Comps (Three-Thesis)</c:v>
                </c:pt>
                <c:pt idx="3">
                  <c:v>4. Last-Round Implied (Series G)</c:v>
                </c:pt>
                <c:pt idx="4">
                  <c:v>5. Implied IPO Range</c:v>
                </c:pt>
                <c:pt idx="5">
                  <c:v>5. IPO Range</c:v>
                </c:pt>
                <c:pt idx="6">
                  <c:v>Weighted Avg</c:v>
                </c:pt>
              </c:strCache>
            </c:strRef>
          </c:cat>
          <c:val>
            <c:numRef>
              <c:f>'Football Field'!$C$31:$C$35</c:f>
              <c:numCache>
                <c:formatCode>"$"#,##0;\("$"#,##0\);\-</c:formatCode>
                <c:ptCount val="5"/>
                <c:pt idx="0">
                  <c:v>6.2756546673600404</c:v>
                </c:pt>
                <c:pt idx="1">
                  <c:v>8.7206224370977559</c:v>
                </c:pt>
                <c:pt idx="2">
                  <c:v>6.3717500000000005</c:v>
                </c:pt>
                <c:pt idx="3">
                  <c:v>1E-3</c:v>
                </c:pt>
                <c:pt idx="4" formatCode="&quot;$&quot;#,##0.00">
                  <c:v>1.5843137254901958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69-48D5-93A6-3B4021167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778120"/>
        <c:axId val="154796040"/>
      </c:barChart>
      <c:catAx>
        <c:axId val="154778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6040"/>
        <c:crosses val="autoZero"/>
        <c:auto val="1"/>
        <c:lblAlgn val="ctr"/>
        <c:lblOffset val="100"/>
        <c:noMultiLvlLbl val="0"/>
      </c:catAx>
      <c:valAx>
        <c:axId val="154796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Enterprise Value ($B)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8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114300</xdr:rowOff>
    </xdr:from>
    <xdr:to>
      <xdr:col>9</xdr:col>
      <xdr:colOff>447675</xdr:colOff>
      <xdr:row>65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60A0C2-8158-8727-EAE5-AD7424D39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553804</xdr:colOff>
      <xdr:row>43</xdr:row>
      <xdr:rowOff>187325</xdr:rowOff>
    </xdr:from>
    <xdr:to>
      <xdr:col>5</xdr:col>
      <xdr:colOff>572854</xdr:colOff>
      <xdr:row>46</xdr:row>
      <xdr:rowOff>22225</xdr:rowOff>
    </xdr:to>
    <xdr:sp macro="" textlink="">
      <xdr:nvSpPr>
        <xdr:cNvPr id="7" name="SeriesG_Label">
          <a:extLst>
            <a:ext uri="{FF2B5EF4-FFF2-40B4-BE49-F238E27FC236}">
              <a16:creationId xmlns:a16="http://schemas.microsoft.com/office/drawing/2014/main" id="{A2FCF3D9-E421-FAC5-C46F-7A4C425004EF}"/>
            </a:ext>
            <a:ext uri="{147F2762-F138-4A5C-976F-8EAC2B608ADB}">
              <a16:predDERef xmlns:a16="http://schemas.microsoft.com/office/drawing/2014/main" pred="{9E60A0C2-8158-8727-EAE5-AD7424D393B5}"/>
            </a:ext>
          </a:extLst>
        </xdr:cNvPr>
        <xdr:cNvSpPr txBox="1"/>
      </xdr:nvSpPr>
      <xdr:spPr>
        <a:xfrm>
          <a:off x="5354404" y="21199475"/>
          <a:ext cx="952500" cy="406400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/>
            </a:rPr>
            <a:t>Series G
$10.1B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F3859E-943C-4933-B6A8-2C4356E46C3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51a0b9c-7344-4cdd-89bc-f52463175f4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17D7-C48B-0642-AAAD-D7E691171F15}">
  <dimension ref="A1:F10"/>
  <sheetViews>
    <sheetView workbookViewId="0"/>
  </sheetViews>
  <sheetFormatPr baseColWidth="10" defaultRowHeight="15" x14ac:dyDescent="0.2"/>
  <cols>
    <col min="1" max="1" width="8.33203125" customWidth="1"/>
    <col min="2" max="2" width="13.33203125" customWidth="1"/>
    <col min="3" max="6" width="46.6640625" customWidth="1"/>
  </cols>
  <sheetData>
    <row r="1" spans="1:6" x14ac:dyDescent="0.2">
      <c r="A1" s="909" t="s">
        <v>1713</v>
      </c>
      <c r="B1" s="909" t="s">
        <v>1147</v>
      </c>
      <c r="C1" s="909" t="s">
        <v>1714</v>
      </c>
      <c r="D1" s="909" t="s">
        <v>1715</v>
      </c>
      <c r="E1" s="909" t="s">
        <v>1716</v>
      </c>
      <c r="F1" s="909" t="s">
        <v>1717</v>
      </c>
    </row>
    <row r="2" spans="1:6" x14ac:dyDescent="0.2">
      <c r="A2">
        <v>1</v>
      </c>
      <c r="B2" s="1138">
        <v>46149</v>
      </c>
      <c r="C2" t="s">
        <v>1718</v>
      </c>
      <c r="D2" t="s">
        <v>1719</v>
      </c>
      <c r="E2" t="s">
        <v>1720</v>
      </c>
      <c r="F2" t="s">
        <v>1721</v>
      </c>
    </row>
    <row r="3" spans="1:6" x14ac:dyDescent="0.2">
      <c r="A3">
        <v>2</v>
      </c>
      <c r="B3" s="1137">
        <v>46149</v>
      </c>
      <c r="C3" t="s">
        <v>1722</v>
      </c>
      <c r="D3" t="s">
        <v>1723</v>
      </c>
      <c r="E3" t="s">
        <v>1724</v>
      </c>
      <c r="F3" t="s">
        <v>1725</v>
      </c>
    </row>
    <row r="4" spans="1:6" x14ac:dyDescent="0.2">
      <c r="A4">
        <v>3</v>
      </c>
      <c r="B4" s="1138">
        <v>46149</v>
      </c>
      <c r="C4" t="s">
        <v>1750</v>
      </c>
      <c r="D4" t="s">
        <v>1751</v>
      </c>
      <c r="E4" t="s">
        <v>1752</v>
      </c>
      <c r="F4" t="s">
        <v>1753</v>
      </c>
    </row>
    <row r="5" spans="1:6" x14ac:dyDescent="0.2">
      <c r="A5">
        <v>4</v>
      </c>
      <c r="B5" s="1138">
        <v>46149</v>
      </c>
      <c r="C5" t="s">
        <v>1831</v>
      </c>
      <c r="D5" t="s">
        <v>1832</v>
      </c>
      <c r="E5" t="s">
        <v>1833</v>
      </c>
      <c r="F5" t="s">
        <v>1834</v>
      </c>
    </row>
    <row r="6" spans="1:6" x14ac:dyDescent="0.2">
      <c r="A6">
        <v>6</v>
      </c>
      <c r="B6" s="1138">
        <v>46149</v>
      </c>
      <c r="C6" t="s">
        <v>1898</v>
      </c>
      <c r="D6" t="s">
        <v>1899</v>
      </c>
      <c r="E6" t="s">
        <v>1900</v>
      </c>
      <c r="F6" t="s">
        <v>1901</v>
      </c>
    </row>
    <row r="8" spans="1:6" x14ac:dyDescent="0.2">
      <c r="A8">
        <v>7</v>
      </c>
      <c r="B8" s="1137">
        <v>46149</v>
      </c>
      <c r="C8" t="s">
        <v>1835</v>
      </c>
      <c r="D8" t="s">
        <v>1836</v>
      </c>
      <c r="E8" t="s">
        <v>1837</v>
      </c>
      <c r="F8" t="s">
        <v>1838</v>
      </c>
    </row>
    <row r="9" spans="1:6" x14ac:dyDescent="0.2">
      <c r="A9">
        <v>8</v>
      </c>
      <c r="B9" s="1138">
        <v>46149</v>
      </c>
      <c r="C9" t="s">
        <v>1861</v>
      </c>
      <c r="D9" t="s">
        <v>1862</v>
      </c>
      <c r="E9" t="s">
        <v>1863</v>
      </c>
      <c r="F9" t="s">
        <v>1864</v>
      </c>
    </row>
    <row r="10" spans="1:6" x14ac:dyDescent="0.2">
      <c r="A10">
        <v>9</v>
      </c>
      <c r="B10" s="1138">
        <v>46149</v>
      </c>
      <c r="C10" t="s">
        <v>1894</v>
      </c>
      <c r="D10" t="s">
        <v>1895</v>
      </c>
      <c r="E10" t="s">
        <v>1896</v>
      </c>
      <c r="F10" t="s">
        <v>1897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77"/>
  <sheetViews>
    <sheetView showGridLines="0" topLeftCell="A43" workbookViewId="0">
      <selection activeCell="C72" sqref="C72"/>
    </sheetView>
  </sheetViews>
  <sheetFormatPr baseColWidth="10" defaultColWidth="8.83203125" defaultRowHeight="15" x14ac:dyDescent="0.2"/>
  <cols>
    <col min="1" max="1" width="2.5" customWidth="1"/>
    <col min="2" max="3" width="46.6640625" customWidth="1"/>
  </cols>
  <sheetData>
    <row r="1" spans="1:3" ht="19" x14ac:dyDescent="0.25">
      <c r="A1" s="94"/>
    </row>
    <row r="3" spans="1:3" ht="28" customHeight="1" x14ac:dyDescent="0.35">
      <c r="B3" s="921" t="s">
        <v>0</v>
      </c>
      <c r="C3" s="922"/>
    </row>
    <row r="4" spans="1:3" ht="21" x14ac:dyDescent="0.25">
      <c r="A4" s="30" t="s">
        <v>1</v>
      </c>
      <c r="B4" s="923" t="s">
        <v>2</v>
      </c>
      <c r="C4" s="924"/>
    </row>
    <row r="5" spans="1:3" x14ac:dyDescent="0.2">
      <c r="B5" s="925" t="s">
        <v>3</v>
      </c>
      <c r="C5" s="926"/>
    </row>
    <row r="8" spans="1:3" x14ac:dyDescent="0.2">
      <c r="B8" s="252" t="s">
        <v>4</v>
      </c>
      <c r="C8" s="249" t="s">
        <v>0</v>
      </c>
    </row>
    <row r="9" spans="1:3" x14ac:dyDescent="0.2">
      <c r="B9" s="253" t="s">
        <v>5</v>
      </c>
      <c r="C9" s="250" t="s">
        <v>6</v>
      </c>
    </row>
    <row r="10" spans="1:3" x14ac:dyDescent="0.2">
      <c r="B10" s="253" t="s">
        <v>7</v>
      </c>
      <c r="C10" s="250" t="s">
        <v>8</v>
      </c>
    </row>
    <row r="11" spans="1:3" x14ac:dyDescent="0.2">
      <c r="B11" s="253" t="s">
        <v>9</v>
      </c>
      <c r="C11" s="250" t="s">
        <v>10</v>
      </c>
    </row>
    <row r="12" spans="1:3" x14ac:dyDescent="0.2">
      <c r="B12" s="253" t="s">
        <v>11</v>
      </c>
      <c r="C12" s="250" t="s">
        <v>12</v>
      </c>
    </row>
    <row r="13" spans="1:3" x14ac:dyDescent="0.2">
      <c r="B13" s="253" t="s">
        <v>13</v>
      </c>
      <c r="C13" s="250" t="s">
        <v>14</v>
      </c>
    </row>
    <row r="14" spans="1:3" x14ac:dyDescent="0.2">
      <c r="B14" s="254" t="s">
        <v>15</v>
      </c>
      <c r="C14" s="251" t="s">
        <v>16</v>
      </c>
    </row>
    <row r="17" spans="2:3" x14ac:dyDescent="0.2">
      <c r="B17" s="927" t="s">
        <v>17</v>
      </c>
      <c r="C17" s="928"/>
    </row>
    <row r="18" spans="2:3" x14ac:dyDescent="0.2">
      <c r="B18" s="255" t="s">
        <v>18</v>
      </c>
      <c r="C18" s="79"/>
    </row>
    <row r="19" spans="2:3" x14ac:dyDescent="0.2">
      <c r="B19" s="255" t="s">
        <v>19</v>
      </c>
      <c r="C19" s="79"/>
    </row>
    <row r="20" spans="2:3" x14ac:dyDescent="0.2">
      <c r="B20" s="255" t="s">
        <v>20</v>
      </c>
      <c r="C20" s="79"/>
    </row>
    <row r="21" spans="2:3" x14ac:dyDescent="0.2">
      <c r="B21" s="255" t="s">
        <v>21</v>
      </c>
      <c r="C21" s="79"/>
    </row>
    <row r="22" spans="2:3" x14ac:dyDescent="0.2">
      <c r="B22" s="255" t="s">
        <v>22</v>
      </c>
      <c r="C22" s="79"/>
    </row>
    <row r="25" spans="2:3" x14ac:dyDescent="0.2">
      <c r="B25" s="927" t="s">
        <v>23</v>
      </c>
      <c r="C25" s="928"/>
    </row>
    <row r="26" spans="2:3" x14ac:dyDescent="0.2">
      <c r="B26" s="2" t="s">
        <v>24</v>
      </c>
    </row>
    <row r="27" spans="2:3" x14ac:dyDescent="0.2">
      <c r="B27" s="3" t="s">
        <v>25</v>
      </c>
    </row>
    <row r="28" spans="2:3" x14ac:dyDescent="0.2">
      <c r="B28" s="4" t="s">
        <v>26</v>
      </c>
    </row>
    <row r="29" spans="2:3" x14ac:dyDescent="0.2">
      <c r="B29" s="256" t="s">
        <v>27</v>
      </c>
    </row>
    <row r="32" spans="2:3" x14ac:dyDescent="0.2">
      <c r="B32" s="927" t="s">
        <v>28</v>
      </c>
      <c r="C32" s="928"/>
    </row>
    <row r="33" spans="2:3" ht="24" customHeight="1" x14ac:dyDescent="0.2">
      <c r="B33" s="929" t="s">
        <v>29</v>
      </c>
      <c r="C33" s="930"/>
    </row>
    <row r="34" spans="2:3" x14ac:dyDescent="0.2">
      <c r="B34" s="258" t="s">
        <v>30</v>
      </c>
      <c r="C34" s="257" t="str">
        <f>Assumptions!$B$3</f>
        <v>Base</v>
      </c>
    </row>
    <row r="35" spans="2:3" ht="16" thickBot="1" x14ac:dyDescent="0.25"/>
    <row r="36" spans="2:3" ht="16" x14ac:dyDescent="0.2">
      <c r="B36" s="260" t="s">
        <v>31</v>
      </c>
      <c r="C36" s="265">
        <f>DCF!C32</f>
        <v>6616.6417778492505</v>
      </c>
    </row>
    <row r="37" spans="2:3" x14ac:dyDescent="0.2">
      <c r="B37" s="97" t="s">
        <v>32</v>
      </c>
      <c r="C37" s="266">
        <f>DCF!C37</f>
        <v>729.51887555616463</v>
      </c>
    </row>
    <row r="38" spans="2:3" x14ac:dyDescent="0.2">
      <c r="B38" s="97" t="s">
        <v>33</v>
      </c>
      <c r="C38" s="266">
        <f>DCF!C36</f>
        <v>-10</v>
      </c>
    </row>
    <row r="39" spans="2:3" x14ac:dyDescent="0.2">
      <c r="B39" s="261" t="s">
        <v>34</v>
      </c>
      <c r="C39" s="267">
        <f>DCF!C38</f>
        <v>7336.1606534054154</v>
      </c>
    </row>
    <row r="40" spans="2:3" x14ac:dyDescent="0.2">
      <c r="B40" s="97" t="s">
        <v>35</v>
      </c>
      <c r="C40" s="263">
        <f>DCF!C40</f>
        <v>17.893074764403451</v>
      </c>
    </row>
    <row r="41" spans="2:3" x14ac:dyDescent="0.2">
      <c r="B41" s="97"/>
      <c r="C41" s="264"/>
    </row>
    <row r="42" spans="2:3" x14ac:dyDescent="0.2">
      <c r="B42" s="262" t="s">
        <v>36</v>
      </c>
      <c r="C42" s="266">
        <f>DCF!C46</f>
        <v>940.08677436003336</v>
      </c>
    </row>
    <row r="43" spans="2:3" ht="17" thickBot="1" x14ac:dyDescent="0.25">
      <c r="B43" s="223" t="s">
        <v>37</v>
      </c>
      <c r="C43" s="268">
        <f>DCF!C47</f>
        <v>7556.7285522092843</v>
      </c>
    </row>
    <row r="45" spans="2:3" x14ac:dyDescent="0.2">
      <c r="B45" s="272" t="s">
        <v>38</v>
      </c>
      <c r="C45" s="273">
        <f>DCF!C52</f>
        <v>10100</v>
      </c>
    </row>
    <row r="46" spans="2:3" x14ac:dyDescent="0.2">
      <c r="B46" s="262" t="s">
        <v>39</v>
      </c>
      <c r="C46" s="270">
        <f>DCF!C53</f>
        <v>-0.27364746005886975</v>
      </c>
    </row>
    <row r="47" spans="2:3" x14ac:dyDescent="0.2">
      <c r="B47" s="269" t="s">
        <v>40</v>
      </c>
      <c r="C47" s="271">
        <f>DCF!C54</f>
        <v>-0.18056956160738125</v>
      </c>
    </row>
    <row r="48" spans="2:3" ht="17" x14ac:dyDescent="0.2">
      <c r="B48" s="931" t="s">
        <v>41</v>
      </c>
      <c r="C48" s="932"/>
    </row>
    <row r="49" spans="2:3" ht="16" x14ac:dyDescent="0.2">
      <c r="B49" s="259" t="s">
        <v>42</v>
      </c>
      <c r="C49" s="275">
        <f>'Football Field'!D16*1000</f>
        <v>7136.4712894945733</v>
      </c>
    </row>
    <row r="50" spans="2:3" x14ac:dyDescent="0.2">
      <c r="B50" s="96" t="s">
        <v>35</v>
      </c>
      <c r="C50" s="274">
        <f>'Football Field'!G16</f>
        <v>19.088954364620911</v>
      </c>
    </row>
    <row r="51" spans="2:3" x14ac:dyDescent="0.2">
      <c r="B51" s="222" t="s">
        <v>43</v>
      </c>
      <c r="C51" s="276">
        <f>'Football Field'!D18</f>
        <v>-0.29341868420845807</v>
      </c>
    </row>
    <row r="53" spans="2:3" ht="17" x14ac:dyDescent="0.2">
      <c r="B53" s="933" t="s">
        <v>44</v>
      </c>
      <c r="C53" s="934"/>
    </row>
    <row r="54" spans="2:3" x14ac:dyDescent="0.2">
      <c r="B54" s="95" t="s">
        <v>45</v>
      </c>
      <c r="C54" s="279">
        <f>Checks!B19</f>
        <v>11</v>
      </c>
    </row>
    <row r="55" spans="2:3" x14ac:dyDescent="0.2">
      <c r="B55" s="96" t="s">
        <v>46</v>
      </c>
      <c r="C55" s="280">
        <f>Checks!B20</f>
        <v>1</v>
      </c>
    </row>
    <row r="56" spans="2:3" x14ac:dyDescent="0.2">
      <c r="B56" s="277" t="s">
        <v>47</v>
      </c>
      <c r="C56" s="281">
        <f>Checks!B21</f>
        <v>0</v>
      </c>
    </row>
    <row r="57" spans="2:3" x14ac:dyDescent="0.2">
      <c r="B57" s="278" t="s">
        <v>48</v>
      </c>
      <c r="C57" s="282" t="str">
        <f>Checks!B22</f>
        <v>WARN</v>
      </c>
    </row>
    <row r="58" spans="2:3" x14ac:dyDescent="0.2">
      <c r="B58" s="52"/>
    </row>
    <row r="59" spans="2:3" ht="17" x14ac:dyDescent="0.2">
      <c r="B59" s="933" t="s">
        <v>49</v>
      </c>
      <c r="C59" s="934"/>
    </row>
    <row r="60" spans="2:3" ht="100" customHeight="1" x14ac:dyDescent="0.2">
      <c r="B60" s="935" t="s">
        <v>1803</v>
      </c>
      <c r="C60" s="920"/>
    </row>
    <row r="61" spans="2:3" ht="80" customHeight="1" x14ac:dyDescent="0.2">
      <c r="B61" s="919" t="s">
        <v>1804</v>
      </c>
      <c r="C61" s="920"/>
    </row>
    <row r="63" spans="2:3" ht="19" x14ac:dyDescent="0.25">
      <c r="B63" s="916" t="s">
        <v>1791</v>
      </c>
    </row>
    <row r="64" spans="2:3" x14ac:dyDescent="0.2">
      <c r="B64" s="818" t="s">
        <v>1792</v>
      </c>
    </row>
    <row r="66" spans="2:3" x14ac:dyDescent="0.2">
      <c r="B66" s="1030" t="s">
        <v>1264</v>
      </c>
      <c r="C66" s="1158" t="s">
        <v>1735</v>
      </c>
    </row>
    <row r="67" spans="2:3" x14ac:dyDescent="0.2">
      <c r="B67" s="1036" t="s">
        <v>1793</v>
      </c>
      <c r="C67" s="1180">
        <f>DCF!C60</f>
        <v>2504.21</v>
      </c>
    </row>
    <row r="68" spans="2:3" x14ac:dyDescent="0.2">
      <c r="B68" s="1036" t="s">
        <v>1794</v>
      </c>
      <c r="C68" s="1180">
        <f>DCF!C61</f>
        <v>7336.16</v>
      </c>
    </row>
    <row r="69" spans="2:3" x14ac:dyDescent="0.2">
      <c r="B69" s="1036" t="s">
        <v>1795</v>
      </c>
      <c r="C69" s="1180">
        <f>DCF!C62</f>
        <v>19882</v>
      </c>
    </row>
    <row r="70" spans="2:3" x14ac:dyDescent="0.2">
      <c r="B70" s="90" t="s">
        <v>1796</v>
      </c>
      <c r="C70" s="1181">
        <f>DCF!C63</f>
        <v>7961.86</v>
      </c>
    </row>
    <row r="71" spans="2:3" x14ac:dyDescent="0.2">
      <c r="B71" s="1034" t="s">
        <v>1797</v>
      </c>
      <c r="C71" s="1182">
        <f>DCF!C65</f>
        <v>10133.521999999999</v>
      </c>
    </row>
    <row r="72" spans="2:3" x14ac:dyDescent="0.2">
      <c r="B72" s="84" t="s">
        <v>1798</v>
      </c>
      <c r="C72" s="1183">
        <f>DCF!C52</f>
        <v>10100</v>
      </c>
    </row>
    <row r="73" spans="2:3" x14ac:dyDescent="0.2">
      <c r="B73" s="1184" t="s">
        <v>1799</v>
      </c>
      <c r="C73" s="1185">
        <f>C71-C70</f>
        <v>2171.6619999999994</v>
      </c>
    </row>
    <row r="74" spans="2:3" x14ac:dyDescent="0.2">
      <c r="B74" s="111" t="s">
        <v>1800</v>
      </c>
      <c r="C74" s="1186">
        <f>C71/C70-1</f>
        <v>0.27275812435787605</v>
      </c>
    </row>
    <row r="76" spans="2:3" x14ac:dyDescent="0.2">
      <c r="B76" s="725" t="s">
        <v>1801</v>
      </c>
    </row>
    <row r="77" spans="2:3" x14ac:dyDescent="0.2">
      <c r="B77" s="1178" t="s">
        <v>1802</v>
      </c>
    </row>
  </sheetData>
  <mergeCells count="12">
    <mergeCell ref="B61:C61"/>
    <mergeCell ref="B3:C3"/>
    <mergeCell ref="B4:C4"/>
    <mergeCell ref="B5:C5"/>
    <mergeCell ref="B17:C17"/>
    <mergeCell ref="B25:C25"/>
    <mergeCell ref="B32:C32"/>
    <mergeCell ref="B33:C33"/>
    <mergeCell ref="B48:C48"/>
    <mergeCell ref="B53:C53"/>
    <mergeCell ref="B59:C59"/>
    <mergeCell ref="B60:C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N204"/>
  <sheetViews>
    <sheetView showGridLines="0" tabSelected="1" zoomScaleNormal="100" workbookViewId="0">
      <selection activeCell="A191" sqref="A191"/>
    </sheetView>
  </sheetViews>
  <sheetFormatPr baseColWidth="10" defaultColWidth="8.83203125" defaultRowHeight="15" x14ac:dyDescent="0.2"/>
  <cols>
    <col min="1" max="1" width="8.33203125" customWidth="1"/>
    <col min="2" max="2" width="46.6640625" customWidth="1"/>
    <col min="3" max="6" width="13.33203125" customWidth="1"/>
    <col min="7" max="7" width="10" customWidth="1"/>
    <col min="8" max="8" width="10.83203125" customWidth="1"/>
    <col min="9" max="9" width="63.33203125" customWidth="1"/>
  </cols>
  <sheetData>
    <row r="1" spans="1:14" ht="28" customHeight="1" x14ac:dyDescent="0.2">
      <c r="A1" s="936" t="s">
        <v>50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6"/>
      <c r="M1" s="936"/>
      <c r="N1" s="936"/>
    </row>
    <row r="2" spans="1:14" x14ac:dyDescent="0.2">
      <c r="A2" s="1173" t="s">
        <v>1726</v>
      </c>
      <c r="B2" s="166" t="s">
        <v>1728</v>
      </c>
      <c r="C2" s="1157">
        <v>0.2</v>
      </c>
      <c r="D2" s="166" t="s">
        <v>1729</v>
      </c>
      <c r="E2" s="1157">
        <v>0.5</v>
      </c>
      <c r="F2" s="166" t="s">
        <v>1730</v>
      </c>
      <c r="G2" s="1157">
        <v>0.3</v>
      </c>
      <c r="H2" s="166" t="s">
        <v>1731</v>
      </c>
      <c r="I2" s="1156">
        <f>C2+E2+G2</f>
        <v>1</v>
      </c>
    </row>
    <row r="3" spans="1:14" ht="22" customHeight="1" x14ac:dyDescent="0.2">
      <c r="A3" s="54" t="s">
        <v>51</v>
      </c>
      <c r="B3" s="592" t="s">
        <v>52</v>
      </c>
      <c r="C3" s="952" t="s">
        <v>1790</v>
      </c>
      <c r="D3" s="953"/>
      <c r="E3" s="953"/>
      <c r="F3" s="953"/>
      <c r="G3" s="953"/>
      <c r="H3" s="953"/>
      <c r="I3" s="953"/>
    </row>
    <row r="5" spans="1:14" ht="22" customHeight="1" x14ac:dyDescent="0.2">
      <c r="A5" s="594" t="s">
        <v>53</v>
      </c>
      <c r="B5" s="594" t="s">
        <v>54</v>
      </c>
      <c r="C5" s="593" t="s">
        <v>55</v>
      </c>
      <c r="D5" s="593" t="s">
        <v>52</v>
      </c>
      <c r="E5" s="593" t="s">
        <v>56</v>
      </c>
      <c r="F5" s="593" t="s">
        <v>57</v>
      </c>
      <c r="G5" s="593" t="s">
        <v>58</v>
      </c>
      <c r="H5" s="593" t="s">
        <v>59</v>
      </c>
      <c r="I5" s="594" t="s">
        <v>60</v>
      </c>
      <c r="J5" s="1150" t="s">
        <v>1727</v>
      </c>
    </row>
    <row r="6" spans="1:14" x14ac:dyDescent="0.2">
      <c r="F6" s="604"/>
    </row>
    <row r="7" spans="1:14" ht="22" customHeight="1" x14ac:dyDescent="0.2">
      <c r="A7" s="939" t="s">
        <v>61</v>
      </c>
      <c r="B7" s="939"/>
      <c r="C7" s="939"/>
      <c r="D7" s="939"/>
      <c r="E7" s="939"/>
      <c r="F7" s="939"/>
      <c r="G7" s="939"/>
      <c r="H7" s="939"/>
      <c r="I7" s="939"/>
    </row>
    <row r="8" spans="1:14" x14ac:dyDescent="0.2">
      <c r="A8" s="255" t="s">
        <v>62</v>
      </c>
      <c r="B8" s="459" t="s">
        <v>63</v>
      </c>
      <c r="C8" s="627">
        <v>1.5</v>
      </c>
      <c r="D8" s="627">
        <v>1.3</v>
      </c>
      <c r="E8" s="627">
        <v>1.1000000000000001</v>
      </c>
      <c r="F8" s="605">
        <f t="shared" ref="F8:F28" si="0">IF($B$3="Bear",C8,IF($B$3="Bull",E8,D8))</f>
        <v>1.3</v>
      </c>
      <c r="G8" s="628" t="s">
        <v>64</v>
      </c>
      <c r="H8" s="628" t="s">
        <v>65</v>
      </c>
      <c r="I8" s="629" t="s">
        <v>66</v>
      </c>
    </row>
    <row r="9" spans="1:14" x14ac:dyDescent="0.2">
      <c r="A9" s="3" t="s">
        <v>67</v>
      </c>
      <c r="B9" s="18" t="s">
        <v>68</v>
      </c>
      <c r="C9" s="15">
        <v>2.2999999999999998</v>
      </c>
      <c r="D9" s="15">
        <v>2.5</v>
      </c>
      <c r="E9" s="15">
        <v>2.7</v>
      </c>
      <c r="F9" s="605">
        <f t="shared" si="0"/>
        <v>2.5</v>
      </c>
      <c r="G9" s="595" t="s">
        <v>69</v>
      </c>
      <c r="H9" s="595" t="s">
        <v>70</v>
      </c>
      <c r="I9" s="908" t="s">
        <v>71</v>
      </c>
    </row>
    <row r="10" spans="1:14" x14ac:dyDescent="0.2">
      <c r="A10" s="255" t="s">
        <v>72</v>
      </c>
      <c r="B10" s="459" t="s">
        <v>73</v>
      </c>
      <c r="C10" s="627">
        <f>(C8+C9)/2</f>
        <v>1.9</v>
      </c>
      <c r="D10" s="627">
        <f>(D8+D9)/2</f>
        <v>1.9</v>
      </c>
      <c r="E10" s="627">
        <f>(E8+E9)/2</f>
        <v>1.9000000000000001</v>
      </c>
      <c r="F10" s="605">
        <f t="shared" si="0"/>
        <v>1.9</v>
      </c>
      <c r="G10" s="628" t="s">
        <v>74</v>
      </c>
      <c r="H10" s="628" t="s">
        <v>70</v>
      </c>
      <c r="I10" s="629" t="s">
        <v>75</v>
      </c>
    </row>
    <row r="11" spans="1:14" ht="39" x14ac:dyDescent="0.2">
      <c r="A11" s="3" t="s">
        <v>76</v>
      </c>
      <c r="B11" s="18" t="s">
        <v>77</v>
      </c>
      <c r="C11" s="56">
        <v>270</v>
      </c>
      <c r="D11" s="803">
        <f>ARPU!D10</f>
        <v>274.39999999999998</v>
      </c>
      <c r="E11" s="56">
        <v>340</v>
      </c>
      <c r="F11" s="606">
        <f t="shared" si="0"/>
        <v>274.39999999999998</v>
      </c>
      <c r="G11" s="595" t="s">
        <v>64</v>
      </c>
      <c r="H11" s="595" t="s">
        <v>70</v>
      </c>
      <c r="I11" s="804" t="s">
        <v>78</v>
      </c>
    </row>
    <row r="12" spans="1:14" ht="39" x14ac:dyDescent="0.2">
      <c r="A12" s="255" t="s">
        <v>79</v>
      </c>
      <c r="B12" s="459" t="s">
        <v>80</v>
      </c>
      <c r="C12" s="630">
        <f>C10*C11</f>
        <v>513</v>
      </c>
      <c r="D12" s="630">
        <f>D10*D11</f>
        <v>521.3599999999999</v>
      </c>
      <c r="E12" s="630">
        <f>E10*E11</f>
        <v>646</v>
      </c>
      <c r="F12" s="606">
        <f t="shared" si="0"/>
        <v>521.3599999999999</v>
      </c>
      <c r="G12" s="628" t="s">
        <v>74</v>
      </c>
      <c r="H12" s="628" t="s">
        <v>70</v>
      </c>
      <c r="I12" s="805" t="s">
        <v>81</v>
      </c>
    </row>
    <row r="13" spans="1:14" ht="26" x14ac:dyDescent="0.2">
      <c r="A13" s="3" t="s">
        <v>82</v>
      </c>
      <c r="B13" s="18" t="s">
        <v>83</v>
      </c>
      <c r="C13" s="56">
        <v>1100</v>
      </c>
      <c r="D13" s="56">
        <v>1100</v>
      </c>
      <c r="E13" s="56">
        <v>1100</v>
      </c>
      <c r="F13" s="606">
        <f t="shared" si="0"/>
        <v>1100</v>
      </c>
      <c r="G13" s="595" t="s">
        <v>69</v>
      </c>
      <c r="H13" s="595" t="s">
        <v>84</v>
      </c>
      <c r="I13" s="804" t="s">
        <v>85</v>
      </c>
    </row>
    <row r="14" spans="1:14" x14ac:dyDescent="0.2">
      <c r="A14" s="255" t="s">
        <v>86</v>
      </c>
      <c r="B14" s="459" t="s">
        <v>87</v>
      </c>
      <c r="C14" s="631">
        <v>0.8</v>
      </c>
      <c r="D14" s="631">
        <v>0.85</v>
      </c>
      <c r="E14" s="631">
        <v>0.88</v>
      </c>
      <c r="F14" s="607">
        <f t="shared" si="0"/>
        <v>0.85</v>
      </c>
      <c r="G14" s="628" t="s">
        <v>88</v>
      </c>
      <c r="H14" s="628" t="s">
        <v>65</v>
      </c>
      <c r="I14" s="629" t="s">
        <v>89</v>
      </c>
    </row>
    <row r="15" spans="1:14" x14ac:dyDescent="0.2">
      <c r="A15" s="3" t="s">
        <v>90</v>
      </c>
      <c r="B15" s="18" t="s">
        <v>91</v>
      </c>
      <c r="C15" s="16">
        <v>1.03</v>
      </c>
      <c r="D15" s="16">
        <v>1.03</v>
      </c>
      <c r="E15" s="16">
        <v>1.03</v>
      </c>
      <c r="F15" s="607">
        <f t="shared" si="0"/>
        <v>1.03</v>
      </c>
      <c r="G15" s="595" t="s">
        <v>69</v>
      </c>
      <c r="H15" s="595" t="s">
        <v>84</v>
      </c>
      <c r="I15" s="908" t="s">
        <v>92</v>
      </c>
    </row>
    <row r="16" spans="1:14" x14ac:dyDescent="0.2">
      <c r="A16" s="255" t="s">
        <v>93</v>
      </c>
      <c r="B16" s="459" t="s">
        <v>94</v>
      </c>
      <c r="C16" s="631">
        <v>0.5</v>
      </c>
      <c r="D16" s="631">
        <v>0.7</v>
      </c>
      <c r="E16" s="631">
        <v>0.9</v>
      </c>
      <c r="F16" s="607">
        <f t="shared" si="0"/>
        <v>0.7</v>
      </c>
      <c r="G16" s="628" t="s">
        <v>64</v>
      </c>
      <c r="H16" s="628" t="s">
        <v>70</v>
      </c>
      <c r="I16" s="629" t="s">
        <v>95</v>
      </c>
    </row>
    <row r="17" spans="1:10" x14ac:dyDescent="0.2">
      <c r="A17" s="3" t="s">
        <v>96</v>
      </c>
      <c r="B17" s="18" t="s">
        <v>97</v>
      </c>
      <c r="C17" s="16">
        <v>0.15</v>
      </c>
      <c r="D17" s="16">
        <v>0.25</v>
      </c>
      <c r="E17" s="16">
        <v>0.4</v>
      </c>
      <c r="F17" s="607">
        <f t="shared" si="0"/>
        <v>0.25</v>
      </c>
      <c r="G17" s="595" t="s">
        <v>64</v>
      </c>
      <c r="H17" s="595" t="s">
        <v>70</v>
      </c>
      <c r="I17" s="908" t="s">
        <v>98</v>
      </c>
    </row>
    <row r="18" spans="1:10" x14ac:dyDescent="0.2">
      <c r="A18" s="255" t="s">
        <v>99</v>
      </c>
      <c r="B18" s="459" t="s">
        <v>100</v>
      </c>
      <c r="C18" s="631">
        <v>0.05</v>
      </c>
      <c r="D18" s="631">
        <v>0.12</v>
      </c>
      <c r="E18" s="631">
        <v>0.2</v>
      </c>
      <c r="F18" s="607">
        <f t="shared" si="0"/>
        <v>0.12</v>
      </c>
      <c r="G18" s="628" t="s">
        <v>64</v>
      </c>
      <c r="H18" s="628" t="s">
        <v>65</v>
      </c>
      <c r="I18" s="629" t="s">
        <v>101</v>
      </c>
    </row>
    <row r="19" spans="1:10" x14ac:dyDescent="0.2">
      <c r="A19" s="58" t="s">
        <v>102</v>
      </c>
      <c r="B19" s="59" t="s">
        <v>103</v>
      </c>
      <c r="C19" s="20">
        <v>0.3</v>
      </c>
      <c r="D19" s="20">
        <v>0.22</v>
      </c>
      <c r="E19" s="20">
        <v>0.15</v>
      </c>
      <c r="F19" s="607">
        <f>IF($B$3="Bear",C19,IF($B$3="Bull",E19,IF($B$3="ProbWeighted",J19,D19)))</f>
        <v>0.22</v>
      </c>
      <c r="G19" s="596" t="s">
        <v>64</v>
      </c>
      <c r="H19" s="60" t="s">
        <v>70</v>
      </c>
      <c r="I19" s="621" t="s">
        <v>104</v>
      </c>
      <c r="J19" s="1151">
        <f>$C$2*C19+$E$2*D19+$G$2*E19</f>
        <v>0.21499999999999997</v>
      </c>
    </row>
    <row r="20" spans="1:10" x14ac:dyDescent="0.2">
      <c r="A20" s="255" t="s">
        <v>105</v>
      </c>
      <c r="B20" s="459" t="s">
        <v>106</v>
      </c>
      <c r="C20" s="631">
        <v>0.18</v>
      </c>
      <c r="D20" s="631">
        <v>0.15</v>
      </c>
      <c r="E20" s="631">
        <v>0.1</v>
      </c>
      <c r="F20" s="607">
        <f>IF($B$3="Bear",C20,IF($B$3="Bull",E20,IF($B$3="ProbWeighted",J20,D20)))</f>
        <v>0.15</v>
      </c>
      <c r="G20" s="628" t="s">
        <v>64</v>
      </c>
      <c r="H20" s="632" t="s">
        <v>70</v>
      </c>
      <c r="I20" s="629" t="s">
        <v>107</v>
      </c>
      <c r="J20" s="1151">
        <f>$C$2*C20+$E$2*D20+$G$2*E20</f>
        <v>0.14099999999999999</v>
      </c>
    </row>
    <row r="21" spans="1:10" x14ac:dyDescent="0.2">
      <c r="A21" s="58" t="s">
        <v>108</v>
      </c>
      <c r="B21" s="59" t="s">
        <v>109</v>
      </c>
      <c r="C21" s="20">
        <v>0.12</v>
      </c>
      <c r="D21" s="20">
        <v>0.12</v>
      </c>
      <c r="E21" s="20">
        <v>0.05</v>
      </c>
      <c r="F21" s="607">
        <f>IF($B$3="Bear",C21,IF($B$3="Bull",E21,IF($B$3="ProbWeighted",J21,D21)))</f>
        <v>0.12</v>
      </c>
      <c r="G21" s="596" t="s">
        <v>64</v>
      </c>
      <c r="H21" s="60" t="s">
        <v>70</v>
      </c>
      <c r="I21" s="621" t="s">
        <v>110</v>
      </c>
      <c r="J21" s="1151">
        <f>$C$2*C21+$E$2*D21+$G$2*E21</f>
        <v>9.8999999999999991E-2</v>
      </c>
    </row>
    <row r="22" spans="1:10" ht="22" customHeight="1" x14ac:dyDescent="0.2">
      <c r="A22" s="3" t="s">
        <v>111</v>
      </c>
      <c r="B22" s="3"/>
      <c r="C22" s="3"/>
      <c r="D22" s="3"/>
      <c r="E22" s="3"/>
      <c r="F22" s="3"/>
      <c r="G22" s="3"/>
      <c r="H22" s="3"/>
      <c r="I22" s="717"/>
    </row>
    <row r="23" spans="1:10" x14ac:dyDescent="0.2">
      <c r="A23" s="3" t="s">
        <v>112</v>
      </c>
      <c r="B23" s="18" t="s">
        <v>113</v>
      </c>
      <c r="C23" s="16">
        <v>0.12</v>
      </c>
      <c r="D23" s="16">
        <v>0.18</v>
      </c>
      <c r="E23" s="16">
        <v>0.25</v>
      </c>
      <c r="F23" s="607">
        <f t="shared" si="0"/>
        <v>0.18</v>
      </c>
      <c r="G23" s="595" t="s">
        <v>88</v>
      </c>
      <c r="H23" s="595" t="s">
        <v>114</v>
      </c>
      <c r="I23" s="908" t="s">
        <v>115</v>
      </c>
    </row>
    <row r="24" spans="1:10" ht="26" x14ac:dyDescent="0.2">
      <c r="A24" s="58" t="s">
        <v>116</v>
      </c>
      <c r="B24" s="59" t="s">
        <v>117</v>
      </c>
      <c r="C24" s="20">
        <v>0.03</v>
      </c>
      <c r="D24" s="20">
        <v>0.1</v>
      </c>
      <c r="E24" s="20">
        <v>0.25</v>
      </c>
      <c r="F24" s="607">
        <f t="shared" si="0"/>
        <v>0.1</v>
      </c>
      <c r="G24" s="596" t="s">
        <v>64</v>
      </c>
      <c r="H24" s="60" t="s">
        <v>70</v>
      </c>
      <c r="I24" s="621" t="s">
        <v>118</v>
      </c>
    </row>
    <row r="25" spans="1:10" x14ac:dyDescent="0.2">
      <c r="A25" s="58" t="s">
        <v>119</v>
      </c>
      <c r="B25" s="59" t="s">
        <v>120</v>
      </c>
      <c r="C25" s="61">
        <v>250</v>
      </c>
      <c r="D25" s="61">
        <v>300</v>
      </c>
      <c r="E25" s="61">
        <v>350</v>
      </c>
      <c r="F25" s="606">
        <f t="shared" si="0"/>
        <v>300</v>
      </c>
      <c r="G25" s="596" t="s">
        <v>64</v>
      </c>
      <c r="H25" s="60" t="s">
        <v>65</v>
      </c>
      <c r="I25" s="621" t="s">
        <v>121</v>
      </c>
    </row>
    <row r="26" spans="1:10" x14ac:dyDescent="0.2">
      <c r="A26" s="3" t="s">
        <v>122</v>
      </c>
      <c r="B26" s="18" t="s">
        <v>123</v>
      </c>
      <c r="C26" s="16">
        <v>0.02</v>
      </c>
      <c r="D26" s="16">
        <v>0.03</v>
      </c>
      <c r="E26" s="16">
        <v>0.04</v>
      </c>
      <c r="F26" s="607">
        <f t="shared" si="0"/>
        <v>0.03</v>
      </c>
      <c r="G26" s="595" t="s">
        <v>64</v>
      </c>
      <c r="H26" s="595" t="s">
        <v>114</v>
      </c>
      <c r="I26" s="908" t="s">
        <v>124</v>
      </c>
    </row>
    <row r="27" spans="1:10" ht="26" x14ac:dyDescent="0.2">
      <c r="A27" s="58" t="s">
        <v>125</v>
      </c>
      <c r="B27" s="59" t="s">
        <v>126</v>
      </c>
      <c r="C27" s="21">
        <v>1.5</v>
      </c>
      <c r="D27" s="21">
        <v>1.9</v>
      </c>
      <c r="E27" s="21">
        <v>2.2999999999999998</v>
      </c>
      <c r="F27" s="605">
        <f t="shared" si="0"/>
        <v>1.9</v>
      </c>
      <c r="G27" s="596" t="s">
        <v>64</v>
      </c>
      <c r="H27" s="60" t="s">
        <v>70</v>
      </c>
      <c r="I27" s="621" t="s">
        <v>127</v>
      </c>
    </row>
    <row r="28" spans="1:10" x14ac:dyDescent="0.2">
      <c r="A28" s="3" t="s">
        <v>128</v>
      </c>
      <c r="B28" s="18" t="s">
        <v>129</v>
      </c>
      <c r="C28" s="16">
        <v>-0.1</v>
      </c>
      <c r="D28" s="16">
        <v>-0.08</v>
      </c>
      <c r="E28" s="16">
        <v>-0.05</v>
      </c>
      <c r="F28" s="607">
        <f t="shared" si="0"/>
        <v>-0.08</v>
      </c>
      <c r="G28" s="595" t="s">
        <v>64</v>
      </c>
      <c r="H28" s="595" t="s">
        <v>114</v>
      </c>
      <c r="I28" s="908" t="s">
        <v>130</v>
      </c>
    </row>
    <row r="29" spans="1:10" x14ac:dyDescent="0.2">
      <c r="A29" s="27"/>
      <c r="B29" s="27"/>
      <c r="C29" s="624"/>
      <c r="D29" s="624"/>
      <c r="E29" s="624"/>
      <c r="F29" s="608"/>
      <c r="G29" s="27"/>
      <c r="H29" s="27"/>
      <c r="I29" s="408"/>
    </row>
    <row r="30" spans="1:10" ht="22" customHeight="1" x14ac:dyDescent="0.2">
      <c r="A30" s="939" t="s">
        <v>131</v>
      </c>
      <c r="B30" s="940"/>
      <c r="C30" s="940"/>
      <c r="D30" s="940"/>
      <c r="E30" s="940"/>
      <c r="F30" s="940"/>
      <c r="G30" s="940"/>
      <c r="H30" s="940"/>
      <c r="I30" s="940"/>
    </row>
    <row r="31" spans="1:10" x14ac:dyDescent="0.2">
      <c r="A31" s="58" t="s">
        <v>132</v>
      </c>
      <c r="B31" s="59" t="s">
        <v>133</v>
      </c>
      <c r="C31" s="61">
        <v>100</v>
      </c>
      <c r="D31" s="61">
        <v>80</v>
      </c>
      <c r="E31" s="61">
        <v>60</v>
      </c>
      <c r="F31" s="606">
        <f t="shared" ref="F31:F52" si="1">IF($B$3="Bear",C31,IF($B$3="Bull",E31,D31))</f>
        <v>80</v>
      </c>
      <c r="G31" s="596" t="s">
        <v>64</v>
      </c>
      <c r="H31" s="60" t="s">
        <v>70</v>
      </c>
      <c r="I31" s="621" t="s">
        <v>134</v>
      </c>
    </row>
    <row r="32" spans="1:10" x14ac:dyDescent="0.2">
      <c r="A32" s="58" t="s">
        <v>135</v>
      </c>
      <c r="B32" s="59" t="s">
        <v>136</v>
      </c>
      <c r="C32" s="61">
        <v>150</v>
      </c>
      <c r="D32" s="61">
        <v>120</v>
      </c>
      <c r="E32" s="61">
        <v>90</v>
      </c>
      <c r="F32" s="606">
        <f t="shared" si="1"/>
        <v>120</v>
      </c>
      <c r="G32" s="596" t="s">
        <v>64</v>
      </c>
      <c r="H32" s="60" t="s">
        <v>70</v>
      </c>
      <c r="I32" s="621" t="s">
        <v>137</v>
      </c>
    </row>
    <row r="33" spans="1:10" x14ac:dyDescent="0.2">
      <c r="A33" s="3" t="s">
        <v>138</v>
      </c>
      <c r="B33" s="18" t="s">
        <v>139</v>
      </c>
      <c r="C33" s="16">
        <v>0.15</v>
      </c>
      <c r="D33" s="16">
        <v>0.1</v>
      </c>
      <c r="E33" s="16">
        <v>0.08</v>
      </c>
      <c r="F33" s="607">
        <f t="shared" si="1"/>
        <v>0.1</v>
      </c>
      <c r="G33" s="595" t="s">
        <v>64</v>
      </c>
      <c r="H33" s="595" t="s">
        <v>65</v>
      </c>
      <c r="I33" s="908" t="s">
        <v>140</v>
      </c>
    </row>
    <row r="34" spans="1:10" x14ac:dyDescent="0.2">
      <c r="A34" s="3" t="s">
        <v>141</v>
      </c>
      <c r="B34" s="18" t="s">
        <v>142</v>
      </c>
      <c r="C34" s="16">
        <v>0.72</v>
      </c>
      <c r="D34" s="16">
        <v>0.78</v>
      </c>
      <c r="E34" s="16">
        <v>0.83</v>
      </c>
      <c r="F34" s="607">
        <f t="shared" si="1"/>
        <v>0.78</v>
      </c>
      <c r="G34" s="595" t="s">
        <v>64</v>
      </c>
      <c r="H34" s="595" t="s">
        <v>70</v>
      </c>
      <c r="I34" s="908" t="s">
        <v>143</v>
      </c>
    </row>
    <row r="35" spans="1:10" x14ac:dyDescent="0.2">
      <c r="A35" s="3" t="s">
        <v>144</v>
      </c>
      <c r="B35" s="18" t="s">
        <v>145</v>
      </c>
      <c r="C35" s="16">
        <v>-0.1</v>
      </c>
      <c r="D35" s="16">
        <v>-0.02</v>
      </c>
      <c r="E35" s="16">
        <v>0.05</v>
      </c>
      <c r="F35" s="607">
        <f t="shared" si="1"/>
        <v>-0.02</v>
      </c>
      <c r="G35" s="595" t="s">
        <v>64</v>
      </c>
      <c r="H35" s="595" t="s">
        <v>70</v>
      </c>
      <c r="I35" s="908" t="s">
        <v>146</v>
      </c>
    </row>
    <row r="36" spans="1:10" ht="22" customHeight="1" x14ac:dyDescent="0.2">
      <c r="A36" s="3" t="s">
        <v>147</v>
      </c>
      <c r="B36" s="3" t="s">
        <v>148</v>
      </c>
      <c r="C36" s="638">
        <v>0.56000000000000005</v>
      </c>
      <c r="D36" s="638">
        <v>0.6</v>
      </c>
      <c r="E36" s="638">
        <v>0.64</v>
      </c>
      <c r="F36" s="719">
        <f>IF($B$3="Bear",C36,IF($B$3="Bull",E36,IF($B$3="ProbWeighted",J36,D36)))</f>
        <v>0.6</v>
      </c>
      <c r="G36" s="3" t="s">
        <v>64</v>
      </c>
      <c r="H36" s="3" t="s">
        <v>65</v>
      </c>
      <c r="I36" s="1143" t="s">
        <v>149</v>
      </c>
      <c r="J36" s="1151">
        <f>$C$2*C36+$E$2*D36+$G$2*E36</f>
        <v>0.60400000000000009</v>
      </c>
    </row>
    <row r="37" spans="1:10" x14ac:dyDescent="0.2">
      <c r="A37" s="3" t="s">
        <v>150</v>
      </c>
      <c r="B37" s="18" t="s">
        <v>151</v>
      </c>
      <c r="C37" s="16">
        <v>0.63</v>
      </c>
      <c r="D37" s="16">
        <v>0.67</v>
      </c>
      <c r="E37" s="16">
        <v>0.72</v>
      </c>
      <c r="F37" s="607">
        <f>IF($B$3="Bear",C37,IF($B$3="Bull",E37,IF($B$3="ProbWeighted",J37,D37)))</f>
        <v>0.67</v>
      </c>
      <c r="G37" s="595" t="s">
        <v>64</v>
      </c>
      <c r="H37" s="595" t="s">
        <v>65</v>
      </c>
      <c r="I37" s="908" t="s">
        <v>152</v>
      </c>
      <c r="J37" s="1151">
        <f>$C$2*C37+$E$2*D37+$G$2*E37</f>
        <v>0.67700000000000005</v>
      </c>
    </row>
    <row r="38" spans="1:10" x14ac:dyDescent="0.2">
      <c r="A38" s="3" t="s">
        <v>153</v>
      </c>
      <c r="B38" s="18" t="s">
        <v>154</v>
      </c>
      <c r="C38" s="16">
        <v>0.72</v>
      </c>
      <c r="D38" s="16">
        <v>0.76</v>
      </c>
      <c r="E38" s="16">
        <v>0.8</v>
      </c>
      <c r="F38" s="607">
        <f>IF($B$3="Bear",C38,IF($B$3="Bull",E38,IF($B$3="ProbWeighted",J38,D38)))</f>
        <v>0.76</v>
      </c>
      <c r="G38" s="595" t="s">
        <v>64</v>
      </c>
      <c r="H38" s="595" t="s">
        <v>65</v>
      </c>
      <c r="I38" s="908" t="s">
        <v>155</v>
      </c>
      <c r="J38" s="1151">
        <f>$C$2*C38+$E$2*D38+$G$2*E38</f>
        <v>0.76400000000000001</v>
      </c>
    </row>
    <row r="39" spans="1:10" x14ac:dyDescent="0.2">
      <c r="A39" s="3" t="s">
        <v>156</v>
      </c>
      <c r="B39" s="18" t="s">
        <v>157</v>
      </c>
      <c r="C39" s="16">
        <v>0.25</v>
      </c>
      <c r="D39" s="16">
        <v>0.22</v>
      </c>
      <c r="E39" s="16">
        <v>0.2</v>
      </c>
      <c r="F39" s="607">
        <f t="shared" si="1"/>
        <v>0.22</v>
      </c>
      <c r="G39" s="595" t="s">
        <v>64</v>
      </c>
      <c r="H39" s="595" t="s">
        <v>65</v>
      </c>
      <c r="I39" s="908" t="s">
        <v>158</v>
      </c>
    </row>
    <row r="40" spans="1:10" x14ac:dyDescent="0.2">
      <c r="A40" s="3" t="s">
        <v>159</v>
      </c>
      <c r="B40" s="18" t="s">
        <v>160</v>
      </c>
      <c r="C40" s="16">
        <v>0.13</v>
      </c>
      <c r="D40" s="16">
        <v>0.16</v>
      </c>
      <c r="E40" s="16">
        <v>0.19</v>
      </c>
      <c r="F40" s="607">
        <f t="shared" si="1"/>
        <v>0.16</v>
      </c>
      <c r="G40" s="595" t="s">
        <v>64</v>
      </c>
      <c r="H40" s="595" t="s">
        <v>114</v>
      </c>
      <c r="I40" s="908" t="s">
        <v>161</v>
      </c>
    </row>
    <row r="41" spans="1:10" x14ac:dyDescent="0.2">
      <c r="A41" s="3" t="s">
        <v>162</v>
      </c>
      <c r="B41" s="18" t="s">
        <v>163</v>
      </c>
      <c r="C41" s="16">
        <v>0.35</v>
      </c>
      <c r="D41" s="16">
        <v>0.3</v>
      </c>
      <c r="E41" s="16">
        <v>0.25</v>
      </c>
      <c r="F41" s="607">
        <f t="shared" si="1"/>
        <v>0.3</v>
      </c>
      <c r="G41" s="595" t="s">
        <v>64</v>
      </c>
      <c r="H41" s="595" t="s">
        <v>70</v>
      </c>
      <c r="I41" s="908" t="s">
        <v>164</v>
      </c>
    </row>
    <row r="42" spans="1:10" x14ac:dyDescent="0.2">
      <c r="A42" s="58" t="s">
        <v>165</v>
      </c>
      <c r="B42" s="59" t="s">
        <v>166</v>
      </c>
      <c r="C42" s="61">
        <v>220</v>
      </c>
      <c r="D42" s="61">
        <v>175</v>
      </c>
      <c r="E42" s="61">
        <v>130</v>
      </c>
      <c r="F42" s="606">
        <f t="shared" si="1"/>
        <v>175</v>
      </c>
      <c r="G42" s="596" t="s">
        <v>64</v>
      </c>
      <c r="H42" s="60" t="s">
        <v>70</v>
      </c>
      <c r="I42" s="621" t="s">
        <v>167</v>
      </c>
    </row>
    <row r="43" spans="1:10" x14ac:dyDescent="0.2">
      <c r="A43" s="58" t="s">
        <v>168</v>
      </c>
      <c r="B43" s="59" t="s">
        <v>169</v>
      </c>
      <c r="C43" s="61">
        <v>100</v>
      </c>
      <c r="D43" s="61">
        <v>60</v>
      </c>
      <c r="E43" s="61">
        <v>30</v>
      </c>
      <c r="F43" s="606">
        <f t="shared" si="1"/>
        <v>60</v>
      </c>
      <c r="G43" s="596" t="s">
        <v>64</v>
      </c>
      <c r="H43" s="60" t="s">
        <v>65</v>
      </c>
      <c r="I43" s="621" t="s">
        <v>170</v>
      </c>
    </row>
    <row r="44" spans="1:10" x14ac:dyDescent="0.2">
      <c r="A44" s="3" t="s">
        <v>171</v>
      </c>
      <c r="B44" s="18" t="s">
        <v>172</v>
      </c>
      <c r="C44" s="16">
        <v>0.2</v>
      </c>
      <c r="D44" s="16">
        <v>0.17</v>
      </c>
      <c r="E44" s="16">
        <v>0.15</v>
      </c>
      <c r="F44" s="607">
        <f t="shared" si="1"/>
        <v>0.17</v>
      </c>
      <c r="G44" s="595" t="s">
        <v>64</v>
      </c>
      <c r="H44" s="595" t="s">
        <v>65</v>
      </c>
      <c r="I44" s="908" t="s">
        <v>173</v>
      </c>
    </row>
    <row r="45" spans="1:10" x14ac:dyDescent="0.2">
      <c r="A45" s="3" t="s">
        <v>174</v>
      </c>
      <c r="B45" s="18" t="s">
        <v>175</v>
      </c>
      <c r="C45" s="16">
        <v>0.18</v>
      </c>
      <c r="D45" s="16">
        <v>0.15</v>
      </c>
      <c r="E45" s="16">
        <v>0.12</v>
      </c>
      <c r="F45" s="607">
        <f t="shared" si="1"/>
        <v>0.15</v>
      </c>
      <c r="G45" s="595" t="s">
        <v>64</v>
      </c>
      <c r="H45" s="595" t="s">
        <v>114</v>
      </c>
      <c r="I45" s="908" t="s">
        <v>176</v>
      </c>
    </row>
    <row r="46" spans="1:10" x14ac:dyDescent="0.2">
      <c r="A46" s="3" t="s">
        <v>177</v>
      </c>
      <c r="B46" s="18" t="s">
        <v>178</v>
      </c>
      <c r="C46" s="16">
        <v>0.13</v>
      </c>
      <c r="D46" s="16">
        <v>0.11</v>
      </c>
      <c r="E46" s="16">
        <v>0.09</v>
      </c>
      <c r="F46" s="607">
        <f t="shared" si="1"/>
        <v>0.11</v>
      </c>
      <c r="G46" s="595" t="s">
        <v>64</v>
      </c>
      <c r="H46" s="595" t="s">
        <v>114</v>
      </c>
      <c r="I46" s="908" t="s">
        <v>161</v>
      </c>
    </row>
    <row r="47" spans="1:10" x14ac:dyDescent="0.2">
      <c r="A47" s="3" t="s">
        <v>179</v>
      </c>
      <c r="B47" s="18" t="s">
        <v>180</v>
      </c>
      <c r="C47" s="16">
        <v>0.16</v>
      </c>
      <c r="D47" s="16">
        <v>0.14000000000000001</v>
      </c>
      <c r="E47" s="16">
        <v>0.12</v>
      </c>
      <c r="F47" s="607">
        <f t="shared" si="1"/>
        <v>0.14000000000000001</v>
      </c>
      <c r="G47" s="595" t="s">
        <v>64</v>
      </c>
      <c r="H47" s="595" t="s">
        <v>65</v>
      </c>
      <c r="I47" s="908" t="s">
        <v>181</v>
      </c>
    </row>
    <row r="48" spans="1:10" ht="26" x14ac:dyDescent="0.2">
      <c r="A48" s="3" t="s">
        <v>182</v>
      </c>
      <c r="B48" s="18" t="s">
        <v>183</v>
      </c>
      <c r="C48" s="16">
        <v>0.13</v>
      </c>
      <c r="D48" s="16">
        <v>0.11</v>
      </c>
      <c r="E48" s="16">
        <v>0.08</v>
      </c>
      <c r="F48" s="607">
        <f>IF($B$3="Bear",C48,IF($B$3="Bull",E48,D48))</f>
        <v>0.11</v>
      </c>
      <c r="G48" s="595" t="s">
        <v>64</v>
      </c>
      <c r="H48" s="595" t="s">
        <v>65</v>
      </c>
      <c r="I48" s="908" t="s">
        <v>184</v>
      </c>
    </row>
    <row r="49" spans="1:9" x14ac:dyDescent="0.2">
      <c r="A49" s="3" t="s">
        <v>185</v>
      </c>
      <c r="B49" s="18" t="s">
        <v>186</v>
      </c>
      <c r="C49" s="16">
        <v>0.05</v>
      </c>
      <c r="D49" s="16">
        <v>0.04</v>
      </c>
      <c r="E49" s="16">
        <v>0.03</v>
      </c>
      <c r="F49" s="607">
        <f t="shared" si="1"/>
        <v>0.04</v>
      </c>
      <c r="G49" s="595" t="s">
        <v>64</v>
      </c>
      <c r="H49" s="595" t="s">
        <v>114</v>
      </c>
      <c r="I49" s="908" t="s">
        <v>187</v>
      </c>
    </row>
    <row r="50" spans="1:9" x14ac:dyDescent="0.2">
      <c r="A50" s="3" t="s">
        <v>188</v>
      </c>
      <c r="B50" s="18" t="s">
        <v>189</v>
      </c>
      <c r="C50" s="16">
        <v>-0.05</v>
      </c>
      <c r="D50" s="16">
        <v>-0.08</v>
      </c>
      <c r="E50" s="16">
        <v>-0.1</v>
      </c>
      <c r="F50" s="607">
        <f t="shared" si="1"/>
        <v>-0.08</v>
      </c>
      <c r="G50" s="595" t="s">
        <v>64</v>
      </c>
      <c r="H50" s="595" t="s">
        <v>65</v>
      </c>
      <c r="I50" s="908" t="s">
        <v>190</v>
      </c>
    </row>
    <row r="51" spans="1:9" x14ac:dyDescent="0.2">
      <c r="A51" s="3" t="s">
        <v>191</v>
      </c>
      <c r="B51" s="18" t="s">
        <v>192</v>
      </c>
      <c r="C51" s="16">
        <v>0.7</v>
      </c>
      <c r="D51" s="16">
        <v>0.65</v>
      </c>
      <c r="E51" s="16">
        <v>0.6</v>
      </c>
      <c r="F51" s="607">
        <f t="shared" si="1"/>
        <v>0.65</v>
      </c>
      <c r="G51" s="595" t="s">
        <v>64</v>
      </c>
      <c r="H51" s="595" t="s">
        <v>65</v>
      </c>
      <c r="I51" s="908" t="s">
        <v>193</v>
      </c>
    </row>
    <row r="52" spans="1:9" x14ac:dyDescent="0.2">
      <c r="A52" s="3" t="s">
        <v>194</v>
      </c>
      <c r="B52" s="18" t="s">
        <v>195</v>
      </c>
      <c r="C52" s="16">
        <v>0.25</v>
      </c>
      <c r="D52" s="16">
        <v>0.23</v>
      </c>
      <c r="E52" s="16">
        <v>0.21</v>
      </c>
      <c r="F52" s="607">
        <f t="shared" si="1"/>
        <v>0.23</v>
      </c>
      <c r="G52" s="595" t="s">
        <v>88</v>
      </c>
      <c r="H52" s="595" t="s">
        <v>114</v>
      </c>
      <c r="I52" s="908" t="s">
        <v>196</v>
      </c>
    </row>
    <row r="53" spans="1:9" ht="22" customHeight="1" x14ac:dyDescent="0.2">
      <c r="A53" s="713" t="s">
        <v>197</v>
      </c>
      <c r="B53" s="27" t="s">
        <v>198</v>
      </c>
      <c r="C53" s="599">
        <v>4.4999999999999998E-2</v>
      </c>
      <c r="D53" s="599">
        <v>3.5000000000000003E-2</v>
      </c>
      <c r="E53" s="599">
        <v>2.5000000000000001E-2</v>
      </c>
      <c r="F53" s="603">
        <f>IF($B$3="Bear",C53,IF($B$3="Bull",E53,D53))</f>
        <v>3.5000000000000003E-2</v>
      </c>
      <c r="G53" s="27" t="s">
        <v>88</v>
      </c>
      <c r="H53" s="27" t="s">
        <v>114</v>
      </c>
      <c r="I53" s="408" t="s">
        <v>199</v>
      </c>
    </row>
    <row r="54" spans="1:9" ht="22" customHeight="1" x14ac:dyDescent="0.2">
      <c r="A54" s="939" t="s">
        <v>200</v>
      </c>
      <c r="B54" s="940"/>
      <c r="C54" s="940"/>
      <c r="D54" s="940"/>
      <c r="E54" s="940"/>
      <c r="F54" s="940"/>
      <c r="G54" s="940"/>
      <c r="H54" s="940"/>
      <c r="I54" s="940"/>
    </row>
    <row r="55" spans="1:9" x14ac:dyDescent="0.2">
      <c r="A55" s="58" t="s">
        <v>201</v>
      </c>
      <c r="B55" s="59" t="s">
        <v>202</v>
      </c>
      <c r="C55" s="22">
        <v>420</v>
      </c>
      <c r="D55" s="22">
        <v>410</v>
      </c>
      <c r="E55" s="22">
        <v>400</v>
      </c>
      <c r="F55" s="609">
        <f t="shared" ref="F55:F65" si="2">IF($B$3="Bear",C55,IF($B$3="Bull",E55,D55))</f>
        <v>410</v>
      </c>
      <c r="G55" s="596" t="s">
        <v>64</v>
      </c>
      <c r="H55" s="60" t="s">
        <v>70</v>
      </c>
      <c r="I55" s="621" t="s">
        <v>203</v>
      </c>
    </row>
    <row r="56" spans="1:9" x14ac:dyDescent="0.2">
      <c r="A56" s="58" t="s">
        <v>204</v>
      </c>
      <c r="B56" s="59" t="s">
        <v>205</v>
      </c>
      <c r="C56" s="23">
        <v>28</v>
      </c>
      <c r="D56" s="23">
        <v>28</v>
      </c>
      <c r="E56" s="23">
        <v>28</v>
      </c>
      <c r="F56" s="610">
        <f t="shared" si="2"/>
        <v>28</v>
      </c>
      <c r="G56" s="596" t="s">
        <v>88</v>
      </c>
      <c r="H56" s="60" t="s">
        <v>65</v>
      </c>
      <c r="I56" s="621" t="s">
        <v>206</v>
      </c>
    </row>
    <row r="57" spans="1:9" x14ac:dyDescent="0.2">
      <c r="A57" s="3" t="s">
        <v>207</v>
      </c>
      <c r="B57" s="18" t="s">
        <v>208</v>
      </c>
      <c r="C57" s="62" t="s">
        <v>209</v>
      </c>
      <c r="D57" s="62" t="s">
        <v>210</v>
      </c>
      <c r="E57" s="62" t="s">
        <v>210</v>
      </c>
      <c r="F57" s="611" t="str">
        <f t="shared" si="2"/>
        <v>1x non-participating</v>
      </c>
      <c r="G57" s="595" t="s">
        <v>88</v>
      </c>
      <c r="H57" s="595" t="s">
        <v>84</v>
      </c>
      <c r="I57" s="908" t="s">
        <v>211</v>
      </c>
    </row>
    <row r="58" spans="1:9" x14ac:dyDescent="0.2">
      <c r="A58" s="3" t="s">
        <v>212</v>
      </c>
      <c r="B58" s="18" t="s">
        <v>213</v>
      </c>
      <c r="C58" s="56">
        <v>1400</v>
      </c>
      <c r="D58" s="56">
        <v>1400</v>
      </c>
      <c r="E58" s="56">
        <v>1400</v>
      </c>
      <c r="F58" s="606">
        <f t="shared" si="2"/>
        <v>1400</v>
      </c>
      <c r="G58" s="595" t="s">
        <v>88</v>
      </c>
      <c r="H58" s="595" t="s">
        <v>65</v>
      </c>
      <c r="I58" s="908" t="s">
        <v>214</v>
      </c>
    </row>
    <row r="59" spans="1:9" x14ac:dyDescent="0.2">
      <c r="A59" s="58" t="s">
        <v>215</v>
      </c>
      <c r="B59" s="59" t="s">
        <v>216</v>
      </c>
      <c r="C59" s="20">
        <v>0.15</v>
      </c>
      <c r="D59" s="20">
        <v>0.12</v>
      </c>
      <c r="E59" s="20">
        <v>0.1</v>
      </c>
      <c r="F59" s="607">
        <f t="shared" si="2"/>
        <v>0.12</v>
      </c>
      <c r="G59" s="596" t="s">
        <v>64</v>
      </c>
      <c r="H59" s="60" t="s">
        <v>65</v>
      </c>
      <c r="I59" s="621" t="s">
        <v>217</v>
      </c>
    </row>
    <row r="60" spans="1:9" ht="22" customHeight="1" x14ac:dyDescent="0.2">
      <c r="A60" s="3" t="s">
        <v>218</v>
      </c>
      <c r="B60" s="3" t="s">
        <v>219</v>
      </c>
      <c r="C60" s="638">
        <v>0.1</v>
      </c>
      <c r="D60" s="638">
        <v>0.14000000000000001</v>
      </c>
      <c r="E60" s="638">
        <v>0.18</v>
      </c>
      <c r="F60" s="719">
        <f>IF($B$3="Bear",C60,IF($B$3="Bull",E60,D60))</f>
        <v>0.14000000000000001</v>
      </c>
      <c r="G60" s="3" t="s">
        <v>64</v>
      </c>
      <c r="H60" s="3" t="s">
        <v>114</v>
      </c>
      <c r="I60" s="414" t="s">
        <v>220</v>
      </c>
    </row>
    <row r="61" spans="1:9" x14ac:dyDescent="0.2">
      <c r="A61" s="3" t="s">
        <v>221</v>
      </c>
      <c r="B61" s="18" t="s">
        <v>222</v>
      </c>
      <c r="C61" s="16">
        <v>0.3</v>
      </c>
      <c r="D61" s="16">
        <v>0.22</v>
      </c>
      <c r="E61" s="16">
        <v>0.15</v>
      </c>
      <c r="F61" s="607">
        <f t="shared" si="2"/>
        <v>0.22</v>
      </c>
      <c r="G61" s="595" t="s">
        <v>88</v>
      </c>
      <c r="H61" s="595" t="s">
        <v>65</v>
      </c>
      <c r="I61" s="908" t="s">
        <v>223</v>
      </c>
    </row>
    <row r="62" spans="1:9" x14ac:dyDescent="0.2">
      <c r="A62" s="3" t="s">
        <v>224</v>
      </c>
      <c r="B62" s="18" t="s">
        <v>225</v>
      </c>
      <c r="C62" s="56">
        <v>50</v>
      </c>
      <c r="D62" s="56">
        <v>10</v>
      </c>
      <c r="E62" s="56">
        <v>0</v>
      </c>
      <c r="F62" s="606">
        <f t="shared" si="2"/>
        <v>10</v>
      </c>
      <c r="G62" s="595" t="s">
        <v>88</v>
      </c>
      <c r="H62" s="595" t="s">
        <v>226</v>
      </c>
      <c r="I62" s="908" t="s">
        <v>227</v>
      </c>
    </row>
    <row r="63" spans="1:9" x14ac:dyDescent="0.2">
      <c r="A63" s="58" t="s">
        <v>228</v>
      </c>
      <c r="B63" s="59" t="s">
        <v>229</v>
      </c>
      <c r="C63" s="61">
        <v>500</v>
      </c>
      <c r="D63" s="61">
        <v>700</v>
      </c>
      <c r="E63" s="61">
        <v>850</v>
      </c>
      <c r="F63" s="606">
        <f t="shared" si="2"/>
        <v>700</v>
      </c>
      <c r="G63" s="596" t="s">
        <v>64</v>
      </c>
      <c r="H63" s="60" t="s">
        <v>114</v>
      </c>
      <c r="I63" s="621" t="s">
        <v>230</v>
      </c>
    </row>
    <row r="64" spans="1:9" x14ac:dyDescent="0.2">
      <c r="A64" s="3" t="s">
        <v>231</v>
      </c>
      <c r="B64" s="18" t="s">
        <v>232</v>
      </c>
      <c r="C64" s="623">
        <f>C63-C62</f>
        <v>450</v>
      </c>
      <c r="D64" s="623">
        <f>D63-D62</f>
        <v>690</v>
      </c>
      <c r="E64" s="623">
        <f>E63-E62</f>
        <v>850</v>
      </c>
      <c r="F64" s="606">
        <f t="shared" si="2"/>
        <v>690</v>
      </c>
      <c r="G64" s="595" t="s">
        <v>74</v>
      </c>
      <c r="H64" s="595" t="s">
        <v>65</v>
      </c>
      <c r="I64" s="908" t="s">
        <v>233</v>
      </c>
    </row>
    <row r="65" spans="1:10" x14ac:dyDescent="0.2">
      <c r="A65" s="58" t="s">
        <v>234</v>
      </c>
      <c r="B65" s="59" t="s">
        <v>235</v>
      </c>
      <c r="C65" s="64" t="s">
        <v>236</v>
      </c>
      <c r="D65" s="64" t="s">
        <v>237</v>
      </c>
      <c r="E65" s="64" t="s">
        <v>238</v>
      </c>
      <c r="F65" s="611" t="str">
        <f t="shared" si="2"/>
        <v>Likely extinguished</v>
      </c>
      <c r="G65" s="596" t="s">
        <v>64</v>
      </c>
      <c r="H65" s="60" t="s">
        <v>65</v>
      </c>
      <c r="I65" s="621" t="s">
        <v>239</v>
      </c>
    </row>
    <row r="66" spans="1:10" ht="22" customHeight="1" x14ac:dyDescent="0.2">
      <c r="A66" s="3" t="s">
        <v>240</v>
      </c>
      <c r="B66" s="3"/>
      <c r="C66" s="3"/>
      <c r="D66" s="3"/>
      <c r="E66" s="3"/>
      <c r="F66" s="3"/>
      <c r="G66" s="3"/>
      <c r="H66" s="3"/>
      <c r="I66" s="717"/>
    </row>
    <row r="67" spans="1:10" x14ac:dyDescent="0.2">
      <c r="A67" s="27" t="s">
        <v>241</v>
      </c>
      <c r="B67" s="27" t="s">
        <v>242</v>
      </c>
      <c r="C67" s="28">
        <v>2.5000000000000001E-2</v>
      </c>
      <c r="D67" s="28">
        <v>3.5000000000000003E-2</v>
      </c>
      <c r="E67" s="28">
        <v>4.4999999999999998E-2</v>
      </c>
      <c r="F67" s="612">
        <f>IF($B$3="Bear",C67,IF($B$3="Bull",E67,D67))</f>
        <v>3.5000000000000003E-2</v>
      </c>
      <c r="G67" s="27" t="s">
        <v>88</v>
      </c>
      <c r="H67" s="27" t="s">
        <v>114</v>
      </c>
      <c r="I67" s="408" t="s">
        <v>243</v>
      </c>
    </row>
    <row r="68" spans="1:10" ht="22" customHeight="1" x14ac:dyDescent="0.2">
      <c r="A68" s="939" t="s">
        <v>244</v>
      </c>
      <c r="B68" s="940"/>
      <c r="C68" s="940"/>
      <c r="D68" s="940"/>
      <c r="E68" s="940"/>
      <c r="F68" s="940"/>
      <c r="G68" s="940"/>
      <c r="H68" s="940"/>
      <c r="I68" s="940"/>
    </row>
    <row r="69" spans="1:10" x14ac:dyDescent="0.2">
      <c r="A69" s="3" t="s">
        <v>245</v>
      </c>
      <c r="B69" s="18" t="s">
        <v>246</v>
      </c>
      <c r="C69" s="24">
        <v>4.2999999999999997E-2</v>
      </c>
      <c r="D69" s="24">
        <v>4.2999999999999997E-2</v>
      </c>
      <c r="E69" s="24">
        <v>4.2999999999999997E-2</v>
      </c>
      <c r="F69" s="613">
        <f t="shared" ref="F69:F75" si="3">IF($B$3="Bear",C69,IF($B$3="Bull",E69,D69))</f>
        <v>4.2999999999999997E-2</v>
      </c>
      <c r="G69" s="595" t="s">
        <v>69</v>
      </c>
      <c r="H69" s="595" t="s">
        <v>84</v>
      </c>
      <c r="I69" s="908" t="s">
        <v>247</v>
      </c>
    </row>
    <row r="70" spans="1:10" x14ac:dyDescent="0.2">
      <c r="A70" s="3" t="s">
        <v>248</v>
      </c>
      <c r="B70" s="18" t="s">
        <v>249</v>
      </c>
      <c r="C70" s="24">
        <v>4.4999999999999998E-2</v>
      </c>
      <c r="D70" s="24">
        <v>4.4999999999999998E-2</v>
      </c>
      <c r="E70" s="24">
        <v>4.4999999999999998E-2</v>
      </c>
      <c r="F70" s="613">
        <f t="shared" si="3"/>
        <v>4.4999999999999998E-2</v>
      </c>
      <c r="G70" s="595" t="s">
        <v>69</v>
      </c>
      <c r="H70" s="595" t="s">
        <v>250</v>
      </c>
      <c r="I70" s="908" t="s">
        <v>251</v>
      </c>
    </row>
    <row r="71" spans="1:10" x14ac:dyDescent="0.2">
      <c r="A71" s="3" t="s">
        <v>252</v>
      </c>
      <c r="B71" s="18" t="s">
        <v>253</v>
      </c>
      <c r="C71" s="15">
        <v>0.85</v>
      </c>
      <c r="D71" s="15">
        <v>0.83</v>
      </c>
      <c r="E71" s="15">
        <v>0.81</v>
      </c>
      <c r="F71" s="605">
        <f t="shared" si="3"/>
        <v>0.83</v>
      </c>
      <c r="G71" s="595" t="s">
        <v>69</v>
      </c>
      <c r="H71" s="595" t="s">
        <v>254</v>
      </c>
      <c r="I71" s="908" t="s">
        <v>255</v>
      </c>
    </row>
    <row r="72" spans="1:10" x14ac:dyDescent="0.2">
      <c r="A72" s="3" t="s">
        <v>256</v>
      </c>
      <c r="B72" s="18" t="s">
        <v>257</v>
      </c>
      <c r="C72" s="24">
        <v>8.0999999999999996E-3</v>
      </c>
      <c r="D72" s="24">
        <v>8.0999999999999996E-3</v>
      </c>
      <c r="E72" s="24">
        <v>8.0999999999999996E-3</v>
      </c>
      <c r="F72" s="613">
        <f t="shared" si="3"/>
        <v>8.0999999999999996E-3</v>
      </c>
      <c r="G72" s="595" t="s">
        <v>88</v>
      </c>
      <c r="H72" s="595" t="s">
        <v>250</v>
      </c>
      <c r="I72" s="908" t="s">
        <v>258</v>
      </c>
    </row>
    <row r="73" spans="1:10" x14ac:dyDescent="0.2">
      <c r="A73" s="3" t="s">
        <v>259</v>
      </c>
      <c r="B73" s="18" t="s">
        <v>260</v>
      </c>
      <c r="C73" s="24">
        <v>0.03</v>
      </c>
      <c r="D73" s="24">
        <v>0.02</v>
      </c>
      <c r="E73" s="24">
        <v>0.01</v>
      </c>
      <c r="F73" s="613">
        <f>IF($B$3="Bear",C73,IF($B$3="Bull",E73,IF($B$3="ProbWeighted",J73,D73)))</f>
        <v>0.02</v>
      </c>
      <c r="G73" s="595" t="s">
        <v>64</v>
      </c>
      <c r="H73" s="595" t="s">
        <v>254</v>
      </c>
      <c r="I73" s="908" t="s">
        <v>261</v>
      </c>
      <c r="J73" s="1151">
        <f>$C$2*C73+$E$2*D73+$G$2*E73</f>
        <v>1.9E-2</v>
      </c>
    </row>
    <row r="74" spans="1:10" x14ac:dyDescent="0.2">
      <c r="A74" s="3" t="s">
        <v>262</v>
      </c>
      <c r="B74" s="18" t="s">
        <v>263</v>
      </c>
      <c r="C74" s="625">
        <f>C69+C70*C71+C72+C73</f>
        <v>0.11934999999999998</v>
      </c>
      <c r="D74" s="625">
        <f>D69+D70*D71+D72+D73</f>
        <v>0.10844999999999999</v>
      </c>
      <c r="E74" s="625">
        <f>E69+E70*E71+E72+E73</f>
        <v>9.7549999999999984E-2</v>
      </c>
      <c r="F74" s="613">
        <f t="shared" si="3"/>
        <v>0.10844999999999999</v>
      </c>
      <c r="G74" s="595" t="s">
        <v>74</v>
      </c>
      <c r="H74" s="595" t="s">
        <v>70</v>
      </c>
      <c r="I74" s="908"/>
    </row>
    <row r="75" spans="1:10" x14ac:dyDescent="0.2">
      <c r="A75" s="27"/>
      <c r="B75" s="27" t="s">
        <v>1535</v>
      </c>
      <c r="C75" s="917">
        <f>'WACC Bottom-Up'!E106</f>
        <v>0.12175650636531818</v>
      </c>
      <c r="D75" s="917">
        <f>'WACC Bottom-Up'!F106</f>
        <v>0.11587449330938142</v>
      </c>
      <c r="E75" s="917">
        <f>'WACC Bottom-Up'!G106</f>
        <v>0.11003836564433836</v>
      </c>
      <c r="F75" s="613">
        <f t="shared" si="3"/>
        <v>0.11587449330938142</v>
      </c>
      <c r="G75" s="27"/>
      <c r="H75" s="27"/>
      <c r="I75" s="408"/>
    </row>
    <row r="76" spans="1:10" x14ac:dyDescent="0.2">
      <c r="A76" s="27"/>
      <c r="B76" s="27"/>
      <c r="C76" s="917"/>
      <c r="D76" s="917"/>
      <c r="E76" s="917"/>
      <c r="F76" s="613"/>
      <c r="G76" s="27"/>
      <c r="H76" s="27"/>
      <c r="I76" s="408"/>
    </row>
    <row r="77" spans="1:10" ht="22" customHeight="1" x14ac:dyDescent="0.2">
      <c r="A77" s="939" t="s">
        <v>264</v>
      </c>
      <c r="B77" s="954"/>
      <c r="C77" s="954"/>
      <c r="D77" s="954"/>
      <c r="E77" s="954"/>
      <c r="F77" s="954"/>
      <c r="G77" s="954"/>
      <c r="H77" s="954"/>
      <c r="I77" s="954"/>
    </row>
    <row r="78" spans="1:10" x14ac:dyDescent="0.2">
      <c r="A78" s="3" t="s">
        <v>265</v>
      </c>
      <c r="B78" s="18" t="s">
        <v>266</v>
      </c>
      <c r="C78" s="62" t="s">
        <v>267</v>
      </c>
      <c r="D78" s="62" t="s">
        <v>267</v>
      </c>
      <c r="E78" s="62" t="s">
        <v>267</v>
      </c>
      <c r="F78" s="611" t="str">
        <f>IF($B$3="Bear",C78,IF($B$3="Bull",E78,D78))</f>
        <v>Exit Multiple</v>
      </c>
      <c r="G78" s="595" t="s">
        <v>268</v>
      </c>
      <c r="H78" s="595" t="s">
        <v>84</v>
      </c>
      <c r="I78" s="908" t="s">
        <v>269</v>
      </c>
    </row>
    <row r="79" spans="1:10" x14ac:dyDescent="0.2">
      <c r="A79" s="3" t="s">
        <v>270</v>
      </c>
      <c r="B79" s="18" t="s">
        <v>271</v>
      </c>
      <c r="C79" s="25">
        <v>3</v>
      </c>
      <c r="D79" s="25">
        <v>3.5</v>
      </c>
      <c r="E79" s="25">
        <v>4.5</v>
      </c>
      <c r="F79" s="614">
        <f>IF($B$3="Bear",C79,IF($B$3="Bull",E79,IF($B$3="ProbWeighted",J79,D79)))</f>
        <v>3.5</v>
      </c>
      <c r="G79" s="595" t="s">
        <v>64</v>
      </c>
      <c r="H79" s="595" t="s">
        <v>70</v>
      </c>
      <c r="I79" s="908" t="s">
        <v>272</v>
      </c>
      <c r="J79" s="1152">
        <f>$C$2*C79+$E$2*D79+$G$2*E79</f>
        <v>3.7</v>
      </c>
    </row>
    <row r="80" spans="1:10" x14ac:dyDescent="0.2">
      <c r="A80" s="3" t="s">
        <v>273</v>
      </c>
      <c r="B80" s="18" t="s">
        <v>274</v>
      </c>
      <c r="C80" s="25">
        <v>12</v>
      </c>
      <c r="D80" s="25">
        <v>15</v>
      </c>
      <c r="E80" s="25">
        <v>18</v>
      </c>
      <c r="F80" s="614">
        <f>IF($B$3="Bear",C80,IF($B$3="Bull",E80,D80))</f>
        <v>15</v>
      </c>
      <c r="G80" s="595" t="s">
        <v>64</v>
      </c>
      <c r="H80" s="595" t="s">
        <v>65</v>
      </c>
      <c r="I80" s="908" t="s">
        <v>275</v>
      </c>
    </row>
    <row r="81" spans="1:9" x14ac:dyDescent="0.2">
      <c r="A81" s="3" t="s">
        <v>276</v>
      </c>
      <c r="B81" s="18" t="s">
        <v>277</v>
      </c>
      <c r="C81" s="16">
        <v>2.5000000000000001E-2</v>
      </c>
      <c r="D81" s="16">
        <v>0.03</v>
      </c>
      <c r="E81" s="16">
        <v>3.5000000000000003E-2</v>
      </c>
      <c r="F81" s="607">
        <f>IF($B$3="Bear",C81,IF($B$3="Bull",E81,D81))</f>
        <v>0.03</v>
      </c>
      <c r="G81" s="595" t="s">
        <v>88</v>
      </c>
      <c r="H81" s="595" t="s">
        <v>70</v>
      </c>
      <c r="I81" s="908" t="s">
        <v>278</v>
      </c>
    </row>
    <row r="82" spans="1:9" x14ac:dyDescent="0.2">
      <c r="A82" s="3" t="s">
        <v>279</v>
      </c>
      <c r="B82" s="18" t="s">
        <v>280</v>
      </c>
      <c r="C82" s="16">
        <v>0.4</v>
      </c>
      <c r="D82" s="16">
        <v>0.5</v>
      </c>
      <c r="E82" s="16">
        <v>0.6</v>
      </c>
      <c r="F82" s="607">
        <f>IF($B$3="Bear",C82,IF($B$3="Bull",E82,D82))</f>
        <v>0.5</v>
      </c>
      <c r="G82" s="595" t="s">
        <v>64</v>
      </c>
      <c r="H82" s="595" t="s">
        <v>65</v>
      </c>
      <c r="I82" s="908" t="s">
        <v>281</v>
      </c>
    </row>
    <row r="83" spans="1:9" ht="22" customHeight="1" x14ac:dyDescent="0.2">
      <c r="A83" s="560"/>
      <c r="B83" s="560"/>
      <c r="C83" s="560"/>
      <c r="D83" s="560"/>
      <c r="E83" s="560"/>
      <c r="F83" s="560"/>
      <c r="G83" s="560"/>
      <c r="H83" s="560"/>
      <c r="I83" s="718"/>
    </row>
    <row r="84" spans="1:9" ht="22" customHeight="1" x14ac:dyDescent="0.2">
      <c r="A84" s="939" t="s">
        <v>282</v>
      </c>
      <c r="B84" s="940"/>
      <c r="C84" s="940"/>
      <c r="D84" s="940"/>
      <c r="E84" s="940"/>
      <c r="F84" s="940"/>
      <c r="G84" s="940"/>
      <c r="H84" s="940"/>
      <c r="I84" s="940"/>
    </row>
    <row r="85" spans="1:9" x14ac:dyDescent="0.2">
      <c r="A85" s="3" t="s">
        <v>283</v>
      </c>
      <c r="B85" s="18" t="s">
        <v>284</v>
      </c>
      <c r="C85" s="16">
        <v>0.4</v>
      </c>
      <c r="D85" s="16">
        <v>0.2</v>
      </c>
      <c r="E85" s="16">
        <v>0.1</v>
      </c>
      <c r="F85" s="607">
        <f>IF($B$3="Bear",C85,IF($B$3="Bull",E85,D85))</f>
        <v>0.2</v>
      </c>
      <c r="G85" s="595" t="s">
        <v>268</v>
      </c>
      <c r="H85" s="595" t="s">
        <v>70</v>
      </c>
      <c r="I85" s="908" t="s">
        <v>285</v>
      </c>
    </row>
    <row r="86" spans="1:9" x14ac:dyDescent="0.2">
      <c r="A86" s="3" t="s">
        <v>286</v>
      </c>
      <c r="B86" s="18" t="s">
        <v>287</v>
      </c>
      <c r="C86" s="16">
        <v>0.4</v>
      </c>
      <c r="D86" s="16">
        <v>0.4</v>
      </c>
      <c r="E86" s="16">
        <v>0.3</v>
      </c>
      <c r="F86" s="607">
        <f>IF($B$3="Bear",C86,IF($B$3="Bull",E86,D86))</f>
        <v>0.4</v>
      </c>
      <c r="G86" s="595" t="s">
        <v>268</v>
      </c>
      <c r="H86" s="595" t="s">
        <v>70</v>
      </c>
      <c r="I86" s="908" t="s">
        <v>288</v>
      </c>
    </row>
    <row r="87" spans="1:9" x14ac:dyDescent="0.2">
      <c r="A87" s="3" t="s">
        <v>289</v>
      </c>
      <c r="B87" s="18" t="s">
        <v>290</v>
      </c>
      <c r="C87" s="16">
        <v>0.2</v>
      </c>
      <c r="D87" s="16">
        <v>0.4</v>
      </c>
      <c r="E87" s="16">
        <v>0.6</v>
      </c>
      <c r="F87" s="607">
        <f>IF($B$3="Bear",C87,IF($B$3="Bull",E87,D87))</f>
        <v>0.4</v>
      </c>
      <c r="G87" s="595" t="s">
        <v>268</v>
      </c>
      <c r="H87" s="595" t="s">
        <v>70</v>
      </c>
      <c r="I87" s="908" t="s">
        <v>291</v>
      </c>
    </row>
    <row r="88" spans="1:9" x14ac:dyDescent="0.2">
      <c r="A88" s="3" t="s">
        <v>292</v>
      </c>
      <c r="B88" s="18" t="s">
        <v>293</v>
      </c>
      <c r="C88" s="626">
        <f>C85+C86+C87</f>
        <v>1</v>
      </c>
      <c r="D88" s="626">
        <f>D85+D86+D87</f>
        <v>1</v>
      </c>
      <c r="E88" s="626">
        <f>E85+E86+E87</f>
        <v>1</v>
      </c>
      <c r="F88" s="607">
        <f>IF($B$3="Bear",C88,IF($B$3="Bull",E88,D88))</f>
        <v>1</v>
      </c>
      <c r="G88" s="595" t="s">
        <v>74</v>
      </c>
      <c r="H88" s="595" t="s">
        <v>294</v>
      </c>
      <c r="I88" s="908" t="s">
        <v>295</v>
      </c>
    </row>
    <row r="89" spans="1:9" x14ac:dyDescent="0.2">
      <c r="A89" s="27"/>
      <c r="B89" s="27"/>
      <c r="C89" s="624"/>
      <c r="D89" s="624"/>
      <c r="E89" s="624"/>
      <c r="F89" s="608"/>
      <c r="G89" s="27"/>
      <c r="H89" s="27"/>
      <c r="I89" s="408"/>
    </row>
    <row r="90" spans="1:9" ht="22" customHeight="1" x14ac:dyDescent="0.2">
      <c r="A90" s="939" t="s">
        <v>296</v>
      </c>
      <c r="B90" s="940"/>
      <c r="C90" s="940"/>
      <c r="D90" s="940"/>
      <c r="E90" s="940"/>
      <c r="F90" s="940"/>
      <c r="G90" s="940"/>
      <c r="H90" s="940"/>
      <c r="I90" s="940"/>
    </row>
    <row r="91" spans="1:9" x14ac:dyDescent="0.2">
      <c r="A91" s="3" t="s">
        <v>297</v>
      </c>
      <c r="B91" s="18" t="s">
        <v>298</v>
      </c>
      <c r="C91" s="17">
        <v>18</v>
      </c>
      <c r="D91" s="17">
        <v>15</v>
      </c>
      <c r="E91" s="17">
        <v>12</v>
      </c>
      <c r="F91" s="615">
        <f>IF($B$3="Bear",C91,IF($B$3="Bull",E91,D91))</f>
        <v>15</v>
      </c>
      <c r="G91" s="595" t="s">
        <v>88</v>
      </c>
      <c r="H91" s="595" t="s">
        <v>65</v>
      </c>
      <c r="I91" s="908" t="s">
        <v>299</v>
      </c>
    </row>
    <row r="92" spans="1:9" x14ac:dyDescent="0.2">
      <c r="A92" s="3" t="s">
        <v>300</v>
      </c>
      <c r="B92" s="18" t="s">
        <v>301</v>
      </c>
      <c r="C92" s="16">
        <v>0.25</v>
      </c>
      <c r="D92" s="16">
        <v>0.2</v>
      </c>
      <c r="E92" s="16">
        <v>0.15</v>
      </c>
      <c r="F92" s="607">
        <f>IF($B$3="Bear",C92,IF($B$3="Bull",E92,D92))</f>
        <v>0.2</v>
      </c>
      <c r="G92" s="595" t="s">
        <v>88</v>
      </c>
      <c r="H92" s="595" t="s">
        <v>70</v>
      </c>
      <c r="I92" s="908" t="s">
        <v>302</v>
      </c>
    </row>
    <row r="93" spans="1:9" ht="22" customHeight="1" x14ac:dyDescent="0.2">
      <c r="A93" s="3" t="s">
        <v>303</v>
      </c>
      <c r="B93" s="3"/>
      <c r="C93" s="3"/>
      <c r="D93" s="3"/>
      <c r="E93" s="3"/>
      <c r="F93" s="3"/>
      <c r="G93" s="3"/>
      <c r="H93" s="3"/>
      <c r="I93" s="717"/>
    </row>
    <row r="94" spans="1:9" x14ac:dyDescent="0.2">
      <c r="A94" s="3" t="s">
        <v>304</v>
      </c>
      <c r="B94" s="18" t="s">
        <v>305</v>
      </c>
      <c r="C94" s="16">
        <v>0.3</v>
      </c>
      <c r="D94" s="16">
        <v>0.25</v>
      </c>
      <c r="E94" s="16">
        <v>0.2</v>
      </c>
      <c r="F94" s="607">
        <f>IF($B$3="Bear",C94,IF($B$3="Bull",E94,D94))</f>
        <v>0.25</v>
      </c>
      <c r="G94" s="595" t="s">
        <v>64</v>
      </c>
      <c r="H94" s="595" t="s">
        <v>114</v>
      </c>
      <c r="I94" s="908" t="s">
        <v>306</v>
      </c>
    </row>
    <row r="95" spans="1:9" x14ac:dyDescent="0.2">
      <c r="A95" s="3" t="s">
        <v>307</v>
      </c>
      <c r="B95" s="18" t="s">
        <v>308</v>
      </c>
      <c r="C95" s="623">
        <f>10100/(1-C93)/(1-C92)</f>
        <v>13466.666666666666</v>
      </c>
      <c r="D95" s="623">
        <f>10100/(1-D93)/(1-D92)</f>
        <v>12625</v>
      </c>
      <c r="E95" s="623">
        <f>10100/(1-E93)/(1-E92)</f>
        <v>11882.35294117647</v>
      </c>
      <c r="F95" s="606">
        <f>IF($B$3="Bear",C95,IF($B$3="Bull",E95,D95))</f>
        <v>12625</v>
      </c>
      <c r="G95" s="595" t="s">
        <v>74</v>
      </c>
      <c r="H95" s="595" t="s">
        <v>70</v>
      </c>
      <c r="I95" s="908" t="s">
        <v>309</v>
      </c>
    </row>
    <row r="96" spans="1:9" x14ac:dyDescent="0.2">
      <c r="A96" s="27"/>
      <c r="B96" s="27"/>
      <c r="C96" s="624"/>
      <c r="D96" s="624"/>
      <c r="E96" s="624"/>
      <c r="F96" s="608"/>
      <c r="G96" s="27"/>
      <c r="H96" s="27"/>
      <c r="I96" s="408"/>
    </row>
    <row r="97" spans="1:9" ht="22" customHeight="1" x14ac:dyDescent="0.2">
      <c r="A97" s="939" t="s">
        <v>310</v>
      </c>
      <c r="B97" s="940"/>
      <c r="C97" s="940"/>
      <c r="D97" s="940"/>
      <c r="E97" s="940"/>
      <c r="F97" s="940"/>
      <c r="G97" s="940"/>
      <c r="H97" s="940"/>
      <c r="I97" s="940"/>
    </row>
    <row r="98" spans="1:9" x14ac:dyDescent="0.2">
      <c r="A98" s="3" t="s">
        <v>311</v>
      </c>
      <c r="B98" s="18" t="s">
        <v>312</v>
      </c>
      <c r="C98" s="62" t="s">
        <v>313</v>
      </c>
      <c r="D98" s="62" t="s">
        <v>313</v>
      </c>
      <c r="E98" s="62" t="s">
        <v>313</v>
      </c>
      <c r="F98" s="611" t="str">
        <f t="shared" ref="F98:F103" si="4">IF($B$3="Bear",C98,IF($B$3="Bull",E98,D98))</f>
        <v>Last 5 years</v>
      </c>
      <c r="G98" s="595" t="s">
        <v>268</v>
      </c>
      <c r="H98" s="595" t="s">
        <v>84</v>
      </c>
      <c r="I98" s="908" t="s">
        <v>314</v>
      </c>
    </row>
    <row r="99" spans="1:9" x14ac:dyDescent="0.2">
      <c r="A99" s="3" t="s">
        <v>315</v>
      </c>
      <c r="B99" s="18" t="s">
        <v>316</v>
      </c>
      <c r="C99" s="56">
        <v>500</v>
      </c>
      <c r="D99" s="56">
        <v>500</v>
      </c>
      <c r="E99" s="56">
        <v>500</v>
      </c>
      <c r="F99" s="606">
        <f t="shared" si="4"/>
        <v>500</v>
      </c>
      <c r="G99" s="595" t="s">
        <v>268</v>
      </c>
      <c r="H99" s="595" t="s">
        <v>84</v>
      </c>
      <c r="I99" s="908" t="s">
        <v>317</v>
      </c>
    </row>
    <row r="100" spans="1:9" x14ac:dyDescent="0.2">
      <c r="A100" s="3" t="s">
        <v>318</v>
      </c>
      <c r="B100" s="18" t="s">
        <v>319</v>
      </c>
      <c r="C100" s="62" t="s">
        <v>320</v>
      </c>
      <c r="D100" s="62" t="s">
        <v>320</v>
      </c>
      <c r="E100" s="62" t="s">
        <v>320</v>
      </c>
      <c r="F100" s="611" t="str">
        <f t="shared" si="4"/>
        <v>EV/LTM Rev</v>
      </c>
      <c r="G100" s="595" t="s">
        <v>268</v>
      </c>
      <c r="H100" s="595" t="s">
        <v>84</v>
      </c>
      <c r="I100" s="908" t="s">
        <v>321</v>
      </c>
    </row>
    <row r="101" spans="1:9" x14ac:dyDescent="0.2">
      <c r="A101" s="3" t="s">
        <v>322</v>
      </c>
      <c r="B101" s="18" t="s">
        <v>323</v>
      </c>
      <c r="C101" s="25">
        <v>1</v>
      </c>
      <c r="D101" s="25">
        <v>1.5</v>
      </c>
      <c r="E101" s="25">
        <v>2.5</v>
      </c>
      <c r="F101" s="614">
        <f t="shared" si="4"/>
        <v>1.5</v>
      </c>
      <c r="G101" s="595" t="s">
        <v>88</v>
      </c>
      <c r="H101" s="595" t="s">
        <v>65</v>
      </c>
      <c r="I101" s="908" t="s">
        <v>324</v>
      </c>
    </row>
    <row r="102" spans="1:9" x14ac:dyDescent="0.2">
      <c r="A102" s="3" t="s">
        <v>325</v>
      </c>
      <c r="B102" s="18" t="s">
        <v>326</v>
      </c>
      <c r="C102" s="25">
        <v>0.8</v>
      </c>
      <c r="D102" s="25">
        <v>1.5</v>
      </c>
      <c r="E102" s="25">
        <v>3</v>
      </c>
      <c r="F102" s="614">
        <f t="shared" si="4"/>
        <v>1.5</v>
      </c>
      <c r="G102" s="595" t="s">
        <v>88</v>
      </c>
      <c r="H102" s="595" t="s">
        <v>65</v>
      </c>
      <c r="I102" s="908" t="s">
        <v>327</v>
      </c>
    </row>
    <row r="103" spans="1:9" x14ac:dyDescent="0.2">
      <c r="A103" s="3" t="s">
        <v>328</v>
      </c>
      <c r="B103" s="18" t="s">
        <v>329</v>
      </c>
      <c r="C103" s="25">
        <v>6</v>
      </c>
      <c r="D103" s="25">
        <v>8</v>
      </c>
      <c r="E103" s="25">
        <v>10</v>
      </c>
      <c r="F103" s="614">
        <f t="shared" si="4"/>
        <v>8</v>
      </c>
      <c r="G103" s="595" t="s">
        <v>88</v>
      </c>
      <c r="H103" s="595" t="s">
        <v>65</v>
      </c>
      <c r="I103" s="908" t="s">
        <v>330</v>
      </c>
    </row>
    <row r="104" spans="1:9" x14ac:dyDescent="0.2">
      <c r="A104" s="27"/>
      <c r="B104" s="27"/>
      <c r="C104" s="624"/>
      <c r="D104" s="624"/>
      <c r="E104" s="624"/>
      <c r="F104" s="608"/>
      <c r="G104" s="27"/>
      <c r="H104" s="27"/>
      <c r="I104" s="408"/>
    </row>
    <row r="105" spans="1:9" ht="22" customHeight="1" x14ac:dyDescent="0.2">
      <c r="A105" s="939" t="s">
        <v>331</v>
      </c>
      <c r="B105" s="954"/>
      <c r="C105" s="954"/>
      <c r="D105" s="954"/>
      <c r="E105" s="954"/>
      <c r="F105" s="954"/>
      <c r="G105" s="954"/>
      <c r="H105" s="954"/>
      <c r="I105" s="954"/>
    </row>
    <row r="106" spans="1:9" x14ac:dyDescent="0.2">
      <c r="A106" s="941" t="s">
        <v>332</v>
      </c>
      <c r="B106" s="944"/>
      <c r="C106" s="942"/>
      <c r="D106" s="942"/>
      <c r="E106" s="942"/>
      <c r="F106" s="943"/>
      <c r="G106" s="944"/>
      <c r="H106" s="944"/>
      <c r="I106" s="937"/>
    </row>
    <row r="107" spans="1:9" x14ac:dyDescent="0.2">
      <c r="A107" s="27"/>
      <c r="B107" s="27"/>
      <c r="C107" s="624"/>
      <c r="D107" s="624"/>
      <c r="E107" s="624"/>
      <c r="F107" s="608"/>
      <c r="G107" s="27"/>
      <c r="H107" s="27"/>
      <c r="I107" s="408"/>
    </row>
    <row r="108" spans="1:9" ht="22" customHeight="1" x14ac:dyDescent="0.2">
      <c r="A108" s="945" t="s">
        <v>333</v>
      </c>
      <c r="B108" s="946"/>
      <c r="C108" s="947"/>
      <c r="D108" s="947"/>
      <c r="E108" s="947"/>
      <c r="F108" s="948"/>
      <c r="G108" s="946"/>
      <c r="H108" s="946"/>
      <c r="I108" s="949"/>
    </row>
    <row r="109" spans="1:9" x14ac:dyDescent="0.2">
      <c r="A109" s="62" t="s">
        <v>334</v>
      </c>
      <c r="B109" s="941" t="s">
        <v>24</v>
      </c>
      <c r="C109" s="942"/>
      <c r="D109" s="942"/>
      <c r="E109" s="942"/>
      <c r="F109" s="943"/>
      <c r="G109" s="944"/>
      <c r="H109" s="944"/>
      <c r="I109" s="937"/>
    </row>
    <row r="110" spans="1:9" x14ac:dyDescent="0.2">
      <c r="A110" s="66" t="s">
        <v>335</v>
      </c>
      <c r="B110" s="941" t="s">
        <v>336</v>
      </c>
      <c r="C110" s="942"/>
      <c r="D110" s="942"/>
      <c r="E110" s="942"/>
      <c r="F110" s="943"/>
      <c r="G110" s="944"/>
      <c r="H110" s="944"/>
      <c r="I110" s="937"/>
    </row>
    <row r="111" spans="1:9" x14ac:dyDescent="0.2">
      <c r="A111" s="67" t="s">
        <v>337</v>
      </c>
      <c r="B111" s="941" t="s">
        <v>338</v>
      </c>
      <c r="C111" s="942"/>
      <c r="D111" s="942"/>
      <c r="E111" s="942"/>
      <c r="F111" s="943"/>
      <c r="G111" s="944"/>
      <c r="H111" s="944"/>
      <c r="I111" s="937"/>
    </row>
    <row r="112" spans="1:9" x14ac:dyDescent="0.2">
      <c r="A112" s="65" t="s">
        <v>339</v>
      </c>
      <c r="B112" s="941" t="s">
        <v>340</v>
      </c>
      <c r="C112" s="942"/>
      <c r="D112" s="942"/>
      <c r="E112" s="942"/>
      <c r="F112" s="943"/>
      <c r="G112" s="944"/>
      <c r="H112" s="944"/>
      <c r="I112" s="937"/>
    </row>
    <row r="113" spans="1:9" x14ac:dyDescent="0.2">
      <c r="A113" s="63" t="s">
        <v>341</v>
      </c>
      <c r="B113" s="941" t="s">
        <v>342</v>
      </c>
      <c r="C113" s="942"/>
      <c r="D113" s="942"/>
      <c r="E113" s="942"/>
      <c r="F113" s="943"/>
      <c r="G113" s="944"/>
      <c r="H113" s="944"/>
      <c r="I113" s="937"/>
    </row>
    <row r="114" spans="1:9" x14ac:dyDescent="0.2">
      <c r="A114" s="27"/>
      <c r="B114" s="27"/>
      <c r="C114" s="624"/>
      <c r="D114" s="624"/>
      <c r="E114" s="624"/>
      <c r="F114" s="608"/>
      <c r="G114" s="27"/>
      <c r="H114" s="27"/>
      <c r="I114" s="408"/>
    </row>
    <row r="115" spans="1:9" ht="22" customHeight="1" x14ac:dyDescent="0.2">
      <c r="A115" s="955" t="s">
        <v>343</v>
      </c>
      <c r="B115" s="956"/>
      <c r="C115" s="956"/>
      <c r="D115" s="956"/>
      <c r="E115" s="956"/>
      <c r="F115" s="956"/>
      <c r="G115" s="956"/>
      <c r="H115" s="956"/>
      <c r="I115" s="956"/>
    </row>
    <row r="116" spans="1:9" x14ac:dyDescent="0.2">
      <c r="A116" s="30" t="s">
        <v>344</v>
      </c>
      <c r="B116" s="27"/>
      <c r="C116" s="624"/>
      <c r="D116" s="624"/>
      <c r="E116" s="624"/>
      <c r="F116" s="608"/>
      <c r="G116" s="27"/>
      <c r="H116" s="27"/>
      <c r="I116" s="408"/>
    </row>
    <row r="117" spans="1:9" x14ac:dyDescent="0.2">
      <c r="A117" s="27"/>
      <c r="B117" s="27"/>
      <c r="C117" s="624"/>
      <c r="D117" s="624"/>
      <c r="E117" s="624"/>
      <c r="F117" s="608"/>
      <c r="G117" s="27"/>
      <c r="H117" s="27"/>
      <c r="I117" s="408"/>
    </row>
    <row r="118" spans="1:9" x14ac:dyDescent="0.2">
      <c r="A118" s="27" t="s">
        <v>345</v>
      </c>
      <c r="B118" s="27" t="s">
        <v>346</v>
      </c>
      <c r="C118" s="28">
        <v>0.28000000000000003</v>
      </c>
      <c r="D118" s="28">
        <v>0.3</v>
      </c>
      <c r="E118" s="28">
        <v>0.32</v>
      </c>
      <c r="F118" s="612">
        <f>IF($B$3="Bear",C118,IF($B$3="Bull",E118,D118))</f>
        <v>0.3</v>
      </c>
      <c r="G118" s="597" t="s">
        <v>88</v>
      </c>
      <c r="H118" s="68" t="s">
        <v>70</v>
      </c>
      <c r="I118" s="408" t="s">
        <v>347</v>
      </c>
    </row>
    <row r="119" spans="1:9" x14ac:dyDescent="0.2">
      <c r="A119" s="27" t="s">
        <v>348</v>
      </c>
      <c r="B119" s="27" t="s">
        <v>349</v>
      </c>
      <c r="C119" s="28">
        <v>0.18</v>
      </c>
      <c r="D119" s="28">
        <v>0.19</v>
      </c>
      <c r="E119" s="28">
        <v>0.2</v>
      </c>
      <c r="F119" s="612">
        <f>IF($B$3="Bear",C119,IF($B$3="Bull",E119,D119))</f>
        <v>0.19</v>
      </c>
      <c r="G119" s="597" t="s">
        <v>88</v>
      </c>
      <c r="H119" s="27" t="s">
        <v>65</v>
      </c>
      <c r="I119" s="408" t="s">
        <v>350</v>
      </c>
    </row>
    <row r="120" spans="1:9" x14ac:dyDescent="0.2">
      <c r="A120" s="806" t="s">
        <v>351</v>
      </c>
      <c r="B120" s="807" t="s">
        <v>352</v>
      </c>
      <c r="C120" s="842" t="s">
        <v>353</v>
      </c>
      <c r="D120" s="841">
        <f>Members!E50</f>
        <v>1.6580999999999997</v>
      </c>
      <c r="E120" s="842" t="s">
        <v>353</v>
      </c>
      <c r="F120" s="843">
        <f>D120</f>
        <v>1.6580999999999997</v>
      </c>
      <c r="G120" s="808" t="s">
        <v>88</v>
      </c>
      <c r="H120" s="809" t="s">
        <v>65</v>
      </c>
      <c r="I120" s="844" t="s">
        <v>354</v>
      </c>
    </row>
    <row r="121" spans="1:9" x14ac:dyDescent="0.2">
      <c r="A121" s="808" t="s">
        <v>355</v>
      </c>
      <c r="B121" s="810" t="s">
        <v>356</v>
      </c>
      <c r="C121" s="842" t="s">
        <v>353</v>
      </c>
      <c r="D121" s="841">
        <f>Members!F50</f>
        <v>2.0290103999999989</v>
      </c>
      <c r="E121" s="842" t="s">
        <v>353</v>
      </c>
      <c r="F121" s="843">
        <f>D121</f>
        <v>2.0290103999999989</v>
      </c>
      <c r="G121" s="808" t="s">
        <v>88</v>
      </c>
      <c r="H121" s="809" t="s">
        <v>65</v>
      </c>
      <c r="I121" s="844" t="s">
        <v>357</v>
      </c>
    </row>
    <row r="122" spans="1:9" x14ac:dyDescent="0.2">
      <c r="A122" s="69" t="s">
        <v>358</v>
      </c>
      <c r="B122" s="69" t="s">
        <v>359</v>
      </c>
      <c r="C122" s="70">
        <v>180</v>
      </c>
      <c r="D122" s="70">
        <v>150</v>
      </c>
      <c r="E122" s="70">
        <v>130</v>
      </c>
      <c r="F122" s="616">
        <f>IF($B$3="Bear",C122,IF($B$3="Bull",E122,D122))</f>
        <v>150</v>
      </c>
      <c r="G122" s="598" t="s">
        <v>64</v>
      </c>
      <c r="H122" s="71" t="s">
        <v>70</v>
      </c>
      <c r="I122" s="848" t="s">
        <v>360</v>
      </c>
    </row>
    <row r="123" spans="1:9" x14ac:dyDescent="0.2">
      <c r="A123" s="69" t="s">
        <v>361</v>
      </c>
      <c r="B123" s="69" t="s">
        <v>362</v>
      </c>
      <c r="C123" s="29">
        <v>250</v>
      </c>
      <c r="D123" s="29">
        <v>176</v>
      </c>
      <c r="E123" s="29">
        <v>145</v>
      </c>
      <c r="F123" s="602">
        <f>IF($B$3="Bear",C123,IF($B$3="Bull",E123,D123))</f>
        <v>176</v>
      </c>
      <c r="G123" s="598" t="s">
        <v>64</v>
      </c>
      <c r="H123" s="71" t="s">
        <v>70</v>
      </c>
      <c r="I123" s="848" t="s">
        <v>363</v>
      </c>
    </row>
    <row r="124" spans="1:9" x14ac:dyDescent="0.2">
      <c r="A124" s="69" t="s">
        <v>364</v>
      </c>
      <c r="B124" s="69" t="s">
        <v>365</v>
      </c>
      <c r="C124" s="33">
        <v>12</v>
      </c>
      <c r="D124" s="33">
        <v>25</v>
      </c>
      <c r="E124" s="33">
        <v>45</v>
      </c>
      <c r="F124" s="617">
        <f>IF($B$3="Bear",C124,IF($B$3="Bull",E124,D124))</f>
        <v>25</v>
      </c>
      <c r="G124" s="598" t="s">
        <v>69</v>
      </c>
      <c r="H124" s="71" t="s">
        <v>70</v>
      </c>
      <c r="I124" s="622" t="s">
        <v>366</v>
      </c>
    </row>
    <row r="125" spans="1:9" x14ac:dyDescent="0.2">
      <c r="A125" s="822" t="s">
        <v>367</v>
      </c>
      <c r="B125" s="821" t="s">
        <v>368</v>
      </c>
      <c r="C125" s="845">
        <v>30</v>
      </c>
      <c r="D125" s="845">
        <v>40</v>
      </c>
      <c r="E125" s="845">
        <v>55</v>
      </c>
      <c r="F125" s="846">
        <f>IF($B$3="Bear",C125,IF($B$3="Bull",E125,D125))</f>
        <v>40</v>
      </c>
      <c r="G125" s="847" t="s">
        <v>88</v>
      </c>
      <c r="H125" s="821" t="s">
        <v>65</v>
      </c>
      <c r="I125" s="820" t="s">
        <v>369</v>
      </c>
    </row>
    <row r="126" spans="1:9" x14ac:dyDescent="0.2">
      <c r="A126" s="822" t="s">
        <v>370</v>
      </c>
      <c r="B126" s="821" t="s">
        <v>371</v>
      </c>
      <c r="C126" s="845">
        <v>210</v>
      </c>
      <c r="D126" s="845">
        <v>335</v>
      </c>
      <c r="E126" s="845">
        <v>420</v>
      </c>
      <c r="F126" s="846">
        <f>IF($B$3="Bear",C126,IF($B$3="Bull",E126,D126))</f>
        <v>335</v>
      </c>
      <c r="G126" s="821" t="s">
        <v>88</v>
      </c>
      <c r="H126" s="821" t="s">
        <v>65</v>
      </c>
      <c r="I126" s="820" t="s">
        <v>372</v>
      </c>
    </row>
    <row r="127" spans="1:9" ht="22" customHeight="1" x14ac:dyDescent="0.2">
      <c r="A127" s="933" t="s">
        <v>373</v>
      </c>
      <c r="B127" s="951"/>
      <c r="C127" s="951"/>
      <c r="D127" s="951"/>
      <c r="E127" s="951"/>
      <c r="F127" s="951"/>
      <c r="G127" s="951"/>
      <c r="H127" s="951"/>
      <c r="I127" s="951"/>
    </row>
    <row r="128" spans="1:9" x14ac:dyDescent="0.2">
      <c r="A128" s="30" t="s">
        <v>374</v>
      </c>
      <c r="B128" s="27"/>
      <c r="C128" s="624"/>
      <c r="D128" s="624"/>
      <c r="E128" s="624"/>
      <c r="F128" s="608"/>
      <c r="G128" s="27"/>
      <c r="H128" s="27"/>
      <c r="I128" s="408"/>
    </row>
    <row r="129" spans="1:9" x14ac:dyDescent="0.2">
      <c r="A129" s="27"/>
      <c r="B129" s="27"/>
      <c r="C129" s="624"/>
      <c r="D129" s="624"/>
      <c r="E129" s="624"/>
      <c r="F129" s="608"/>
      <c r="G129" s="27"/>
      <c r="H129" s="27"/>
      <c r="I129" s="408"/>
    </row>
    <row r="130" spans="1:9" x14ac:dyDescent="0.2">
      <c r="A130" s="30" t="s">
        <v>375</v>
      </c>
      <c r="B130" s="27"/>
      <c r="C130" s="624"/>
      <c r="D130" s="624"/>
      <c r="E130" s="624"/>
      <c r="F130" s="608"/>
      <c r="G130" s="27"/>
      <c r="H130" s="27"/>
      <c r="I130" s="408"/>
    </row>
    <row r="131" spans="1:9" x14ac:dyDescent="0.2">
      <c r="A131" s="27" t="s">
        <v>376</v>
      </c>
      <c r="B131" s="27" t="s">
        <v>377</v>
      </c>
      <c r="C131" s="504">
        <v>0.5</v>
      </c>
      <c r="D131" s="504">
        <v>0.3</v>
      </c>
      <c r="E131" s="504">
        <v>0.2</v>
      </c>
      <c r="F131" s="618">
        <f>IF($B$3="Bear",C131,IF($B$3="Bull",E131,D131))</f>
        <v>0.3</v>
      </c>
      <c r="G131" s="27" t="s">
        <v>88</v>
      </c>
      <c r="H131" s="27" t="s">
        <v>65</v>
      </c>
      <c r="I131" s="408" t="s">
        <v>378</v>
      </c>
    </row>
    <row r="132" spans="1:9" x14ac:dyDescent="0.2">
      <c r="A132" s="27" t="s">
        <v>379</v>
      </c>
      <c r="B132" s="27" t="s">
        <v>380</v>
      </c>
      <c r="C132" s="504">
        <v>0.35</v>
      </c>
      <c r="D132" s="504">
        <v>0.45</v>
      </c>
      <c r="E132" s="504">
        <v>0.4</v>
      </c>
      <c r="F132" s="618">
        <f>IF($B$3="Bear",C132,IF($B$3="Bull",E132,D132))</f>
        <v>0.45</v>
      </c>
      <c r="G132" s="27" t="s">
        <v>88</v>
      </c>
      <c r="H132" s="27" t="s">
        <v>65</v>
      </c>
      <c r="I132" s="408" t="s">
        <v>381</v>
      </c>
    </row>
    <row r="133" spans="1:9" x14ac:dyDescent="0.2">
      <c r="A133" s="27" t="s">
        <v>382</v>
      </c>
      <c r="B133" s="27" t="s">
        <v>383</v>
      </c>
      <c r="C133" s="504">
        <v>0.15</v>
      </c>
      <c r="D133" s="504">
        <v>0.25</v>
      </c>
      <c r="E133" s="504">
        <v>0.4</v>
      </c>
      <c r="F133" s="618">
        <f>IF($B$3="Bear",C133,IF($B$3="Bull",E133,D133))</f>
        <v>0.25</v>
      </c>
      <c r="G133" s="27" t="s">
        <v>88</v>
      </c>
      <c r="H133" s="27" t="s">
        <v>65</v>
      </c>
      <c r="I133" s="408" t="s">
        <v>384</v>
      </c>
    </row>
    <row r="134" spans="1:9" x14ac:dyDescent="0.2">
      <c r="A134" s="27" t="s">
        <v>385</v>
      </c>
      <c r="B134" s="27" t="s">
        <v>386</v>
      </c>
      <c r="C134" s="504">
        <v>0.15</v>
      </c>
      <c r="D134" s="504">
        <v>0.12</v>
      </c>
      <c r="E134" s="504">
        <v>0.1</v>
      </c>
      <c r="F134" s="618">
        <f>IF($B$3="Bear",C134,IF($B$3="Bull",E134,D134))</f>
        <v>0.12</v>
      </c>
      <c r="G134" s="27" t="s">
        <v>64</v>
      </c>
      <c r="H134" s="27" t="s">
        <v>114</v>
      </c>
      <c r="I134" s="408" t="s">
        <v>387</v>
      </c>
    </row>
    <row r="135" spans="1:9" x14ac:dyDescent="0.2">
      <c r="A135" s="27" t="s">
        <v>388</v>
      </c>
      <c r="B135" s="27" t="s">
        <v>389</v>
      </c>
      <c r="C135" s="599">
        <v>0</v>
      </c>
      <c r="D135" s="599">
        <v>1.4999999999999999E-2</v>
      </c>
      <c r="E135" s="599">
        <v>2.5000000000000001E-2</v>
      </c>
      <c r="F135" s="603">
        <f>IF($B$3="Bear",C135,IF($B$3="Bull",E135,D135))</f>
        <v>1.4999999999999999E-2</v>
      </c>
      <c r="G135" s="27" t="s">
        <v>88</v>
      </c>
      <c r="H135" s="27" t="s">
        <v>65</v>
      </c>
      <c r="I135" s="408" t="s">
        <v>390</v>
      </c>
    </row>
    <row r="136" spans="1:9" x14ac:dyDescent="0.2">
      <c r="A136" s="27"/>
      <c r="B136" s="27"/>
      <c r="C136" s="624"/>
      <c r="D136" s="624"/>
      <c r="E136" s="624"/>
      <c r="F136" s="608"/>
      <c r="G136" s="27"/>
      <c r="H136" s="27"/>
      <c r="I136" s="408"/>
    </row>
    <row r="137" spans="1:9" ht="22" customHeight="1" x14ac:dyDescent="0.2">
      <c r="A137" s="714" t="s">
        <v>391</v>
      </c>
      <c r="B137" s="30"/>
      <c r="C137" s="715"/>
      <c r="D137" s="715"/>
      <c r="E137" s="715"/>
      <c r="F137" s="716"/>
      <c r="G137" s="30"/>
      <c r="H137" s="30"/>
      <c r="I137" s="408"/>
    </row>
    <row r="138" spans="1:9" x14ac:dyDescent="0.2">
      <c r="A138" s="27" t="s">
        <v>392</v>
      </c>
      <c r="B138" s="27" t="s">
        <v>393</v>
      </c>
      <c r="C138" s="599">
        <v>0.05</v>
      </c>
      <c r="D138" s="599">
        <v>0.1</v>
      </c>
      <c r="E138" s="600">
        <v>0.25</v>
      </c>
      <c r="F138" s="603">
        <f>IF($B$3="Bear",C138,IF($B$3="Bull",E138,D138))</f>
        <v>0.1</v>
      </c>
      <c r="G138" s="27" t="s">
        <v>69</v>
      </c>
      <c r="H138" s="27" t="s">
        <v>70</v>
      </c>
      <c r="I138" s="408" t="s">
        <v>394</v>
      </c>
    </row>
    <row r="139" spans="1:9" x14ac:dyDescent="0.2">
      <c r="A139" s="27" t="s">
        <v>395</v>
      </c>
      <c r="B139" s="27" t="s">
        <v>396</v>
      </c>
      <c r="C139" s="491">
        <v>200</v>
      </c>
      <c r="D139" s="491">
        <v>250</v>
      </c>
      <c r="E139" s="491">
        <v>300</v>
      </c>
      <c r="F139" s="619">
        <f>IF($B$3="Bear",C139,IF($B$3="Bull",E139,D139))</f>
        <v>250</v>
      </c>
      <c r="G139" s="27" t="s">
        <v>69</v>
      </c>
      <c r="H139" s="27" t="s">
        <v>70</v>
      </c>
      <c r="I139" s="408" t="s">
        <v>397</v>
      </c>
    </row>
    <row r="140" spans="1:9" x14ac:dyDescent="0.2">
      <c r="A140" s="27" t="s">
        <v>398</v>
      </c>
      <c r="B140" s="27" t="s">
        <v>399</v>
      </c>
      <c r="C140" s="601">
        <v>1</v>
      </c>
      <c r="D140" s="601">
        <v>1.5</v>
      </c>
      <c r="E140" s="601">
        <v>2</v>
      </c>
      <c r="F140" s="620">
        <f>IF($B$3="Bear",C140,IF($B$3="Bull",E140,D140))</f>
        <v>1.5</v>
      </c>
      <c r="G140" s="27" t="s">
        <v>88</v>
      </c>
      <c r="H140" s="27" t="s">
        <v>65</v>
      </c>
      <c r="I140" s="408" t="s">
        <v>400</v>
      </c>
    </row>
    <row r="141" spans="1:9" x14ac:dyDescent="0.2">
      <c r="A141" s="27" t="s">
        <v>401</v>
      </c>
      <c r="B141" s="27" t="s">
        <v>402</v>
      </c>
      <c r="C141" s="599">
        <v>0</v>
      </c>
      <c r="D141" s="599">
        <v>0.09</v>
      </c>
      <c r="E141" s="599">
        <v>0.18</v>
      </c>
      <c r="F141" s="603">
        <f>IF($B$3="Bear",C141,IF($B$3="Bull",E141,D141))</f>
        <v>0.09</v>
      </c>
      <c r="G141" s="27" t="s">
        <v>69</v>
      </c>
      <c r="H141" s="27" t="s">
        <v>70</v>
      </c>
      <c r="I141" s="408" t="s">
        <v>403</v>
      </c>
    </row>
    <row r="142" spans="1:9" x14ac:dyDescent="0.2">
      <c r="A142" s="27"/>
      <c r="B142" s="27"/>
      <c r="C142" s="624"/>
      <c r="D142" s="624"/>
      <c r="E142" s="624"/>
      <c r="F142" s="608"/>
      <c r="G142" s="27"/>
      <c r="H142" s="27"/>
      <c r="I142" s="408"/>
    </row>
    <row r="143" spans="1:9" x14ac:dyDescent="0.2">
      <c r="A143" s="30" t="s">
        <v>404</v>
      </c>
      <c r="B143" s="27"/>
      <c r="C143" s="624"/>
      <c r="D143" s="624"/>
      <c r="E143" s="624"/>
      <c r="F143" s="608"/>
      <c r="G143" s="27"/>
      <c r="H143" s="27"/>
      <c r="I143" s="408"/>
    </row>
    <row r="144" spans="1:9" x14ac:dyDescent="0.2">
      <c r="A144" s="27" t="s">
        <v>405</v>
      </c>
      <c r="B144" s="27" t="s">
        <v>406</v>
      </c>
      <c r="C144" s="491">
        <v>15</v>
      </c>
      <c r="D144" s="491">
        <v>18</v>
      </c>
      <c r="E144" s="491">
        <v>22</v>
      </c>
      <c r="F144" s="619">
        <f>IF($B$3="Bear",C144,IF($B$3="Bull",E144,D144))</f>
        <v>18</v>
      </c>
      <c r="G144" s="27" t="s">
        <v>64</v>
      </c>
      <c r="H144" s="27" t="s">
        <v>226</v>
      </c>
      <c r="I144" s="408" t="s">
        <v>407</v>
      </c>
    </row>
    <row r="145" spans="1:9" x14ac:dyDescent="0.2">
      <c r="A145" s="27" t="s">
        <v>408</v>
      </c>
      <c r="B145" s="27" t="s">
        <v>409</v>
      </c>
      <c r="C145" s="599">
        <v>0.02</v>
      </c>
      <c r="D145" s="599">
        <v>0.03</v>
      </c>
      <c r="E145" s="599">
        <v>0.03</v>
      </c>
      <c r="F145" s="603">
        <f>IF($B$3="Bear",C145,IF($B$3="Bull",E145,D145))</f>
        <v>0.03</v>
      </c>
      <c r="G145" s="27" t="s">
        <v>64</v>
      </c>
      <c r="H145" s="27" t="s">
        <v>226</v>
      </c>
      <c r="I145" s="408" t="s">
        <v>410</v>
      </c>
    </row>
    <row r="146" spans="1:9" x14ac:dyDescent="0.2">
      <c r="A146" s="27"/>
      <c r="B146" s="27"/>
      <c r="C146" s="624"/>
      <c r="D146" s="624"/>
      <c r="E146" s="624"/>
      <c r="F146" s="608"/>
      <c r="G146" s="27"/>
      <c r="H146" s="27"/>
      <c r="I146" s="408"/>
    </row>
    <row r="147" spans="1:9" ht="22" customHeight="1" x14ac:dyDescent="0.2">
      <c r="A147" s="714" t="s">
        <v>411</v>
      </c>
      <c r="B147" s="30"/>
      <c r="C147" s="715"/>
      <c r="D147" s="715"/>
      <c r="E147" s="715"/>
      <c r="F147" s="716"/>
      <c r="G147" s="30"/>
      <c r="H147" s="30"/>
      <c r="I147" s="408"/>
    </row>
    <row r="148" spans="1:9" x14ac:dyDescent="0.2">
      <c r="A148" s="27" t="s">
        <v>412</v>
      </c>
      <c r="B148" s="27" t="s">
        <v>413</v>
      </c>
      <c r="C148" s="599">
        <v>0</v>
      </c>
      <c r="D148" s="599">
        <v>0.05</v>
      </c>
      <c r="E148" s="599">
        <v>0.15</v>
      </c>
      <c r="F148" s="603">
        <f t="shared" ref="F148:F153" si="5">IF($B$3="Bear",C148,IF($B$3="Bull",E148,D148))</f>
        <v>0.05</v>
      </c>
      <c r="G148" s="27" t="s">
        <v>88</v>
      </c>
      <c r="H148" s="27" t="s">
        <v>65</v>
      </c>
      <c r="I148" s="408" t="s">
        <v>414</v>
      </c>
    </row>
    <row r="149" spans="1:9" x14ac:dyDescent="0.2">
      <c r="A149" s="27" t="s">
        <v>415</v>
      </c>
      <c r="B149" s="27" t="s">
        <v>416</v>
      </c>
      <c r="C149" s="491">
        <v>0</v>
      </c>
      <c r="D149" s="491">
        <v>100</v>
      </c>
      <c r="E149" s="491">
        <v>200</v>
      </c>
      <c r="F149" s="619">
        <f t="shared" si="5"/>
        <v>100</v>
      </c>
      <c r="G149" s="27" t="s">
        <v>88</v>
      </c>
      <c r="H149" s="27" t="s">
        <v>65</v>
      </c>
      <c r="I149" s="408" t="s">
        <v>417</v>
      </c>
    </row>
    <row r="150" spans="1:9" x14ac:dyDescent="0.2">
      <c r="A150" s="27" t="s">
        <v>418</v>
      </c>
      <c r="B150" s="27" t="s">
        <v>419</v>
      </c>
      <c r="C150" s="599">
        <v>0</v>
      </c>
      <c r="D150" s="599">
        <v>0.15</v>
      </c>
      <c r="E150" s="599">
        <v>0.25</v>
      </c>
      <c r="F150" s="603">
        <f t="shared" si="5"/>
        <v>0.15</v>
      </c>
      <c r="G150" s="27" t="s">
        <v>88</v>
      </c>
      <c r="H150" s="27" t="s">
        <v>114</v>
      </c>
      <c r="I150" s="408" t="s">
        <v>420</v>
      </c>
    </row>
    <row r="151" spans="1:9" x14ac:dyDescent="0.2">
      <c r="A151" s="31" t="s">
        <v>421</v>
      </c>
      <c r="B151" s="27" t="s">
        <v>422</v>
      </c>
      <c r="C151" s="599">
        <v>2.5000000000000001E-2</v>
      </c>
      <c r="D151" s="599">
        <v>0.03</v>
      </c>
      <c r="E151" s="599">
        <v>4.4999999999999998E-2</v>
      </c>
      <c r="F151" s="603">
        <f t="shared" si="5"/>
        <v>0.03</v>
      </c>
      <c r="G151" s="27" t="s">
        <v>64</v>
      </c>
      <c r="H151" s="27" t="s">
        <v>70</v>
      </c>
      <c r="I151" s="408" t="s">
        <v>423</v>
      </c>
    </row>
    <row r="152" spans="1:9" x14ac:dyDescent="0.2">
      <c r="A152" s="31" t="s">
        <v>424</v>
      </c>
      <c r="B152" s="27" t="s">
        <v>425</v>
      </c>
      <c r="C152" s="599">
        <v>0.28000000000000003</v>
      </c>
      <c r="D152" s="599">
        <v>0.25</v>
      </c>
      <c r="E152" s="599">
        <v>0.22</v>
      </c>
      <c r="F152" s="603">
        <f t="shared" si="5"/>
        <v>0.25</v>
      </c>
      <c r="G152" s="27" t="s">
        <v>64</v>
      </c>
      <c r="H152" s="27" t="s">
        <v>70</v>
      </c>
      <c r="I152" s="408" t="s">
        <v>426</v>
      </c>
    </row>
    <row r="153" spans="1:9" x14ac:dyDescent="0.2">
      <c r="A153" s="31" t="s">
        <v>427</v>
      </c>
      <c r="B153" s="27" t="s">
        <v>428</v>
      </c>
      <c r="C153" s="599">
        <v>0.22</v>
      </c>
      <c r="D153" s="599">
        <v>0.2</v>
      </c>
      <c r="E153" s="599">
        <v>0.18</v>
      </c>
      <c r="F153" s="603">
        <f t="shared" si="5"/>
        <v>0.2</v>
      </c>
      <c r="G153" s="27" t="s">
        <v>64</v>
      </c>
      <c r="H153" s="27" t="s">
        <v>65</v>
      </c>
      <c r="I153" s="408" t="s">
        <v>429</v>
      </c>
    </row>
    <row r="154" spans="1:9" x14ac:dyDescent="0.2">
      <c r="A154" s="27"/>
      <c r="B154" s="27"/>
      <c r="C154" s="624"/>
      <c r="D154" s="624"/>
      <c r="E154" s="624"/>
      <c r="F154" s="608"/>
      <c r="G154" s="27"/>
      <c r="H154" s="27"/>
      <c r="I154" s="408"/>
    </row>
    <row r="155" spans="1:9" ht="22" customHeight="1" x14ac:dyDescent="0.2">
      <c r="A155" s="933" t="s">
        <v>430</v>
      </c>
      <c r="B155" s="951"/>
      <c r="C155" s="951"/>
      <c r="D155" s="951"/>
      <c r="E155" s="951"/>
      <c r="F155" s="951"/>
      <c r="G155" s="951"/>
      <c r="H155" s="951"/>
      <c r="I155" s="951"/>
    </row>
    <row r="156" spans="1:9" x14ac:dyDescent="0.2">
      <c r="A156" s="27" t="s">
        <v>431</v>
      </c>
      <c r="B156" s="27"/>
      <c r="C156" s="624"/>
      <c r="D156" s="624"/>
      <c r="E156" s="624"/>
      <c r="F156" s="608"/>
      <c r="G156" s="27"/>
      <c r="H156" s="27"/>
      <c r="I156" s="408"/>
    </row>
    <row r="157" spans="1:9" x14ac:dyDescent="0.2">
      <c r="A157" s="27" t="s">
        <v>432</v>
      </c>
      <c r="B157" s="27" t="s">
        <v>433</v>
      </c>
      <c r="C157" s="624">
        <v>0.15</v>
      </c>
      <c r="D157" s="624">
        <v>0.2</v>
      </c>
      <c r="E157" s="624">
        <v>0.25</v>
      </c>
      <c r="F157" s="608">
        <f t="shared" ref="F157:F162" si="6">IF($B$3="Bear",C157,IF($B$3="Bull",E157,D157))</f>
        <v>0.2</v>
      </c>
      <c r="G157" s="27" t="s">
        <v>64</v>
      </c>
      <c r="H157" s="27" t="s">
        <v>70</v>
      </c>
      <c r="I157" s="408" t="s">
        <v>434</v>
      </c>
    </row>
    <row r="158" spans="1:9" x14ac:dyDescent="0.2">
      <c r="A158" s="27" t="s">
        <v>435</v>
      </c>
      <c r="B158" s="27" t="s">
        <v>436</v>
      </c>
      <c r="C158" s="624">
        <v>0.3</v>
      </c>
      <c r="D158" s="624">
        <v>0.4</v>
      </c>
      <c r="E158" s="624">
        <v>0.45</v>
      </c>
      <c r="F158" s="608">
        <f t="shared" si="6"/>
        <v>0.4</v>
      </c>
      <c r="G158" s="27" t="s">
        <v>64</v>
      </c>
      <c r="H158" s="27" t="s">
        <v>65</v>
      </c>
      <c r="I158" s="408" t="s">
        <v>437</v>
      </c>
    </row>
    <row r="159" spans="1:9" x14ac:dyDescent="0.2">
      <c r="A159" s="27" t="s">
        <v>438</v>
      </c>
      <c r="B159" s="27" t="s">
        <v>439</v>
      </c>
      <c r="C159" s="624">
        <v>200</v>
      </c>
      <c r="D159" s="624">
        <v>300</v>
      </c>
      <c r="E159" s="624">
        <v>350</v>
      </c>
      <c r="F159" s="608">
        <f t="shared" si="6"/>
        <v>300</v>
      </c>
      <c r="G159" s="27" t="s">
        <v>64</v>
      </c>
      <c r="H159" s="27" t="s">
        <v>70</v>
      </c>
      <c r="I159" s="408" t="s">
        <v>440</v>
      </c>
    </row>
    <row r="160" spans="1:9" x14ac:dyDescent="0.2">
      <c r="A160" s="27" t="s">
        <v>441</v>
      </c>
      <c r="B160" s="27" t="s">
        <v>442</v>
      </c>
      <c r="C160" s="624">
        <v>5</v>
      </c>
      <c r="D160" s="624">
        <v>6</v>
      </c>
      <c r="E160" s="624">
        <v>6</v>
      </c>
      <c r="F160" s="608">
        <f t="shared" si="6"/>
        <v>6</v>
      </c>
      <c r="G160" s="27" t="s">
        <v>64</v>
      </c>
      <c r="H160" s="27" t="s">
        <v>70</v>
      </c>
      <c r="I160" s="408" t="s">
        <v>443</v>
      </c>
    </row>
    <row r="161" spans="1:10" x14ac:dyDescent="0.2">
      <c r="A161" s="27" t="s">
        <v>444</v>
      </c>
      <c r="B161" s="27" t="s">
        <v>445</v>
      </c>
      <c r="C161" s="624">
        <v>7</v>
      </c>
      <c r="D161" s="624">
        <v>5</v>
      </c>
      <c r="E161" s="624">
        <v>4</v>
      </c>
      <c r="F161" s="608">
        <f t="shared" si="6"/>
        <v>5</v>
      </c>
      <c r="G161" s="27" t="s">
        <v>64</v>
      </c>
      <c r="H161" s="27" t="s">
        <v>65</v>
      </c>
      <c r="I161" s="408" t="s">
        <v>446</v>
      </c>
    </row>
    <row r="162" spans="1:10" x14ac:dyDescent="0.2">
      <c r="A162" s="27" t="s">
        <v>447</v>
      </c>
      <c r="B162" s="27" t="s">
        <v>448</v>
      </c>
      <c r="C162" s="624">
        <f>C157+(1-C157)</f>
        <v>1</v>
      </c>
      <c r="D162" s="624">
        <f>D157+(1-D157)</f>
        <v>1</v>
      </c>
      <c r="E162" s="624">
        <f>E157+(1-E157)</f>
        <v>1</v>
      </c>
      <c r="F162" s="608">
        <f t="shared" si="6"/>
        <v>1</v>
      </c>
      <c r="G162" s="27" t="s">
        <v>294</v>
      </c>
      <c r="H162" s="27" t="s">
        <v>84</v>
      </c>
      <c r="I162" s="408" t="s">
        <v>449</v>
      </c>
    </row>
    <row r="163" spans="1:10" x14ac:dyDescent="0.2">
      <c r="A163" s="909" t="s">
        <v>450</v>
      </c>
      <c r="B163" s="910" t="s">
        <v>451</v>
      </c>
    </row>
    <row r="164" spans="1:10" x14ac:dyDescent="0.2">
      <c r="A164" t="s">
        <v>452</v>
      </c>
      <c r="B164" t="s">
        <v>453</v>
      </c>
      <c r="C164" s="911">
        <v>0.19</v>
      </c>
      <c r="D164" s="911">
        <v>0.17</v>
      </c>
      <c r="E164" s="911">
        <v>0.15</v>
      </c>
      <c r="F164" s="912">
        <f>IF($B$3="Bear",C164,IF($B$3="Bull",E164,D164))</f>
        <v>0.17</v>
      </c>
      <c r="G164" t="s">
        <v>88</v>
      </c>
    </row>
    <row r="165" spans="1:10" x14ac:dyDescent="0.2">
      <c r="A165" t="s">
        <v>454</v>
      </c>
      <c r="B165" t="s">
        <v>455</v>
      </c>
      <c r="C165" s="911">
        <v>0.17</v>
      </c>
      <c r="D165" s="911">
        <v>0.15</v>
      </c>
      <c r="E165" s="911">
        <v>0.13</v>
      </c>
      <c r="F165" s="912">
        <f>IF($B$3="Bear",C165,IF($B$3="Bull",E165,D165))</f>
        <v>0.15</v>
      </c>
      <c r="G165" t="s">
        <v>88</v>
      </c>
    </row>
    <row r="166" spans="1:10" x14ac:dyDescent="0.2">
      <c r="A166" s="950" t="s">
        <v>456</v>
      </c>
      <c r="B166" s="950"/>
      <c r="C166" s="950"/>
      <c r="D166" s="950"/>
      <c r="E166" s="950"/>
    </row>
    <row r="167" spans="1:10" x14ac:dyDescent="0.2">
      <c r="A167" s="820" t="s">
        <v>457</v>
      </c>
    </row>
    <row r="168" spans="1:10" x14ac:dyDescent="0.2">
      <c r="A168" s="823" t="s">
        <v>53</v>
      </c>
      <c r="B168" s="823" t="s">
        <v>458</v>
      </c>
      <c r="C168" s="824" t="s">
        <v>55</v>
      </c>
      <c r="D168" s="826" t="s">
        <v>52</v>
      </c>
      <c r="E168" s="827" t="s">
        <v>56</v>
      </c>
      <c r="F168" s="828" t="s">
        <v>57</v>
      </c>
      <c r="G168" s="829" t="s">
        <v>58</v>
      </c>
      <c r="J168" s="1153" t="s">
        <v>1727</v>
      </c>
    </row>
    <row r="169" spans="1:10" x14ac:dyDescent="0.2">
      <c r="A169" s="810" t="s">
        <v>459</v>
      </c>
      <c r="B169" t="s">
        <v>460</v>
      </c>
      <c r="C169" s="830">
        <v>0.35</v>
      </c>
      <c r="D169" s="1037">
        <v>0.48899999999999999</v>
      </c>
      <c r="E169" s="830">
        <v>0.65</v>
      </c>
      <c r="F169" s="831">
        <f>IF($B$3="Bear",C169,IF($B$3="Bull",E169,IF($B$3="ProbWeighted",J169,D169)))</f>
        <v>0.48899999999999999</v>
      </c>
      <c r="G169" s="832" t="s">
        <v>69</v>
      </c>
      <c r="J169" s="1151">
        <f>$C$2*C169+$E$2*D169+$G$2*E169</f>
        <v>0.50950000000000006</v>
      </c>
    </row>
    <row r="170" spans="1:10" x14ac:dyDescent="0.2">
      <c r="A170" t="s">
        <v>461</v>
      </c>
      <c r="B170" t="s">
        <v>462</v>
      </c>
      <c r="C170" s="833">
        <v>0.25</v>
      </c>
      <c r="D170" s="1038">
        <v>0.372</v>
      </c>
      <c r="E170" s="833">
        <v>0.5</v>
      </c>
      <c r="F170" s="834">
        <f>IF($B$3="Bear",C170,IF($B$3="Bull",E170,IF($B$3="ProbWeighted",J170,D170)))</f>
        <v>0.372</v>
      </c>
      <c r="G170" s="835" t="s">
        <v>69</v>
      </c>
      <c r="J170" s="1151">
        <f>$C$2*C170+$E$2*D170+$G$2*E170</f>
        <v>0.38600000000000001</v>
      </c>
    </row>
    <row r="171" spans="1:10" x14ac:dyDescent="0.2">
      <c r="A171" t="s">
        <v>463</v>
      </c>
      <c r="B171" t="s">
        <v>464</v>
      </c>
      <c r="C171" s="833">
        <v>0.18</v>
      </c>
      <c r="D171" s="1038">
        <v>0.254</v>
      </c>
      <c r="E171" s="833">
        <v>0.35</v>
      </c>
      <c r="F171" s="834">
        <f>IF($B$3="Bear",C171,IF($B$3="Bull",E171,IF($B$3="ProbWeighted",J171,D171)))</f>
        <v>0.254</v>
      </c>
      <c r="G171" s="835" t="s">
        <v>69</v>
      </c>
      <c r="J171" s="1151">
        <f>$C$2*C171+$E$2*D171+$G$2*E171</f>
        <v>0.26800000000000002</v>
      </c>
    </row>
    <row r="172" spans="1:10" x14ac:dyDescent="0.2">
      <c r="A172" t="s">
        <v>465</v>
      </c>
      <c r="B172" t="s">
        <v>466</v>
      </c>
      <c r="C172" s="833">
        <v>0.14000000000000001</v>
      </c>
      <c r="D172" s="1038">
        <v>0.186</v>
      </c>
      <c r="E172" s="833">
        <v>0.25</v>
      </c>
      <c r="F172" s="834">
        <f>IF($B$3="Bear",C172,IF($B$3="Bull",E172,IF($B$3="ProbWeighted",J172,D172)))</f>
        <v>0.186</v>
      </c>
      <c r="G172" s="835" t="s">
        <v>88</v>
      </c>
      <c r="J172" s="1151">
        <f>$C$2*C172+$E$2*D172+$G$2*E172</f>
        <v>0.19600000000000001</v>
      </c>
    </row>
    <row r="173" spans="1:10" x14ac:dyDescent="0.2">
      <c r="A173" t="s">
        <v>467</v>
      </c>
      <c r="B173" t="s">
        <v>468</v>
      </c>
      <c r="C173" s="833">
        <v>0.11</v>
      </c>
      <c r="D173" s="1038">
        <v>0.13700000000000001</v>
      </c>
      <c r="E173" s="833">
        <v>0.19</v>
      </c>
      <c r="F173" s="834">
        <f>IF($B$3="Bear",C173,IF($B$3="Bull",E173,IF($B$3="ProbWeighted",J173,D173)))</f>
        <v>0.13700000000000001</v>
      </c>
      <c r="G173" s="835" t="s">
        <v>88</v>
      </c>
      <c r="J173" s="1151">
        <f>$C$2*C173+$E$2*D173+$G$2*E173</f>
        <v>0.14750000000000002</v>
      </c>
    </row>
    <row r="174" spans="1:10" x14ac:dyDescent="0.2">
      <c r="A174" t="s">
        <v>469</v>
      </c>
      <c r="B174" t="s">
        <v>470</v>
      </c>
      <c r="C174" s="833">
        <v>0.08</v>
      </c>
      <c r="D174" s="1038">
        <v>0.108</v>
      </c>
      <c r="E174" s="833">
        <v>0.14000000000000001</v>
      </c>
      <c r="F174" s="834">
        <f>IF($B$3="Bear",C174,IF($B$3="Bull",E174,IF($B$3="ProbWeighted",J174,D174)))</f>
        <v>0.108</v>
      </c>
      <c r="G174" s="835" t="s">
        <v>88</v>
      </c>
      <c r="J174" s="1151">
        <f>$C$2*C174+$E$2*D174+$G$2*E174</f>
        <v>0.11200000000000002</v>
      </c>
    </row>
    <row r="175" spans="1:10" x14ac:dyDescent="0.2">
      <c r="A175" t="s">
        <v>471</v>
      </c>
      <c r="B175" t="s">
        <v>472</v>
      </c>
      <c r="C175" s="833">
        <v>0.06</v>
      </c>
      <c r="D175" s="1038">
        <v>7.8E-2</v>
      </c>
      <c r="E175" s="833">
        <v>0.1</v>
      </c>
      <c r="F175" s="834">
        <f>IF($B$3="Bear",C175,IF($B$3="Bull",E175,IF($B$3="ProbWeighted",J175,D175)))</f>
        <v>7.8E-2</v>
      </c>
      <c r="G175" s="835" t="s">
        <v>88</v>
      </c>
      <c r="J175" s="1151">
        <f>$C$2*C175+$E$2*D175+$G$2*E175</f>
        <v>8.1000000000000003E-2</v>
      </c>
    </row>
    <row r="176" spans="1:10" x14ac:dyDescent="0.2">
      <c r="A176" t="s">
        <v>473</v>
      </c>
      <c r="B176" t="s">
        <v>474</v>
      </c>
      <c r="C176" s="833">
        <v>0.04</v>
      </c>
      <c r="D176" s="1038">
        <v>5.8999999999999997E-2</v>
      </c>
      <c r="E176" s="833">
        <v>7.0000000000000007E-2</v>
      </c>
      <c r="F176" s="834">
        <f>IF($B$3="Bear",C176,IF($B$3="Bull",E176,IF($B$3="ProbWeighted",J176,D176)))</f>
        <v>5.8999999999999997E-2</v>
      </c>
      <c r="G176" s="835" t="s">
        <v>88</v>
      </c>
      <c r="J176" s="1151">
        <f>$C$2*C176+$E$2*D176+$G$2*E176</f>
        <v>5.8499999999999996E-2</v>
      </c>
    </row>
    <row r="178" spans="1:7" x14ac:dyDescent="0.2">
      <c r="A178" s="818" t="s">
        <v>475</v>
      </c>
      <c r="B178" s="818" t="s">
        <v>476</v>
      </c>
      <c r="C178" s="836">
        <f>2.5*(1+C169)*(1+C170)*(1+C171)*(1+C172)*(1+C173)*(1+C174)*(1+C175)*(1+C176)</f>
        <v>7.4999192533200016</v>
      </c>
      <c r="D178" s="837">
        <f>2.5*(1+D169)*(1+D170)*(1+D171)*(1+D172)*(1+D173)*(1+D174)*(1+D175)*(1+D176)</f>
        <v>10.924108107214609</v>
      </c>
      <c r="E178" s="838">
        <f>2.5*(1+E169)*(1+E170)*(1+E171)*(1+E172)*(1+E173)*(1+E174)*(1+E175)*(1+E176)</f>
        <v>16.671983392968752</v>
      </c>
      <c r="F178" s="839">
        <f>2.5*(1+F169)*(1+F170)*(1+F171)*(1+F172)*(1+F173)*(1+F174)*(1+F175)*(1+F176)</f>
        <v>10.924108107214609</v>
      </c>
      <c r="G178" s="130" t="s">
        <v>294</v>
      </c>
    </row>
    <row r="179" spans="1:7" x14ac:dyDescent="0.2">
      <c r="A179" s="818" t="s">
        <v>477</v>
      </c>
      <c r="B179" s="818" t="s">
        <v>478</v>
      </c>
      <c r="F179" s="1142">
        <f>(F178-'Member Thesis'!B20)/'Member Thesis'!B20</f>
        <v>6.3643907523660312E-4</v>
      </c>
      <c r="G179" t="s">
        <v>294</v>
      </c>
    </row>
    <row r="181" spans="1:7" ht="16" x14ac:dyDescent="0.2">
      <c r="A181" s="1188" t="s">
        <v>1754</v>
      </c>
      <c r="B181" s="1188"/>
      <c r="C181" s="1188"/>
      <c r="D181" s="1188"/>
      <c r="E181" s="1188"/>
    </row>
    <row r="182" spans="1:7" x14ac:dyDescent="0.2">
      <c r="A182" s="818" t="s">
        <v>1755</v>
      </c>
    </row>
    <row r="184" spans="1:7" x14ac:dyDescent="0.2">
      <c r="A184" s="1177" t="s">
        <v>1756</v>
      </c>
    </row>
    <row r="185" spans="1:7" x14ac:dyDescent="0.2">
      <c r="A185" s="1031" t="s">
        <v>1728</v>
      </c>
      <c r="B185" s="1031" t="s">
        <v>1729</v>
      </c>
      <c r="C185" s="1031" t="s">
        <v>1730</v>
      </c>
      <c r="D185" s="1031" t="s">
        <v>1757</v>
      </c>
    </row>
    <row r="186" spans="1:7" x14ac:dyDescent="0.2">
      <c r="A186" s="1155">
        <f>C2</f>
        <v>0.2</v>
      </c>
      <c r="B186" s="1155">
        <f>E2</f>
        <v>0.5</v>
      </c>
      <c r="C186" s="1155">
        <f>G2</f>
        <v>0.3</v>
      </c>
      <c r="D186" s="1156">
        <f>I2</f>
        <v>1</v>
      </c>
    </row>
    <row r="188" spans="1:7" x14ac:dyDescent="0.2">
      <c r="A188" s="1177" t="s">
        <v>1758</v>
      </c>
    </row>
    <row r="189" spans="1:7" x14ac:dyDescent="0.2">
      <c r="A189" s="1030" t="s">
        <v>1759</v>
      </c>
      <c r="B189" s="1031" t="s">
        <v>1760</v>
      </c>
      <c r="C189" s="1030" t="s">
        <v>1761</v>
      </c>
      <c r="D189" s="1030" t="s">
        <v>1762</v>
      </c>
    </row>
    <row r="190" spans="1:7" x14ac:dyDescent="0.2">
      <c r="A190" s="687"/>
      <c r="B190" s="130" t="s">
        <v>1763</v>
      </c>
      <c r="C190" s="27" t="s">
        <v>1764</v>
      </c>
      <c r="D190" s="27" t="s">
        <v>1765</v>
      </c>
    </row>
    <row r="191" spans="1:7" ht="30" x14ac:dyDescent="0.2">
      <c r="A191" s="687" t="s">
        <v>1766</v>
      </c>
      <c r="B191" s="130" t="s">
        <v>1767</v>
      </c>
      <c r="C191" s="27" t="s">
        <v>1768</v>
      </c>
      <c r="D191" s="27" t="s">
        <v>1769</v>
      </c>
    </row>
    <row r="192" spans="1:7" ht="30" x14ac:dyDescent="0.2">
      <c r="A192" s="687" t="s">
        <v>1770</v>
      </c>
      <c r="B192" s="130" t="s">
        <v>1771</v>
      </c>
      <c r="C192" s="27" t="s">
        <v>1772</v>
      </c>
      <c r="D192" s="27" t="s">
        <v>1773</v>
      </c>
    </row>
    <row r="193" spans="1:5" ht="45" x14ac:dyDescent="0.2">
      <c r="A193" s="687" t="s">
        <v>1774</v>
      </c>
      <c r="B193" s="130" t="s">
        <v>1775</v>
      </c>
      <c r="C193" s="27" t="s">
        <v>1776</v>
      </c>
      <c r="D193" s="27" t="s">
        <v>1777</v>
      </c>
    </row>
    <row r="194" spans="1:5" ht="45" x14ac:dyDescent="0.2">
      <c r="A194" s="687" t="s">
        <v>1778</v>
      </c>
      <c r="B194" s="130" t="s">
        <v>1779</v>
      </c>
      <c r="C194" s="27" t="s">
        <v>1780</v>
      </c>
      <c r="D194" s="27" t="s">
        <v>1781</v>
      </c>
    </row>
    <row r="196" spans="1:5" x14ac:dyDescent="0.2">
      <c r="A196" s="1189" t="s">
        <v>1782</v>
      </c>
      <c r="B196" s="1189"/>
      <c r="C196" s="1189"/>
      <c r="D196" s="1189"/>
      <c r="E196" s="1189"/>
    </row>
    <row r="197" spans="1:5" x14ac:dyDescent="0.2">
      <c r="A197" s="1178" t="s">
        <v>1783</v>
      </c>
    </row>
    <row r="198" spans="1:5" x14ac:dyDescent="0.2">
      <c r="A198" s="1178" t="s">
        <v>1784</v>
      </c>
    </row>
    <row r="199" spans="1:5" x14ac:dyDescent="0.2">
      <c r="A199" s="1178" t="s">
        <v>1785</v>
      </c>
    </row>
    <row r="201" spans="1:5" x14ac:dyDescent="0.2">
      <c r="A201" s="1179" t="s">
        <v>1786</v>
      </c>
    </row>
    <row r="202" spans="1:5" x14ac:dyDescent="0.2">
      <c r="A202" s="1178" t="s">
        <v>1787</v>
      </c>
    </row>
    <row r="203" spans="1:5" x14ac:dyDescent="0.2">
      <c r="A203" s="1178" t="s">
        <v>1788</v>
      </c>
    </row>
    <row r="204" spans="1:5" x14ac:dyDescent="0.2">
      <c r="A204" s="1178" t="s">
        <v>1789</v>
      </c>
    </row>
  </sheetData>
  <mergeCells count="24">
    <mergeCell ref="A181:E181"/>
    <mergeCell ref="A196:E196"/>
    <mergeCell ref="A166:E166"/>
    <mergeCell ref="A155:I155"/>
    <mergeCell ref="C3:I3"/>
    <mergeCell ref="A77:I77"/>
    <mergeCell ref="A105:I105"/>
    <mergeCell ref="A115:I115"/>
    <mergeCell ref="A127:I127"/>
    <mergeCell ref="B111:I111"/>
    <mergeCell ref="B113:I113"/>
    <mergeCell ref="B110:I110"/>
    <mergeCell ref="B112:I112"/>
    <mergeCell ref="A1:N1"/>
    <mergeCell ref="A90:I90"/>
    <mergeCell ref="B109:I109"/>
    <mergeCell ref="A68:I68"/>
    <mergeCell ref="A108:I108"/>
    <mergeCell ref="A54:I54"/>
    <mergeCell ref="A30:I30"/>
    <mergeCell ref="A106:I106"/>
    <mergeCell ref="A7:I7"/>
    <mergeCell ref="A84:I84"/>
    <mergeCell ref="A97:I97"/>
  </mergeCells>
  <conditionalFormatting sqref="I2">
    <cfRule type="cellIs" dxfId="15" priority="1" operator="notEqual">
      <formula>1</formula>
    </cfRule>
  </conditionalFormatting>
  <dataValidations count="1">
    <dataValidation type="list" sqref="B3" xr:uid="{00000000-0002-0000-0100-000000000000}">
      <formula1>"Bear,Base,Bull"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31ED-0C84-421F-81A1-4968AAFC4A5D}">
  <sheetPr>
    <tabColor rgb="FF2F5496"/>
  </sheetPr>
  <dimension ref="A1:M200"/>
  <sheetViews>
    <sheetView showGridLines="0" topLeftCell="A30" zoomScaleNormal="100" workbookViewId="0">
      <selection activeCell="E41" sqref="E41"/>
    </sheetView>
  </sheetViews>
  <sheetFormatPr baseColWidth="10" defaultColWidth="8.83203125" defaultRowHeight="15" x14ac:dyDescent="0.2"/>
  <cols>
    <col min="1" max="1" width="53.33203125" customWidth="1"/>
    <col min="2" max="2" width="15.83203125" customWidth="1"/>
    <col min="3" max="4" width="12.5" customWidth="1"/>
    <col min="5" max="5" width="26.6640625" customWidth="1"/>
    <col min="6" max="6" width="12.5" customWidth="1"/>
    <col min="7" max="7" width="26.6640625" customWidth="1"/>
    <col min="8" max="8" width="10.6640625" customWidth="1"/>
    <col min="9" max="9" width="26.6640625" customWidth="1"/>
    <col min="10" max="10" width="12.5" customWidth="1"/>
    <col min="11" max="11" width="26.6640625" customWidth="1"/>
    <col min="12" max="12" width="2.5" customWidth="1"/>
    <col min="13" max="13" width="63.33203125" customWidth="1"/>
  </cols>
  <sheetData>
    <row r="1" spans="1:13" ht="28" customHeight="1" x14ac:dyDescent="0.2">
      <c r="A1" s="1040" t="s">
        <v>1611</v>
      </c>
      <c r="B1" s="1060"/>
      <c r="C1" s="1060"/>
      <c r="D1" s="1060"/>
      <c r="E1" s="1060"/>
      <c r="F1" s="1060"/>
      <c r="G1" s="1059"/>
      <c r="H1" s="1059"/>
      <c r="I1" s="1059"/>
      <c r="J1" s="1059"/>
      <c r="K1" s="1059"/>
      <c r="L1" s="1059"/>
      <c r="M1" s="1059"/>
    </row>
    <row r="2" spans="1:13" ht="36" customHeight="1" x14ac:dyDescent="0.2">
      <c r="A2" s="1050" t="s">
        <v>1612</v>
      </c>
      <c r="B2" s="1059"/>
      <c r="C2" s="1059"/>
      <c r="D2" s="1059"/>
      <c r="E2" s="1059"/>
      <c r="F2" s="1059"/>
      <c r="G2" s="1059"/>
      <c r="H2" s="1059"/>
      <c r="I2" s="1059"/>
      <c r="J2" s="1059"/>
      <c r="K2" s="1059"/>
      <c r="L2" s="1059"/>
      <c r="M2" s="1059"/>
    </row>
    <row r="3" spans="1:13" ht="15" customHeight="1" x14ac:dyDescent="0.2">
      <c r="A3" s="1059"/>
      <c r="B3" s="1059"/>
      <c r="C3" s="1059"/>
      <c r="D3" s="1059"/>
      <c r="E3" s="1059"/>
      <c r="F3" s="1059"/>
      <c r="G3" s="1059"/>
      <c r="H3" s="1059"/>
      <c r="I3" s="1059"/>
      <c r="J3" s="1059"/>
      <c r="K3" s="1059"/>
      <c r="L3" s="1059"/>
      <c r="M3" s="1059"/>
    </row>
    <row r="4" spans="1:13" ht="22" customHeight="1" x14ac:dyDescent="0.2">
      <c r="A4" s="1041" t="s">
        <v>1613</v>
      </c>
      <c r="B4" s="1060"/>
      <c r="C4" s="1060"/>
      <c r="D4" s="1060"/>
      <c r="E4" s="1060"/>
      <c r="F4" s="1060"/>
      <c r="G4" s="1059"/>
      <c r="H4" s="1059"/>
      <c r="I4" s="1059"/>
      <c r="J4" s="1059"/>
      <c r="K4" s="1059"/>
      <c r="L4" s="1059"/>
      <c r="M4" s="1059"/>
    </row>
    <row r="5" spans="1:13" ht="15" customHeight="1" x14ac:dyDescent="0.2">
      <c r="A5" s="1059"/>
      <c r="B5" s="1059"/>
      <c r="C5" s="1059"/>
      <c r="D5" s="1059"/>
      <c r="E5" s="1059"/>
      <c r="F5" s="1059"/>
      <c r="G5" s="1059"/>
      <c r="H5" s="1059"/>
      <c r="I5" s="1059"/>
      <c r="J5" s="1059"/>
      <c r="K5" s="1059"/>
      <c r="L5" s="1059"/>
      <c r="M5" s="1059"/>
    </row>
    <row r="6" spans="1:13" ht="15" customHeight="1" x14ac:dyDescent="0.2">
      <c r="A6" s="1062" t="s">
        <v>1614</v>
      </c>
      <c r="B6" s="1063">
        <v>2.5</v>
      </c>
      <c r="C6" s="1059"/>
      <c r="D6" s="1059"/>
      <c r="E6" s="1059"/>
      <c r="F6" s="1059"/>
      <c r="G6" s="1059"/>
      <c r="H6" s="1059"/>
      <c r="I6" s="1059"/>
      <c r="J6" s="1059"/>
      <c r="K6" s="1059"/>
      <c r="L6" s="1059"/>
      <c r="M6" s="1059"/>
    </row>
    <row r="7" spans="1:13" ht="15" customHeight="1" x14ac:dyDescent="0.2">
      <c r="A7" s="1064" t="s">
        <v>1615</v>
      </c>
      <c r="B7" s="1065">
        <f>Assumptions!F11</f>
        <v>274.39999999999998</v>
      </c>
      <c r="C7" s="1059"/>
      <c r="D7" s="1059"/>
      <c r="E7" s="1059"/>
      <c r="F7" s="1059"/>
      <c r="G7" s="1059"/>
      <c r="H7" s="1059"/>
      <c r="I7" s="1059"/>
      <c r="J7" s="1059"/>
      <c r="K7" s="1059"/>
      <c r="L7" s="1059"/>
      <c r="M7" s="1059"/>
    </row>
    <row r="8" spans="1:13" ht="15" customHeight="1" x14ac:dyDescent="0.2">
      <c r="A8" s="1064" t="s">
        <v>1616</v>
      </c>
      <c r="B8" s="1066">
        <v>10100</v>
      </c>
      <c r="C8" s="1059"/>
      <c r="D8" s="1059"/>
      <c r="E8" s="1059"/>
      <c r="F8" s="1059"/>
      <c r="G8" s="1059"/>
      <c r="H8" s="1059"/>
      <c r="I8" s="1059"/>
      <c r="J8" s="1059"/>
      <c r="K8" s="1059"/>
      <c r="L8" s="1059"/>
      <c r="M8" s="1059"/>
    </row>
    <row r="9" spans="1:13" ht="15" customHeight="1" x14ac:dyDescent="0.2">
      <c r="A9" s="1064" t="s">
        <v>1617</v>
      </c>
      <c r="B9" s="1068">
        <v>24.63</v>
      </c>
      <c r="C9" s="1059"/>
      <c r="D9" s="1059"/>
      <c r="E9" s="1059"/>
      <c r="F9" s="1059"/>
      <c r="G9" s="1059"/>
      <c r="H9" s="1059"/>
      <c r="I9" s="1059"/>
      <c r="J9" s="1059"/>
      <c r="K9" s="1059"/>
      <c r="L9" s="1059"/>
      <c r="M9" s="1059"/>
    </row>
    <row r="10" spans="1:13" ht="15" customHeight="1" x14ac:dyDescent="0.2">
      <c r="A10" s="1067" t="s">
        <v>1618</v>
      </c>
      <c r="B10" s="1069">
        <f>DCF!C40</f>
        <v>17.893074764403451</v>
      </c>
      <c r="C10" s="1059"/>
      <c r="D10" s="1059"/>
      <c r="E10" s="1059"/>
      <c r="F10" s="1059"/>
      <c r="G10" s="1059"/>
      <c r="H10" s="1059"/>
      <c r="I10" s="1059"/>
      <c r="J10" s="1059"/>
      <c r="K10" s="1059"/>
      <c r="L10" s="1059"/>
      <c r="M10" s="1059"/>
    </row>
    <row r="11" spans="1:13" ht="15" customHeight="1" x14ac:dyDescent="0.2">
      <c r="A11" s="1059"/>
      <c r="B11" s="1059"/>
      <c r="C11" s="1059"/>
      <c r="D11" s="1059"/>
      <c r="E11" s="1059"/>
      <c r="F11" s="1059"/>
      <c r="G11" s="1059"/>
      <c r="H11" s="1059"/>
      <c r="I11" s="1059"/>
      <c r="J11" s="1059"/>
      <c r="K11" s="1059"/>
      <c r="L11" s="1059"/>
      <c r="M11" s="1059"/>
    </row>
    <row r="12" spans="1:13" ht="22" customHeight="1" thickBot="1" x14ac:dyDescent="0.25">
      <c r="A12" s="1041" t="s">
        <v>1619</v>
      </c>
      <c r="B12" s="1060"/>
      <c r="C12" s="1060"/>
      <c r="D12" s="1060"/>
      <c r="E12" s="1060"/>
      <c r="F12" s="1060"/>
      <c r="G12" s="1059"/>
      <c r="H12" s="1059"/>
      <c r="I12" s="1059"/>
      <c r="J12" s="1059"/>
      <c r="K12" s="1059"/>
      <c r="L12" s="1059"/>
      <c r="M12" s="1059"/>
    </row>
    <row r="13" spans="1:13" ht="30" customHeight="1" thickBot="1" x14ac:dyDescent="0.25">
      <c r="A13" s="1144" t="s">
        <v>1620</v>
      </c>
      <c r="B13" s="1059"/>
      <c r="C13" s="1059"/>
      <c r="D13" s="1059"/>
      <c r="E13" s="1059"/>
      <c r="F13" s="1059"/>
      <c r="G13" s="1059"/>
      <c r="H13" s="1059"/>
      <c r="I13" s="1059"/>
      <c r="J13" s="1059"/>
      <c r="K13" s="1059"/>
      <c r="L13" s="1059"/>
      <c r="M13" s="1075" t="s">
        <v>1552</v>
      </c>
    </row>
    <row r="14" spans="1:13" ht="15" customHeight="1" thickBot="1" x14ac:dyDescent="0.25">
      <c r="A14" s="1059"/>
      <c r="B14" s="1059"/>
      <c r="C14" s="1059"/>
      <c r="D14" s="1059"/>
      <c r="E14" s="1059"/>
      <c r="F14" s="1059"/>
      <c r="G14" s="1059"/>
      <c r="H14" s="1059"/>
      <c r="I14" s="1059"/>
      <c r="J14" s="1059"/>
      <c r="K14" s="1059"/>
      <c r="L14" s="1059"/>
      <c r="M14" s="1076" t="s">
        <v>1553</v>
      </c>
    </row>
    <row r="15" spans="1:13" ht="15" customHeight="1" thickBot="1" x14ac:dyDescent="0.25">
      <c r="A15" s="1072" t="s">
        <v>479</v>
      </c>
      <c r="B15" s="1071" t="s">
        <v>1551</v>
      </c>
      <c r="C15" s="1071" t="s">
        <v>480</v>
      </c>
      <c r="D15" s="1071" t="s">
        <v>59</v>
      </c>
      <c r="E15" s="1059"/>
      <c r="G15" s="1059"/>
      <c r="H15" s="1059"/>
      <c r="I15" s="1059"/>
      <c r="J15" s="1059"/>
      <c r="K15" s="1059"/>
      <c r="L15" s="1059"/>
      <c r="M15" s="1079" t="s">
        <v>1622</v>
      </c>
    </row>
    <row r="16" spans="1:13" ht="15" customHeight="1" x14ac:dyDescent="0.2">
      <c r="A16" s="1073" t="s">
        <v>481</v>
      </c>
      <c r="B16" s="1139">
        <f>B30</f>
        <v>11.953860558981317</v>
      </c>
      <c r="C16" s="1044">
        <f>B16/$B$20-1</f>
        <v>9.4960645349277506E-2</v>
      </c>
      <c r="D16" s="1074" t="str">
        <f>IF(ABS(C16)&lt;=0.15,"✓",IF(ABS(C16)&lt;=0.25,"⚠","✗"))</f>
        <v>✓</v>
      </c>
      <c r="E16" s="1059"/>
      <c r="G16" s="1059"/>
      <c r="H16" s="1059"/>
      <c r="I16" s="1059"/>
      <c r="J16" s="1059"/>
      <c r="K16" s="1059"/>
      <c r="L16" s="1059"/>
      <c r="M16" s="1081" t="s">
        <v>1623</v>
      </c>
    </row>
    <row r="17" spans="1:13" ht="15" customHeight="1" thickBot="1" x14ac:dyDescent="0.25">
      <c r="A17" s="1077" t="s">
        <v>1621</v>
      </c>
      <c r="B17" s="1140">
        <f>B43</f>
        <v>11.209319999999998</v>
      </c>
      <c r="C17" s="1048">
        <f>B17/$B$20-1</f>
        <v>2.6761538715196931E-2</v>
      </c>
      <c r="D17" s="1078" t="str">
        <f>IF(ABS(C17)&lt;=0.15,"✓",IF(ABS(C17)&lt;=0.25,"⚠","✗"))</f>
        <v>✓</v>
      </c>
      <c r="E17" s="1059"/>
      <c r="G17" s="1059"/>
      <c r="H17" s="1059"/>
      <c r="I17" s="1059"/>
      <c r="J17" s="1059"/>
      <c r="K17" s="1059"/>
      <c r="L17" s="1059"/>
      <c r="M17" s="1079" t="s">
        <v>1554</v>
      </c>
    </row>
    <row r="18" spans="1:13" ht="15" customHeight="1" thickBot="1" x14ac:dyDescent="0.25">
      <c r="A18" s="1080" t="s">
        <v>1538</v>
      </c>
      <c r="B18" s="1140">
        <f>B67</f>
        <v>10.625</v>
      </c>
      <c r="C18" s="1044">
        <f>B18/$B$20-1</f>
        <v>-2.6761538715196931E-2</v>
      </c>
      <c r="D18" s="1074" t="str">
        <f>IF(ABS(C18)&lt;=0.15,"✓",IF(ABS(C18)&lt;=0.25,"⚠","✗"))</f>
        <v>✓</v>
      </c>
      <c r="E18" s="1059"/>
      <c r="G18" s="1059"/>
      <c r="H18" s="1059"/>
      <c r="I18" s="1059"/>
      <c r="J18" s="1059"/>
      <c r="K18" s="1059"/>
      <c r="L18" s="1059"/>
      <c r="M18" s="1089" t="s">
        <v>1626</v>
      </c>
    </row>
    <row r="19" spans="1:13" ht="15" customHeight="1" thickTop="1" thickBot="1" x14ac:dyDescent="0.25">
      <c r="A19" s="1077" t="s">
        <v>1624</v>
      </c>
      <c r="B19" s="1141">
        <f>B78</f>
        <v>8.3789999999999996</v>
      </c>
      <c r="C19" s="1085">
        <f>B19/$B$20-1</f>
        <v>-0.23249269956655394</v>
      </c>
      <c r="D19" s="1087" t="str">
        <f>IF(ABS(C19)&lt;=0.15,"✓",IF(ABS(C19)&lt;=0.25,"⚠","✗"))</f>
        <v>⚠</v>
      </c>
      <c r="E19" s="1059"/>
      <c r="G19" s="1059"/>
      <c r="H19" s="1059"/>
      <c r="I19" s="1059"/>
      <c r="J19" s="1059"/>
      <c r="K19" s="1059"/>
      <c r="L19" s="1059"/>
      <c r="M19" s="1059"/>
    </row>
    <row r="20" spans="1:13" ht="15" customHeight="1" thickBot="1" x14ac:dyDescent="0.25">
      <c r="A20" s="1083" t="s">
        <v>1625</v>
      </c>
      <c r="B20" s="1084">
        <f>MEDIAN(B16:B19)</f>
        <v>10.917159999999999</v>
      </c>
      <c r="C20" s="1086">
        <f>STDEV(B16:B19)/B20</f>
        <v>0.14115472945364935</v>
      </c>
      <c r="D20" s="1088" t="str">
        <f>IF(C20&lt;0.1,"✓ tight",IF(C20&lt;0.2,"⚠ wide","✗ diverge"))</f>
        <v>⚠ wide</v>
      </c>
      <c r="E20" s="1059"/>
      <c r="G20" s="1059"/>
      <c r="H20" s="1059"/>
      <c r="I20" s="1059"/>
      <c r="J20" s="1059"/>
      <c r="K20" s="1059"/>
      <c r="L20" s="1059"/>
      <c r="M20" s="1059"/>
    </row>
    <row r="21" spans="1:13" ht="15" customHeight="1" thickTop="1" x14ac:dyDescent="0.2">
      <c r="A21" s="1059"/>
      <c r="B21" s="1059"/>
      <c r="C21" s="1059"/>
      <c r="D21" s="1059"/>
      <c r="E21" s="1059"/>
      <c r="G21" s="1059"/>
      <c r="H21" s="1059"/>
      <c r="I21" s="1059"/>
      <c r="J21" s="1059"/>
      <c r="K21" s="1059"/>
      <c r="L21" s="1059"/>
      <c r="M21" s="1059"/>
    </row>
    <row r="22" spans="1:13" ht="22" customHeight="1" thickBot="1" x14ac:dyDescent="0.25">
      <c r="A22" s="1041" t="s">
        <v>1627</v>
      </c>
      <c r="B22" s="1060"/>
      <c r="C22" s="1060"/>
      <c r="D22" s="1060"/>
      <c r="E22" s="1059"/>
      <c r="G22" s="1059"/>
      <c r="H22" s="1059"/>
      <c r="I22" s="1059"/>
      <c r="J22" s="1059"/>
      <c r="K22" s="1059"/>
      <c r="L22" s="1059"/>
      <c r="M22" s="1059"/>
    </row>
    <row r="23" spans="1:13" ht="30" customHeight="1" thickBot="1" x14ac:dyDescent="0.25">
      <c r="A23" s="1090" t="s">
        <v>1628</v>
      </c>
      <c r="B23" s="1091"/>
      <c r="C23" s="1091"/>
      <c r="D23" s="1092"/>
      <c r="E23" s="1059"/>
      <c r="G23" s="1059"/>
      <c r="H23" s="1059"/>
      <c r="I23" s="1059"/>
      <c r="J23" s="1059"/>
      <c r="K23" s="1059"/>
      <c r="L23" s="1059"/>
      <c r="M23" s="1059"/>
    </row>
    <row r="24" spans="1:13" ht="15" customHeight="1" thickBot="1" x14ac:dyDescent="0.25">
      <c r="A24" s="1050" t="s">
        <v>1629</v>
      </c>
      <c r="B24" s="1059"/>
      <c r="C24" s="1059"/>
      <c r="D24" s="1059"/>
      <c r="E24" s="1059"/>
      <c r="G24" s="1059"/>
      <c r="H24" s="1059"/>
      <c r="I24" s="1059"/>
      <c r="J24" s="1059"/>
      <c r="K24" s="1059"/>
      <c r="L24" s="1059"/>
      <c r="M24" s="1075" t="s">
        <v>1265</v>
      </c>
    </row>
    <row r="25" spans="1:13" ht="15" customHeight="1" thickBot="1" x14ac:dyDescent="0.25">
      <c r="A25" s="1059"/>
      <c r="B25" s="1059"/>
      <c r="C25" s="1059"/>
      <c r="D25" s="1059"/>
      <c r="E25" s="1059"/>
      <c r="G25" s="1059"/>
      <c r="H25" s="1059"/>
      <c r="I25" s="1059"/>
      <c r="J25" s="1059"/>
      <c r="K25" s="1059"/>
      <c r="L25" s="1059"/>
      <c r="M25" s="1076" t="s">
        <v>1631</v>
      </c>
    </row>
    <row r="26" spans="1:13" ht="15" customHeight="1" thickBot="1" x14ac:dyDescent="0.25">
      <c r="A26" s="1072" t="s">
        <v>482</v>
      </c>
      <c r="B26" s="1071" t="s">
        <v>483</v>
      </c>
      <c r="C26" s="1070" t="s">
        <v>484</v>
      </c>
      <c r="D26" s="1059"/>
      <c r="E26" s="1059"/>
      <c r="G26" s="1059"/>
      <c r="H26" s="1059"/>
      <c r="I26" s="1059"/>
      <c r="J26" s="1059"/>
      <c r="K26" s="1059"/>
      <c r="L26" s="1059"/>
      <c r="M26" s="1079" t="s">
        <v>1633</v>
      </c>
    </row>
    <row r="27" spans="1:13" ht="15" customHeight="1" thickBot="1" x14ac:dyDescent="0.25">
      <c r="A27" s="1073" t="s">
        <v>485</v>
      </c>
      <c r="B27" s="1093">
        <v>25</v>
      </c>
      <c r="C27" s="1145" t="s">
        <v>1630</v>
      </c>
      <c r="D27" s="1059"/>
      <c r="E27" s="1059"/>
      <c r="G27" s="1059"/>
      <c r="H27" s="1059"/>
      <c r="I27" s="1059"/>
      <c r="J27" s="1059"/>
      <c r="K27" s="1059"/>
      <c r="L27" s="1059"/>
      <c r="M27" s="1081" t="s">
        <v>1635</v>
      </c>
    </row>
    <row r="28" spans="1:13" ht="15" customHeight="1" thickBot="1" x14ac:dyDescent="0.25">
      <c r="A28" s="1077" t="s">
        <v>486</v>
      </c>
      <c r="B28" s="1094">
        <v>0.06</v>
      </c>
      <c r="C28" s="1146" t="s">
        <v>1632</v>
      </c>
      <c r="D28" s="1059"/>
      <c r="E28" s="1059"/>
      <c r="G28" s="1059"/>
      <c r="H28" s="1059"/>
      <c r="I28" s="1059"/>
      <c r="J28" s="1059"/>
      <c r="K28" s="1059"/>
      <c r="L28" s="1059"/>
      <c r="M28" s="1089" t="s">
        <v>1637</v>
      </c>
    </row>
    <row r="29" spans="1:13" ht="15" customHeight="1" thickTop="1" thickBot="1" x14ac:dyDescent="0.25">
      <c r="A29" s="1080" t="s">
        <v>487</v>
      </c>
      <c r="B29" s="1096">
        <v>0.3</v>
      </c>
      <c r="C29" s="1147" t="s">
        <v>1634</v>
      </c>
      <c r="D29" s="1059"/>
      <c r="E29" s="1059"/>
      <c r="G29" s="1059"/>
      <c r="H29" s="1059"/>
      <c r="I29" s="1059"/>
      <c r="J29" s="1059"/>
      <c r="K29" s="1059"/>
      <c r="L29" s="1059"/>
      <c r="M29" s="1059"/>
    </row>
    <row r="30" spans="1:13" ht="15" customHeight="1" thickBot="1" x14ac:dyDescent="0.25">
      <c r="A30" s="1083" t="s">
        <v>1555</v>
      </c>
      <c r="B30" s="1097">
        <f>B27*((1+B28)^8)*B29</f>
        <v>11.953860558981317</v>
      </c>
      <c r="C30" s="1148" t="s">
        <v>1636</v>
      </c>
      <c r="D30" s="1059"/>
      <c r="E30" s="1059"/>
      <c r="G30" s="1059"/>
      <c r="H30" s="1059"/>
      <c r="I30" s="1059"/>
      <c r="J30" s="1059"/>
      <c r="K30" s="1059"/>
      <c r="L30" s="1059"/>
      <c r="M30" s="1059"/>
    </row>
    <row r="31" spans="1:13" ht="15" customHeight="1" thickTop="1" x14ac:dyDescent="0.2">
      <c r="A31" s="1059"/>
      <c r="B31" s="1059"/>
      <c r="C31" s="1059"/>
      <c r="D31" s="1059"/>
      <c r="E31" s="1059"/>
      <c r="G31" s="1059"/>
      <c r="H31" s="1059"/>
      <c r="I31" s="1059"/>
      <c r="J31" s="1059"/>
      <c r="K31" s="1059"/>
      <c r="L31" s="1059"/>
      <c r="M31" s="1059"/>
    </row>
    <row r="32" spans="1:13" ht="22" customHeight="1" thickBot="1" x14ac:dyDescent="0.25">
      <c r="A32" s="1041" t="s">
        <v>1638</v>
      </c>
      <c r="B32" s="1060"/>
      <c r="C32" s="1060"/>
      <c r="D32" s="1060"/>
      <c r="E32" s="1059"/>
      <c r="G32" s="1059"/>
      <c r="H32" s="1059"/>
      <c r="I32" s="1059"/>
      <c r="J32" s="1059"/>
      <c r="K32" s="1059"/>
      <c r="L32" s="1059"/>
      <c r="M32" s="1059"/>
    </row>
    <row r="33" spans="1:13" ht="30" customHeight="1" thickBot="1" x14ac:dyDescent="0.25">
      <c r="A33" s="1099" t="s">
        <v>1639</v>
      </c>
      <c r="B33" s="1100"/>
      <c r="C33" s="1100"/>
      <c r="D33" s="1101"/>
      <c r="E33" s="1059"/>
      <c r="G33" s="1059"/>
      <c r="H33" s="1059"/>
      <c r="I33" s="1059"/>
      <c r="J33" s="1059"/>
      <c r="K33" s="1059"/>
      <c r="L33" s="1059"/>
      <c r="M33" s="1059"/>
    </row>
    <row r="34" spans="1:13" ht="15" customHeight="1" thickBot="1" x14ac:dyDescent="0.25">
      <c r="A34" s="1144" t="s">
        <v>1640</v>
      </c>
      <c r="B34" s="1059"/>
      <c r="C34" s="1059"/>
      <c r="D34" s="1059"/>
      <c r="E34" s="1059"/>
      <c r="G34" s="1059"/>
      <c r="H34" s="1059"/>
      <c r="I34" s="1059"/>
      <c r="J34" s="1059"/>
      <c r="K34" s="1059"/>
      <c r="L34" s="1059"/>
      <c r="M34" s="1075" t="s">
        <v>1265</v>
      </c>
    </row>
    <row r="35" spans="1:13" ht="15" customHeight="1" thickBot="1" x14ac:dyDescent="0.25">
      <c r="A35" s="1059"/>
      <c r="B35" s="1059"/>
      <c r="C35" s="1059"/>
      <c r="D35" s="1059"/>
      <c r="E35" s="1059"/>
      <c r="G35" s="1059"/>
      <c r="H35" s="1059"/>
      <c r="I35" s="1059"/>
      <c r="J35" s="1059"/>
      <c r="K35" s="1059"/>
      <c r="L35" s="1059"/>
      <c r="M35" s="1076" t="s">
        <v>1641</v>
      </c>
    </row>
    <row r="36" spans="1:13" ht="15" customHeight="1" thickBot="1" x14ac:dyDescent="0.25">
      <c r="A36" s="1072" t="s">
        <v>482</v>
      </c>
      <c r="B36" s="1071" t="s">
        <v>483</v>
      </c>
      <c r="C36" s="1070" t="s">
        <v>484</v>
      </c>
      <c r="D36" s="1059"/>
      <c r="E36" s="1059"/>
      <c r="G36" s="1059"/>
      <c r="H36" s="1059"/>
      <c r="I36" s="1059"/>
      <c r="J36" s="1059"/>
      <c r="K36" s="1059"/>
      <c r="L36" s="1059"/>
      <c r="M36" s="1079" t="s">
        <v>1642</v>
      </c>
    </row>
    <row r="37" spans="1:13" ht="15" customHeight="1" x14ac:dyDescent="0.2">
      <c r="A37" s="1073" t="s">
        <v>488</v>
      </c>
      <c r="B37" s="1102">
        <v>0.56299999999999994</v>
      </c>
      <c r="C37" s="1145" t="s">
        <v>1557</v>
      </c>
      <c r="D37" s="1059"/>
      <c r="E37" s="1059"/>
      <c r="G37" s="1059"/>
      <c r="H37" s="1059"/>
      <c r="I37" s="1059"/>
      <c r="J37" s="1059"/>
      <c r="K37" s="1059"/>
      <c r="L37" s="1059"/>
      <c r="M37" s="1081" t="s">
        <v>1643</v>
      </c>
    </row>
    <row r="38" spans="1:13" ht="15" customHeight="1" x14ac:dyDescent="0.2">
      <c r="A38" s="1077" t="s">
        <v>489</v>
      </c>
      <c r="B38" s="1103">
        <v>2.4900000000000002</v>
      </c>
      <c r="C38" s="1146" t="s">
        <v>1558</v>
      </c>
      <c r="D38" s="1059"/>
      <c r="E38" s="1059"/>
      <c r="G38" s="1059"/>
      <c r="H38" s="1059"/>
      <c r="I38" s="1059"/>
      <c r="J38" s="1059"/>
      <c r="K38" s="1059"/>
      <c r="L38" s="1059"/>
      <c r="M38" s="1079" t="s">
        <v>1645</v>
      </c>
    </row>
    <row r="39" spans="1:13" ht="15" customHeight="1" x14ac:dyDescent="0.2">
      <c r="A39" s="1080" t="s">
        <v>490</v>
      </c>
      <c r="B39" s="1061">
        <v>3.08</v>
      </c>
      <c r="C39" s="1145" t="s">
        <v>1559</v>
      </c>
      <c r="D39" s="1059"/>
      <c r="E39" s="1059"/>
      <c r="G39" s="1059"/>
      <c r="H39" s="1059"/>
      <c r="I39" s="1059"/>
      <c r="J39" s="1059"/>
      <c r="K39" s="1059"/>
      <c r="L39" s="1059"/>
      <c r="M39" s="1081" t="s">
        <v>1646</v>
      </c>
    </row>
    <row r="40" spans="1:13" ht="15" customHeight="1" thickBot="1" x14ac:dyDescent="0.25">
      <c r="A40" s="1077" t="s">
        <v>491</v>
      </c>
      <c r="B40" s="1103">
        <v>10.7</v>
      </c>
      <c r="C40" s="1146" t="s">
        <v>1644</v>
      </c>
      <c r="D40" s="1059"/>
      <c r="E40" s="1059"/>
      <c r="G40" s="1059"/>
      <c r="H40" s="1059"/>
      <c r="I40" s="1059"/>
      <c r="J40" s="1059"/>
      <c r="K40" s="1059"/>
      <c r="L40" s="1059"/>
      <c r="M40" s="1079" t="s">
        <v>1647</v>
      </c>
    </row>
    <row r="41" spans="1:13" ht="15" customHeight="1" thickBot="1" x14ac:dyDescent="0.25">
      <c r="A41" s="1080" t="s">
        <v>1560</v>
      </c>
      <c r="B41" s="1104">
        <v>1.08</v>
      </c>
      <c r="C41" s="1145" t="s">
        <v>1561</v>
      </c>
      <c r="D41" s="1059"/>
      <c r="E41" s="1059"/>
      <c r="G41" s="1059"/>
      <c r="H41" s="1059"/>
      <c r="I41" s="1059"/>
      <c r="J41" s="1059"/>
      <c r="K41" s="1059"/>
      <c r="L41" s="1059"/>
      <c r="M41" s="1106" t="s">
        <v>1648</v>
      </c>
    </row>
    <row r="42" spans="1:13" ht="15" customHeight="1" thickTop="1" thickBot="1" x14ac:dyDescent="0.25">
      <c r="A42" s="1077" t="s">
        <v>1562</v>
      </c>
      <c r="B42" s="1105">
        <v>0.97</v>
      </c>
      <c r="C42" s="1149" t="s">
        <v>1563</v>
      </c>
      <c r="D42" s="1059"/>
      <c r="E42" s="1059"/>
      <c r="G42" s="1059"/>
      <c r="H42" s="1059"/>
      <c r="I42" s="1059"/>
      <c r="J42" s="1059"/>
      <c r="K42" s="1059"/>
      <c r="L42" s="1059"/>
    </row>
    <row r="43" spans="1:13" ht="15" customHeight="1" thickBot="1" x14ac:dyDescent="0.25">
      <c r="A43" s="1083" t="s">
        <v>1555</v>
      </c>
      <c r="B43" s="1097">
        <f>B40*B41*B42</f>
        <v>11.209319999999998</v>
      </c>
      <c r="C43" s="1148" t="s">
        <v>1564</v>
      </c>
      <c r="D43" s="1059"/>
      <c r="E43" s="1059"/>
      <c r="F43" s="1039"/>
      <c r="G43" s="1059"/>
      <c r="H43" s="1059"/>
      <c r="I43" s="1059"/>
      <c r="J43" s="1059"/>
      <c r="K43" s="1059"/>
      <c r="L43" s="1059"/>
    </row>
    <row r="44" spans="1:13" ht="15" customHeight="1" thickTop="1" x14ac:dyDescent="0.2">
      <c r="A44" s="1059"/>
      <c r="B44" s="1059"/>
      <c r="C44" s="1059"/>
      <c r="D44" s="1059"/>
      <c r="E44" s="1059"/>
      <c r="F44" s="1059"/>
      <c r="G44" s="1059"/>
      <c r="H44" s="1059"/>
      <c r="I44" s="1059"/>
      <c r="J44" s="1059"/>
      <c r="K44" s="1059"/>
      <c r="L44" s="1059"/>
      <c r="M44" s="1059"/>
    </row>
    <row r="45" spans="1:13" ht="22" customHeight="1" thickBot="1" x14ac:dyDescent="0.25">
      <c r="A45" s="1041" t="s">
        <v>1649</v>
      </c>
      <c r="B45" s="1060"/>
      <c r="C45" s="1060"/>
      <c r="D45" s="1060"/>
      <c r="E45" s="1060"/>
      <c r="F45" s="1060"/>
      <c r="G45" s="1060"/>
      <c r="H45" s="1059"/>
      <c r="I45" s="1060"/>
      <c r="J45" s="1060"/>
      <c r="K45" s="1060"/>
      <c r="L45" s="1059"/>
      <c r="M45" s="1059"/>
    </row>
    <row r="46" spans="1:13" ht="30" customHeight="1" thickBot="1" x14ac:dyDescent="0.25">
      <c r="A46" s="1099" t="s">
        <v>1650</v>
      </c>
      <c r="B46" s="1100"/>
      <c r="C46" s="1100"/>
      <c r="D46" s="1100"/>
      <c r="E46" s="1100"/>
      <c r="F46" s="1100"/>
      <c r="G46" s="1100"/>
      <c r="H46" s="1059"/>
      <c r="I46" s="1100"/>
      <c r="J46" s="1100"/>
      <c r="K46" s="1101"/>
      <c r="L46" s="1059"/>
      <c r="M46" s="1059"/>
    </row>
    <row r="47" spans="1:13" ht="22" customHeight="1" x14ac:dyDescent="0.2">
      <c r="A47" s="1144" t="s">
        <v>1651</v>
      </c>
      <c r="B47" s="1059"/>
      <c r="C47" s="1059"/>
      <c r="D47" s="1059"/>
      <c r="E47" s="1059"/>
      <c r="F47" s="1059"/>
      <c r="G47" s="1059"/>
      <c r="H47" s="1059"/>
      <c r="I47" s="1059"/>
      <c r="J47" s="1059"/>
      <c r="K47" s="1059"/>
      <c r="L47" s="1059"/>
      <c r="M47" s="1059"/>
    </row>
    <row r="48" spans="1:13" ht="15" customHeight="1" x14ac:dyDescent="0.2">
      <c r="A48" s="1059"/>
      <c r="B48" s="1059"/>
      <c r="C48" s="1059"/>
      <c r="D48" s="1059"/>
      <c r="E48" s="1059"/>
      <c r="F48" s="1059"/>
      <c r="G48" s="1059"/>
      <c r="H48" s="1059"/>
      <c r="I48" s="1059"/>
      <c r="J48" s="1059"/>
      <c r="K48" s="1059"/>
      <c r="L48" s="1059"/>
      <c r="M48" s="1059"/>
    </row>
    <row r="49" spans="1:13" ht="15" customHeight="1" x14ac:dyDescent="0.2">
      <c r="A49" s="1051" t="s">
        <v>1652</v>
      </c>
      <c r="B49" s="1107"/>
      <c r="C49" s="1107"/>
      <c r="D49" s="1059"/>
      <c r="E49" s="1051" t="s">
        <v>1653</v>
      </c>
      <c r="F49" s="1107"/>
      <c r="G49" s="1107"/>
      <c r="H49" s="1059"/>
      <c r="I49" s="1051" t="s">
        <v>1654</v>
      </c>
      <c r="J49" s="1107"/>
      <c r="K49" s="1107"/>
      <c r="L49" s="1059"/>
      <c r="M49" s="1059"/>
    </row>
    <row r="50" spans="1:13" ht="15" customHeight="1" x14ac:dyDescent="0.2">
      <c r="A50" s="1144" t="s">
        <v>1583</v>
      </c>
      <c r="B50" s="1059"/>
      <c r="C50" s="1059"/>
      <c r="D50" s="1059"/>
      <c r="E50" s="1144" t="s">
        <v>1655</v>
      </c>
      <c r="F50" s="1059"/>
      <c r="G50" s="1059"/>
      <c r="H50" s="1059"/>
      <c r="I50" s="1050" t="s">
        <v>1656</v>
      </c>
      <c r="J50" s="1059"/>
      <c r="K50" s="1059"/>
      <c r="L50" s="1059"/>
      <c r="M50" s="1059"/>
    </row>
    <row r="51" spans="1:13" ht="15" customHeight="1" x14ac:dyDescent="0.2">
      <c r="A51" s="1059"/>
      <c r="B51" s="1059"/>
      <c r="C51" s="1059"/>
      <c r="D51" s="1059"/>
      <c r="E51" s="1059"/>
      <c r="F51" s="1059"/>
      <c r="G51" s="1059"/>
      <c r="H51" s="1059"/>
      <c r="I51" s="1059"/>
      <c r="J51" s="1059"/>
      <c r="K51" s="1059"/>
      <c r="L51" s="1059"/>
      <c r="M51" s="1059"/>
    </row>
    <row r="52" spans="1:13" ht="15" customHeight="1" x14ac:dyDescent="0.2">
      <c r="A52" s="1053" t="s">
        <v>482</v>
      </c>
      <c r="B52" s="1054" t="s">
        <v>483</v>
      </c>
      <c r="C52" s="1053" t="s">
        <v>484</v>
      </c>
      <c r="D52" s="1059"/>
      <c r="E52" s="1053" t="s">
        <v>482</v>
      </c>
      <c r="F52" s="1054" t="s">
        <v>483</v>
      </c>
      <c r="G52" s="1053" t="s">
        <v>484</v>
      </c>
      <c r="H52" s="1059"/>
      <c r="I52" s="1053" t="s">
        <v>482</v>
      </c>
      <c r="J52" s="1054" t="s">
        <v>483</v>
      </c>
      <c r="K52" s="1053" t="s">
        <v>484</v>
      </c>
      <c r="L52" s="1059"/>
      <c r="M52" s="1059"/>
    </row>
    <row r="53" spans="1:13" ht="15" customHeight="1" x14ac:dyDescent="0.2">
      <c r="A53" s="1042" t="s">
        <v>1584</v>
      </c>
      <c r="B53" s="1093">
        <v>10</v>
      </c>
      <c r="C53" s="1145" t="s">
        <v>1565</v>
      </c>
      <c r="D53" s="1059"/>
      <c r="E53" s="1042" t="s">
        <v>1588</v>
      </c>
      <c r="F53" s="1061">
        <v>2</v>
      </c>
      <c r="G53" s="1045" t="s">
        <v>1594</v>
      </c>
      <c r="H53" s="1059"/>
      <c r="I53" s="1042" t="s">
        <v>1596</v>
      </c>
      <c r="J53" s="1093">
        <v>12</v>
      </c>
      <c r="K53" s="1045" t="s">
        <v>1657</v>
      </c>
      <c r="L53" s="1059"/>
      <c r="M53" s="1059"/>
    </row>
    <row r="54" spans="1:13" ht="15" customHeight="1" x14ac:dyDescent="0.2">
      <c r="A54" s="1046" t="s">
        <v>1585</v>
      </c>
      <c r="B54" s="1108">
        <v>170</v>
      </c>
      <c r="C54" s="1146" t="s">
        <v>1566</v>
      </c>
      <c r="D54" s="1059"/>
      <c r="E54" s="1046" t="s">
        <v>1595</v>
      </c>
      <c r="F54" s="1109">
        <f>(1.5)*(1.4)*(1.3)*(1.22)*(1.17)*(1.13)*(1.1)*(1.08)</f>
        <v>5.2312228768799987</v>
      </c>
      <c r="G54" s="1058" t="s">
        <v>1658</v>
      </c>
      <c r="H54" s="1059"/>
      <c r="I54" s="1046" t="s">
        <v>1597</v>
      </c>
      <c r="J54" s="1108">
        <v>10</v>
      </c>
      <c r="K54" s="1049" t="s">
        <v>1598</v>
      </c>
      <c r="L54" s="1059"/>
      <c r="M54" s="1059"/>
    </row>
    <row r="55" spans="1:13" ht="15" customHeight="1" x14ac:dyDescent="0.2">
      <c r="A55" s="1042" t="s">
        <v>1586</v>
      </c>
      <c r="B55" s="1110">
        <f>B54/B53</f>
        <v>17</v>
      </c>
      <c r="C55" s="1154" t="s">
        <v>1587</v>
      </c>
      <c r="D55" s="1059"/>
      <c r="E55" s="1059"/>
      <c r="F55" s="1059"/>
      <c r="G55" s="1059"/>
      <c r="H55" s="1059"/>
      <c r="I55" s="1042" t="s">
        <v>1599</v>
      </c>
      <c r="J55" s="1095">
        <v>0.8</v>
      </c>
      <c r="K55" s="1045" t="s">
        <v>1659</v>
      </c>
      <c r="L55" s="1059"/>
      <c r="M55" s="1059"/>
    </row>
    <row r="56" spans="1:13" ht="15" customHeight="1" x14ac:dyDescent="0.2">
      <c r="A56" s="1046" t="s">
        <v>1588</v>
      </c>
      <c r="B56" s="1103">
        <v>2.5</v>
      </c>
      <c r="C56" s="1146" t="s">
        <v>1589</v>
      </c>
      <c r="D56" s="1059"/>
      <c r="E56" s="1059"/>
      <c r="F56" s="1059"/>
      <c r="G56" s="1059"/>
      <c r="H56" s="1059"/>
      <c r="I56" s="1046" t="s">
        <v>1600</v>
      </c>
      <c r="J56" s="1111">
        <v>1.2</v>
      </c>
      <c r="K56" s="1049" t="s">
        <v>1601</v>
      </c>
      <c r="L56" s="1059"/>
      <c r="M56" s="1059"/>
    </row>
    <row r="57" spans="1:13" ht="15" customHeight="1" x14ac:dyDescent="0.2">
      <c r="A57" s="1042" t="s">
        <v>1590</v>
      </c>
      <c r="B57" s="1112">
        <f>B56*B55</f>
        <v>42.5</v>
      </c>
      <c r="C57" s="1145" t="s">
        <v>1591</v>
      </c>
      <c r="D57" s="1059"/>
      <c r="E57" s="1059"/>
      <c r="F57" s="1059"/>
      <c r="G57" s="1059"/>
      <c r="H57" s="1059"/>
      <c r="I57" s="1042" t="s">
        <v>1602</v>
      </c>
      <c r="J57" s="1113">
        <v>0.9</v>
      </c>
      <c r="K57" s="1045" t="s">
        <v>1603</v>
      </c>
      <c r="L57" s="1059"/>
      <c r="M57" s="1059"/>
    </row>
    <row r="58" spans="1:13" ht="15" customHeight="1" x14ac:dyDescent="0.2">
      <c r="A58" s="1046" t="s">
        <v>1592</v>
      </c>
      <c r="B58" s="1111">
        <v>4</v>
      </c>
      <c r="C58" s="1146" t="s">
        <v>1593</v>
      </c>
      <c r="D58" s="1059"/>
      <c r="E58" s="1059"/>
      <c r="F58" s="1059"/>
      <c r="G58" s="1059"/>
      <c r="H58" s="1059"/>
      <c r="I58" s="1059"/>
      <c r="J58" s="1059"/>
      <c r="K58" s="1059"/>
      <c r="L58" s="1059"/>
      <c r="M58" s="1059"/>
    </row>
    <row r="59" spans="1:13" ht="15" customHeight="1" thickBot="1" x14ac:dyDescent="0.25">
      <c r="A59" s="1059"/>
      <c r="B59" s="1059"/>
      <c r="C59" s="1059"/>
      <c r="D59" s="1059"/>
      <c r="E59" s="1059"/>
      <c r="F59" s="1059"/>
      <c r="G59" s="1059"/>
      <c r="H59" s="1059"/>
      <c r="I59" s="1059"/>
      <c r="J59" s="1059"/>
      <c r="K59" s="1059"/>
      <c r="L59" s="1059"/>
      <c r="M59" s="1059"/>
    </row>
    <row r="60" spans="1:13" ht="15" customHeight="1" thickBot="1" x14ac:dyDescent="0.25">
      <c r="A60" s="1082" t="s">
        <v>1604</v>
      </c>
      <c r="B60" s="1097">
        <f>B57/B58</f>
        <v>10.625</v>
      </c>
      <c r="C60" s="1098" t="s">
        <v>1660</v>
      </c>
      <c r="D60" s="1059"/>
      <c r="E60" s="1082" t="s">
        <v>1605</v>
      </c>
      <c r="F60" s="1097">
        <f>F53*F54</f>
        <v>10.462445753759997</v>
      </c>
      <c r="G60" s="1098" t="s">
        <v>1606</v>
      </c>
      <c r="H60" s="1059"/>
      <c r="I60" s="1082" t="s">
        <v>1607</v>
      </c>
      <c r="J60" s="1097">
        <f>J54*J56*J57</f>
        <v>10.8</v>
      </c>
      <c r="K60" s="1098" t="s">
        <v>1608</v>
      </c>
      <c r="L60" s="1059"/>
      <c r="M60" s="1059"/>
    </row>
    <row r="61" spans="1:13" ht="15" customHeight="1" thickTop="1" x14ac:dyDescent="0.2">
      <c r="A61" s="1059"/>
      <c r="B61" s="1059"/>
      <c r="C61" s="1059"/>
      <c r="D61" s="1059"/>
      <c r="E61" s="1059"/>
      <c r="F61" s="1059"/>
      <c r="G61" s="1059"/>
      <c r="H61" s="1059"/>
      <c r="I61" s="1059"/>
      <c r="J61" s="1059"/>
      <c r="K61" s="1059"/>
      <c r="L61" s="1059"/>
      <c r="M61" s="1059"/>
    </row>
    <row r="62" spans="1:13" ht="22" customHeight="1" x14ac:dyDescent="0.2">
      <c r="A62" s="1051" t="s">
        <v>1661</v>
      </c>
      <c r="B62" s="1107"/>
      <c r="C62" s="1107"/>
      <c r="D62" s="1107"/>
      <c r="E62" s="1107"/>
      <c r="F62" s="1107"/>
      <c r="G62" s="1059"/>
      <c r="H62" s="1059"/>
      <c r="I62" s="1059"/>
      <c r="J62" s="1059"/>
      <c r="K62" s="1059"/>
      <c r="L62" s="1059"/>
      <c r="M62" s="1059"/>
    </row>
    <row r="63" spans="1:13" ht="15" customHeight="1" x14ac:dyDescent="0.2">
      <c r="A63" s="1059"/>
      <c r="B63" s="1059"/>
      <c r="C63" s="1059"/>
      <c r="D63" s="1059"/>
      <c r="E63" s="1059"/>
      <c r="F63" s="1059"/>
      <c r="G63" s="1059"/>
      <c r="H63" s="1059"/>
      <c r="I63" s="1059"/>
      <c r="J63" s="1059"/>
      <c r="K63" s="1059"/>
      <c r="L63" s="1059"/>
      <c r="M63" s="1059"/>
    </row>
    <row r="64" spans="1:13" ht="15" customHeight="1" x14ac:dyDescent="0.2">
      <c r="A64" s="1053" t="s">
        <v>1264</v>
      </c>
      <c r="B64" s="1054" t="s">
        <v>1609</v>
      </c>
      <c r="C64" s="1054" t="s">
        <v>1063</v>
      </c>
      <c r="D64" s="1054" t="s">
        <v>1060</v>
      </c>
      <c r="E64" s="1054" t="s">
        <v>1079</v>
      </c>
      <c r="F64" s="1054" t="s">
        <v>830</v>
      </c>
      <c r="G64" s="1059"/>
      <c r="H64" s="1059"/>
      <c r="I64" s="1059"/>
      <c r="J64" s="1059"/>
      <c r="K64" s="1059"/>
      <c r="L64" s="1059"/>
      <c r="M64" s="1059"/>
    </row>
    <row r="65" spans="1:13" ht="15" customHeight="1" x14ac:dyDescent="0.2">
      <c r="A65" s="1046" t="s">
        <v>1536</v>
      </c>
      <c r="B65" s="1047">
        <f>B60</f>
        <v>10.625</v>
      </c>
      <c r="C65" s="1047">
        <f>F60</f>
        <v>10.462445753759997</v>
      </c>
      <c r="D65" s="1047">
        <f>J60</f>
        <v>10.8</v>
      </c>
      <c r="E65" s="1114">
        <f>MEDIAN(B65:D65)</f>
        <v>10.625</v>
      </c>
      <c r="F65" s="1047">
        <f>MAX(B65:D65)-MIN(B65:D65)</f>
        <v>0.33755424624000341</v>
      </c>
      <c r="G65" s="1059"/>
      <c r="H65" s="1059"/>
      <c r="I65" s="1059"/>
      <c r="J65" s="1059"/>
      <c r="K65" s="1059"/>
      <c r="L65" s="1059"/>
      <c r="M65" s="1059"/>
    </row>
    <row r="66" spans="1:13" ht="15" customHeight="1" thickBot="1" x14ac:dyDescent="0.25">
      <c r="A66" s="1059"/>
      <c r="B66" s="1059"/>
      <c r="C66" s="1059"/>
      <c r="D66" s="1059"/>
      <c r="E66" s="1059"/>
      <c r="F66" s="1059"/>
      <c r="G66" s="1059"/>
      <c r="H66" s="1059"/>
      <c r="I66" s="1059"/>
      <c r="J66" s="1059"/>
      <c r="K66" s="1059"/>
      <c r="L66" s="1059"/>
      <c r="M66" s="1059"/>
    </row>
    <row r="67" spans="1:13" ht="15" customHeight="1" thickBot="1" x14ac:dyDescent="0.25">
      <c r="A67" s="1082" t="s">
        <v>1610</v>
      </c>
      <c r="B67" s="1097">
        <f>E65</f>
        <v>10.625</v>
      </c>
      <c r="C67" s="1098" t="s">
        <v>1662</v>
      </c>
      <c r="D67" s="1059"/>
      <c r="E67" s="1059"/>
      <c r="F67" s="1059"/>
      <c r="G67" s="1059"/>
      <c r="H67" s="1059"/>
      <c r="I67" s="1059"/>
      <c r="J67" s="1059"/>
      <c r="K67" s="1059"/>
      <c r="L67" s="1059"/>
      <c r="M67" s="1059"/>
    </row>
    <row r="68" spans="1:13" ht="15" customHeight="1" thickTop="1" x14ac:dyDescent="0.2">
      <c r="A68" s="1059"/>
      <c r="B68" s="1059"/>
      <c r="C68" s="1059"/>
      <c r="D68" s="1059"/>
      <c r="E68" s="1059"/>
      <c r="F68" s="1059"/>
      <c r="G68" s="1059"/>
      <c r="H68" s="1059"/>
      <c r="I68" s="1059"/>
      <c r="J68" s="1059"/>
      <c r="K68" s="1059"/>
      <c r="L68" s="1059"/>
      <c r="M68" s="1059"/>
    </row>
    <row r="69" spans="1:13" ht="22" customHeight="1" thickBot="1" x14ac:dyDescent="0.25">
      <c r="A69" s="1041" t="s">
        <v>1663</v>
      </c>
      <c r="B69" s="1060"/>
      <c r="C69" s="1060"/>
      <c r="D69" s="1060"/>
      <c r="E69" s="1059"/>
      <c r="F69" s="1059"/>
      <c r="G69" s="1059"/>
      <c r="H69" s="1059"/>
      <c r="I69" s="1059"/>
      <c r="J69" s="1059"/>
      <c r="K69" s="1059"/>
      <c r="L69" s="1059"/>
      <c r="M69" s="1059"/>
    </row>
    <row r="70" spans="1:13" ht="30" customHeight="1" thickBot="1" x14ac:dyDescent="0.25">
      <c r="A70" s="1115" t="s">
        <v>1664</v>
      </c>
      <c r="B70" s="1116"/>
      <c r="C70" s="1116"/>
      <c r="D70" s="1117"/>
      <c r="E70" s="1059"/>
      <c r="F70" s="1059"/>
      <c r="G70" s="1059"/>
      <c r="H70" s="1059"/>
      <c r="I70" s="1059"/>
      <c r="J70" s="1059"/>
      <c r="K70" s="1059"/>
      <c r="L70" s="1059"/>
      <c r="M70" s="1059"/>
    </row>
    <row r="71" spans="1:13" ht="15" customHeight="1" x14ac:dyDescent="0.2">
      <c r="A71" s="1144" t="s">
        <v>1568</v>
      </c>
      <c r="B71" s="1059"/>
      <c r="C71" s="1059"/>
      <c r="D71" s="1059"/>
      <c r="E71" s="1059"/>
      <c r="F71" s="1059"/>
      <c r="G71" s="1059"/>
      <c r="H71" s="1059"/>
      <c r="I71" s="1059"/>
      <c r="J71" s="1059"/>
      <c r="K71" s="1059"/>
      <c r="L71" s="1059"/>
      <c r="M71" s="1059"/>
    </row>
    <row r="72" spans="1:13" ht="15" customHeight="1" thickBot="1" x14ac:dyDescent="0.25">
      <c r="A72" s="1059"/>
      <c r="B72" s="1059"/>
      <c r="C72" s="1059"/>
      <c r="D72" s="1059"/>
      <c r="E72" s="1059"/>
      <c r="F72" s="1059"/>
      <c r="G72" s="1059"/>
      <c r="H72" s="1059"/>
      <c r="I72" s="1059"/>
      <c r="J72" s="1059"/>
      <c r="K72" s="1059"/>
      <c r="L72" s="1059"/>
      <c r="M72" s="1059"/>
    </row>
    <row r="73" spans="1:13" ht="15" customHeight="1" thickBot="1" x14ac:dyDescent="0.25">
      <c r="A73" s="1072" t="s">
        <v>482</v>
      </c>
      <c r="B73" s="1071" t="s">
        <v>483</v>
      </c>
      <c r="C73" s="1070" t="s">
        <v>484</v>
      </c>
      <c r="D73" s="1059"/>
      <c r="E73" s="1059"/>
      <c r="F73" s="1059"/>
      <c r="G73" s="1059"/>
      <c r="H73" s="1059"/>
      <c r="I73" s="1059"/>
      <c r="J73" s="1059"/>
      <c r="K73" s="1059"/>
      <c r="L73" s="1059"/>
      <c r="M73" s="1075" t="s">
        <v>1265</v>
      </c>
    </row>
    <row r="74" spans="1:13" ht="15" customHeight="1" x14ac:dyDescent="0.2">
      <c r="A74" s="1073" t="s">
        <v>1569</v>
      </c>
      <c r="B74" s="1118">
        <v>3500</v>
      </c>
      <c r="C74" s="1145" t="s">
        <v>1665</v>
      </c>
      <c r="D74" s="1059"/>
      <c r="E74" s="1059"/>
      <c r="F74" s="1059"/>
      <c r="G74" s="1059"/>
      <c r="H74" s="1059"/>
      <c r="I74" s="1059"/>
      <c r="J74" s="1059"/>
      <c r="K74" s="1059"/>
      <c r="L74" s="1059"/>
      <c r="M74" s="1076" t="s">
        <v>1666</v>
      </c>
    </row>
    <row r="75" spans="1:13" ht="15" customHeight="1" x14ac:dyDescent="0.2">
      <c r="A75" s="1077" t="s">
        <v>1570</v>
      </c>
      <c r="B75" s="1108">
        <v>245</v>
      </c>
      <c r="C75" s="1146" t="s">
        <v>1667</v>
      </c>
      <c r="D75" s="1059"/>
      <c r="E75" s="1059"/>
      <c r="F75" s="1059"/>
      <c r="G75" s="1059"/>
      <c r="H75" s="1059"/>
      <c r="I75" s="1059"/>
      <c r="J75" s="1059"/>
      <c r="K75" s="1059"/>
      <c r="L75" s="1059"/>
      <c r="M75" s="1079" t="s">
        <v>1668</v>
      </c>
    </row>
    <row r="76" spans="1:13" ht="15" customHeight="1" x14ac:dyDescent="0.2">
      <c r="A76" s="1080" t="s">
        <v>1669</v>
      </c>
      <c r="B76" s="1095">
        <v>0.15</v>
      </c>
      <c r="C76" s="1145" t="s">
        <v>1670</v>
      </c>
      <c r="D76" s="1059"/>
      <c r="E76" s="1059"/>
      <c r="F76" s="1059"/>
      <c r="G76" s="1059"/>
      <c r="H76" s="1059"/>
      <c r="I76" s="1059"/>
      <c r="J76" s="1059"/>
      <c r="K76" s="1059"/>
      <c r="L76" s="1059"/>
      <c r="M76" s="1081" t="s">
        <v>1671</v>
      </c>
    </row>
    <row r="77" spans="1:13" ht="15" customHeight="1" thickBot="1" x14ac:dyDescent="0.25">
      <c r="A77" s="1077" t="s">
        <v>1572</v>
      </c>
      <c r="B77" s="1119">
        <v>0.22800000000000001</v>
      </c>
      <c r="C77" s="1149" t="s">
        <v>1672</v>
      </c>
      <c r="D77" s="1059"/>
      <c r="E77" s="1059"/>
      <c r="F77" s="1059"/>
      <c r="G77" s="1059"/>
      <c r="H77" s="1059"/>
      <c r="I77" s="1059"/>
      <c r="J77" s="1059"/>
      <c r="K77" s="1059"/>
      <c r="L77" s="1059"/>
      <c r="M77" s="1079" t="s">
        <v>1673</v>
      </c>
    </row>
    <row r="78" spans="1:13" ht="15" customHeight="1" thickBot="1" x14ac:dyDescent="0.25">
      <c r="A78" s="1083" t="s">
        <v>1571</v>
      </c>
      <c r="B78" s="1097">
        <f>B75*B76*B77</f>
        <v>8.3789999999999996</v>
      </c>
      <c r="C78" s="1148" t="s">
        <v>1573</v>
      </c>
      <c r="D78" s="1059"/>
      <c r="E78" s="1059"/>
      <c r="F78" s="1059"/>
      <c r="G78" s="1059"/>
      <c r="H78" s="1059"/>
      <c r="I78" s="1059"/>
      <c r="J78" s="1059"/>
      <c r="K78" s="1059"/>
      <c r="L78" s="1059"/>
      <c r="M78" s="1106" t="s">
        <v>1674</v>
      </c>
    </row>
    <row r="79" spans="1:13" ht="15" customHeight="1" thickTop="1" x14ac:dyDescent="0.2">
      <c r="A79" s="1059"/>
      <c r="B79" s="1059"/>
      <c r="C79" s="1162"/>
      <c r="D79" s="1059"/>
      <c r="E79" s="1059"/>
      <c r="F79" s="1059"/>
      <c r="G79" s="1059"/>
      <c r="H79" s="1059"/>
      <c r="I79" s="1059"/>
      <c r="J79" s="1059"/>
      <c r="K79" s="1059"/>
      <c r="L79" s="1059"/>
      <c r="M79" s="1059"/>
    </row>
    <row r="80" spans="1:13" ht="22" customHeight="1" x14ac:dyDescent="0.2">
      <c r="A80" s="1041" t="s">
        <v>1675</v>
      </c>
      <c r="B80" s="1060"/>
      <c r="C80" s="1163"/>
      <c r="D80" s="1060"/>
      <c r="E80" s="1059"/>
      <c r="F80" s="1059"/>
      <c r="G80" s="1059"/>
      <c r="H80" s="1059"/>
      <c r="I80" s="1059"/>
      <c r="J80" s="1059"/>
      <c r="K80" s="1059"/>
      <c r="L80" s="1059"/>
      <c r="M80" s="1059"/>
    </row>
    <row r="81" spans="1:13" ht="15" customHeight="1" thickBot="1" x14ac:dyDescent="0.25">
      <c r="A81" s="1059"/>
      <c r="B81" s="1059"/>
      <c r="C81" s="1162"/>
      <c r="D81" s="1059"/>
      <c r="E81" s="1059"/>
      <c r="F81" s="1059"/>
      <c r="G81" s="1059"/>
      <c r="H81" s="1059"/>
      <c r="I81" s="1059"/>
      <c r="J81" s="1059"/>
      <c r="K81" s="1059"/>
      <c r="L81" s="1059"/>
      <c r="M81" s="1059"/>
    </row>
    <row r="82" spans="1:13" ht="15" customHeight="1" x14ac:dyDescent="0.2">
      <c r="A82" s="1073" t="s">
        <v>1676</v>
      </c>
      <c r="B82" s="1120">
        <f>MIN(B16:B19)</f>
        <v>8.3789999999999996</v>
      </c>
      <c r="C82" s="1174" t="s">
        <v>1677</v>
      </c>
      <c r="D82" s="1059"/>
      <c r="E82" s="1059"/>
      <c r="F82" s="1059"/>
      <c r="G82" s="1059"/>
      <c r="H82" s="1059"/>
      <c r="I82" s="1059"/>
      <c r="J82" s="1059"/>
      <c r="K82" s="1059"/>
      <c r="L82" s="1059"/>
      <c r="M82" s="1059"/>
    </row>
    <row r="83" spans="1:13" ht="15" customHeight="1" thickBot="1" x14ac:dyDescent="0.25">
      <c r="A83" s="1077" t="s">
        <v>1678</v>
      </c>
      <c r="B83" s="1121">
        <f>MAX(B16:B19)</f>
        <v>11.953860558981317</v>
      </c>
      <c r="C83" s="1146" t="s">
        <v>1679</v>
      </c>
      <c r="D83" s="1059"/>
      <c r="E83" s="1059"/>
      <c r="F83" s="1059"/>
      <c r="G83" s="1059"/>
      <c r="H83" s="1059"/>
      <c r="I83" s="1059"/>
      <c r="J83" s="1059"/>
      <c r="K83" s="1059"/>
      <c r="L83" s="1059"/>
      <c r="M83" s="1059"/>
    </row>
    <row r="84" spans="1:13" ht="15" customHeight="1" x14ac:dyDescent="0.2">
      <c r="A84" s="1123" t="s">
        <v>1680</v>
      </c>
      <c r="B84" s="1122">
        <f>B20</f>
        <v>10.917159999999999</v>
      </c>
      <c r="C84" s="1175" t="s">
        <v>1681</v>
      </c>
      <c r="D84" s="1059"/>
      <c r="E84" s="1059"/>
      <c r="F84" s="1059"/>
      <c r="G84" s="1059"/>
      <c r="H84" s="1059"/>
      <c r="I84" s="1059"/>
      <c r="J84" s="1059"/>
      <c r="K84" s="1059"/>
      <c r="L84" s="1059"/>
      <c r="M84" s="1059"/>
    </row>
    <row r="85" spans="1:13" ht="15" customHeight="1" x14ac:dyDescent="0.2">
      <c r="A85" s="1124" t="s">
        <v>1682</v>
      </c>
      <c r="B85" s="1125">
        <f>B83-B82</f>
        <v>3.5748605589813174</v>
      </c>
      <c r="C85" s="1176" t="s">
        <v>1683</v>
      </c>
      <c r="D85" s="1059"/>
      <c r="E85" s="1059"/>
      <c r="F85" s="1059"/>
      <c r="G85" s="1059"/>
      <c r="H85" s="1059"/>
      <c r="I85" s="1059"/>
      <c r="J85" s="1059"/>
      <c r="K85" s="1059"/>
      <c r="L85" s="1059"/>
      <c r="M85" s="1059"/>
    </row>
    <row r="86" spans="1:13" ht="15" customHeight="1" x14ac:dyDescent="0.2">
      <c r="A86" s="1059"/>
      <c r="B86" s="1059"/>
      <c r="C86" s="1059"/>
      <c r="D86" s="1059"/>
      <c r="E86" s="1059"/>
      <c r="F86" s="1059"/>
      <c r="G86" s="1059"/>
      <c r="H86" s="1059"/>
      <c r="I86" s="1059"/>
      <c r="J86" s="1059"/>
      <c r="K86" s="1059"/>
      <c r="L86" s="1059"/>
      <c r="M86" s="1059"/>
    </row>
    <row r="87" spans="1:13" ht="22" customHeight="1" x14ac:dyDescent="0.2">
      <c r="A87" s="1041" t="s">
        <v>1684</v>
      </c>
      <c r="B87" s="1060"/>
      <c r="C87" s="1060"/>
      <c r="D87" s="1060"/>
      <c r="E87" s="1060"/>
      <c r="F87" s="1060"/>
      <c r="G87" s="1060"/>
      <c r="H87" s="1060"/>
      <c r="I87" s="1060"/>
      <c r="J87" s="1060"/>
      <c r="K87" s="1060"/>
      <c r="L87" s="1059"/>
      <c r="M87" s="1059"/>
    </row>
    <row r="88" spans="1:13" ht="30" customHeight="1" x14ac:dyDescent="0.2">
      <c r="A88" s="1050" t="s">
        <v>1685</v>
      </c>
      <c r="B88" s="1059"/>
      <c r="C88" s="1059"/>
      <c r="D88" s="1059"/>
      <c r="E88" s="1059"/>
      <c r="F88" s="1059"/>
      <c r="G88" s="1059"/>
      <c r="H88" s="1059"/>
      <c r="I88" s="1059"/>
      <c r="J88" s="1059"/>
      <c r="K88" s="1059"/>
      <c r="L88" s="1059"/>
      <c r="M88" s="1059"/>
    </row>
    <row r="89" spans="1:13" ht="15" customHeight="1" x14ac:dyDescent="0.2">
      <c r="A89" s="1059"/>
      <c r="B89" s="1059"/>
      <c r="C89" s="1059"/>
      <c r="D89" s="1059"/>
      <c r="E89" s="1059"/>
      <c r="F89" s="1059"/>
      <c r="G89" s="1059"/>
      <c r="H89" s="1059"/>
      <c r="I89" s="1059"/>
      <c r="J89" s="1059"/>
      <c r="K89" s="1059"/>
      <c r="L89" s="1059"/>
      <c r="M89" s="1059"/>
    </row>
    <row r="90" spans="1:13" ht="15" customHeight="1" x14ac:dyDescent="0.2">
      <c r="A90" s="1053" t="s">
        <v>492</v>
      </c>
      <c r="B90" s="1054" t="s">
        <v>1540</v>
      </c>
      <c r="C90" s="1054" t="s">
        <v>1541</v>
      </c>
      <c r="D90" s="1054" t="s">
        <v>1542</v>
      </c>
      <c r="E90" s="1054" t="s">
        <v>1543</v>
      </c>
      <c r="F90" s="1054" t="s">
        <v>1544</v>
      </c>
      <c r="G90" s="1054" t="s">
        <v>1545</v>
      </c>
      <c r="H90" s="1160" t="s">
        <v>1546</v>
      </c>
      <c r="I90" s="1054" t="s">
        <v>1547</v>
      </c>
      <c r="J90" s="1054" t="s">
        <v>1548</v>
      </c>
      <c r="K90" s="1054" t="s">
        <v>1549</v>
      </c>
      <c r="L90" s="1059"/>
      <c r="M90" s="1059"/>
    </row>
    <row r="91" spans="1:13" ht="15" customHeight="1" x14ac:dyDescent="0.2">
      <c r="A91" s="1045" t="s">
        <v>1574</v>
      </c>
      <c r="B91" s="1059"/>
      <c r="C91" s="1126">
        <v>0.5</v>
      </c>
      <c r="D91" s="1126">
        <v>0.38</v>
      </c>
      <c r="E91" s="1126">
        <v>0.26</v>
      </c>
      <c r="F91" s="1126">
        <v>0.19</v>
      </c>
      <c r="G91" s="1126">
        <v>0.14000000000000001</v>
      </c>
      <c r="H91" s="1126">
        <v>0.11</v>
      </c>
      <c r="I91" s="1126">
        <v>0.08</v>
      </c>
      <c r="J91" s="1126">
        <v>0.06</v>
      </c>
      <c r="K91" s="1059"/>
      <c r="L91" s="1059"/>
      <c r="M91" s="1059"/>
    </row>
    <row r="92" spans="1:13" ht="15" customHeight="1" x14ac:dyDescent="0.2">
      <c r="A92" s="1049" t="s">
        <v>1575</v>
      </c>
      <c r="B92" s="1127">
        <v>0.97809999999999997</v>
      </c>
      <c r="C92" s="1059"/>
      <c r="D92" s="1059"/>
      <c r="E92" s="1059"/>
      <c r="F92" s="1059"/>
      <c r="G92" s="1059"/>
      <c r="H92" s="1059"/>
      <c r="I92" s="1059"/>
      <c r="J92" s="1059"/>
      <c r="K92" s="1059"/>
      <c r="L92" s="1059"/>
      <c r="M92" s="1059"/>
    </row>
    <row r="93" spans="1:13" ht="15" customHeight="1" x14ac:dyDescent="0.2">
      <c r="A93" s="1055" t="s">
        <v>1576</v>
      </c>
      <c r="B93" s="1128">
        <v>2.5</v>
      </c>
      <c r="C93" s="1052">
        <f>B93*(1+C$91*$B$92)</f>
        <v>3.7226249999999999</v>
      </c>
      <c r="D93" s="1052">
        <f>C93*(1+D$91*$B$92)</f>
        <v>5.1062428147499999</v>
      </c>
      <c r="E93" s="1052">
        <f>D93*(1+E$91*$B$92)</f>
        <v>6.4047909999978128</v>
      </c>
      <c r="F93" s="1052">
        <f>E93*(1+F$91*$B$92)</f>
        <v>7.5950509546464069</v>
      </c>
      <c r="G93" s="1052">
        <f>F93*(1+G$91*$B$92)</f>
        <v>8.6350716620699597</v>
      </c>
      <c r="H93" s="1052">
        <f>G93*(1+H$91*$B$92)</f>
        <v>9.5641276572637288</v>
      </c>
      <c r="I93" s="1052">
        <f>H93*(1+I$91*$B$92)</f>
        <v>10.312501518189302</v>
      </c>
      <c r="J93" s="1129">
        <f>I93*(1+J$91*$B$92)</f>
        <v>10.91770098228576</v>
      </c>
      <c r="K93" s="1056">
        <f>(J93/B93)^(1/8)-1</f>
        <v>0.20233059464556757</v>
      </c>
      <c r="L93" s="1059"/>
      <c r="M93" s="1059"/>
    </row>
    <row r="94" spans="1:13" ht="15" customHeight="1" x14ac:dyDescent="0.2">
      <c r="A94" s="1049" t="s">
        <v>1550</v>
      </c>
      <c r="B94" s="1059"/>
      <c r="C94" s="1057">
        <f>C93/B93-1</f>
        <v>0.48904999999999998</v>
      </c>
      <c r="D94" s="1057">
        <f>D93/C93-1</f>
        <v>0.37167799999999995</v>
      </c>
      <c r="E94" s="1057">
        <f>E93/D93-1</f>
        <v>0.25430599999999992</v>
      </c>
      <c r="F94" s="1057">
        <f>F93/E93-1</f>
        <v>0.18583900000000009</v>
      </c>
      <c r="G94" s="1057">
        <f>G93/F93-1</f>
        <v>0.13693400000000033</v>
      </c>
      <c r="H94" s="1057">
        <f>H93/G93-1</f>
        <v>0.10759099999999999</v>
      </c>
      <c r="I94" s="1057">
        <f>I93/H93-1</f>
        <v>7.8248000000000095E-2</v>
      </c>
      <c r="J94" s="1057">
        <f>J93/I93-1</f>
        <v>5.8686000000000016E-2</v>
      </c>
      <c r="K94" s="1059"/>
      <c r="L94" s="1059"/>
      <c r="M94" s="1059"/>
    </row>
    <row r="95" spans="1:13" ht="15" customHeight="1" x14ac:dyDescent="0.2">
      <c r="A95" s="1059"/>
      <c r="B95" s="1059"/>
      <c r="C95" s="1059"/>
      <c r="D95" s="1059"/>
      <c r="E95" s="1059"/>
      <c r="F95" s="1059"/>
      <c r="G95" s="1059"/>
      <c r="H95" s="1059"/>
      <c r="I95" s="1059"/>
      <c r="J95" s="1059"/>
      <c r="K95" s="1059"/>
      <c r="L95" s="1059"/>
      <c r="M95" s="1059"/>
    </row>
    <row r="96" spans="1:13" ht="22" customHeight="1" x14ac:dyDescent="0.2">
      <c r="A96" s="1041" t="s">
        <v>1686</v>
      </c>
      <c r="B96" s="1060"/>
      <c r="C96" s="1060"/>
      <c r="D96" s="1060"/>
      <c r="E96" s="1059"/>
      <c r="F96" s="1059"/>
      <c r="G96" s="1059"/>
      <c r="H96" s="1059"/>
      <c r="I96" s="1059"/>
      <c r="J96" s="1059"/>
      <c r="K96" s="1059"/>
      <c r="L96" s="1059"/>
      <c r="M96" s="1059"/>
    </row>
    <row r="97" spans="1:13" ht="15" customHeight="1" x14ac:dyDescent="0.2">
      <c r="A97" s="1050" t="s">
        <v>1687</v>
      </c>
      <c r="B97" s="1059"/>
      <c r="C97" s="1059"/>
      <c r="D97" s="1059"/>
      <c r="E97" s="1059"/>
      <c r="F97" s="1059"/>
      <c r="G97" s="1059"/>
      <c r="H97" s="1059"/>
      <c r="I97" s="1059"/>
      <c r="J97" s="1059"/>
      <c r="K97" s="1059"/>
      <c r="L97" s="1059"/>
      <c r="M97" s="1059"/>
    </row>
    <row r="98" spans="1:13" ht="15" customHeight="1" x14ac:dyDescent="0.2">
      <c r="A98" s="1059"/>
      <c r="B98" s="1059"/>
      <c r="C98" s="1059"/>
      <c r="D98" s="1059"/>
      <c r="E98" s="1059"/>
      <c r="F98" s="1059"/>
      <c r="G98" s="1059"/>
      <c r="H98" s="1059"/>
      <c r="I98" s="1059"/>
      <c r="J98" s="1059"/>
      <c r="K98" s="1059"/>
      <c r="L98" s="1059"/>
      <c r="M98" s="1059"/>
    </row>
    <row r="99" spans="1:13" ht="15" customHeight="1" x14ac:dyDescent="0.2">
      <c r="A99" s="1053" t="s">
        <v>1688</v>
      </c>
      <c r="B99" s="1054" t="s">
        <v>1567</v>
      </c>
      <c r="C99" s="1053" t="s">
        <v>484</v>
      </c>
      <c r="D99" s="1059"/>
      <c r="E99" s="1059"/>
      <c r="F99" s="1059"/>
      <c r="G99" s="1059"/>
      <c r="H99" s="1059"/>
      <c r="I99" s="1059"/>
      <c r="J99" s="1059"/>
      <c r="K99" s="1059"/>
      <c r="L99" s="1059"/>
      <c r="M99" s="1059"/>
    </row>
    <row r="100" spans="1:13" ht="15" customHeight="1" x14ac:dyDescent="0.2">
      <c r="A100" s="1042" t="s">
        <v>1577</v>
      </c>
      <c r="B100" s="1130">
        <f>Assumptions!F178</f>
        <v>10.924108107214609</v>
      </c>
      <c r="C100" s="1145" t="s">
        <v>1578</v>
      </c>
      <c r="D100" s="1059"/>
      <c r="E100" s="1059"/>
      <c r="F100" s="1059"/>
      <c r="G100" s="1059"/>
      <c r="H100" s="1059"/>
      <c r="I100" s="1059"/>
      <c r="J100" s="1059"/>
      <c r="K100" s="1059"/>
      <c r="L100" s="1059"/>
      <c r="M100" s="1059"/>
    </row>
    <row r="101" spans="1:13" ht="15" customHeight="1" x14ac:dyDescent="0.2">
      <c r="A101" s="1046" t="s">
        <v>1689</v>
      </c>
      <c r="B101" s="1047">
        <f>B20</f>
        <v>10.917159999999999</v>
      </c>
      <c r="C101" s="1146" t="s">
        <v>1579</v>
      </c>
      <c r="D101" s="1059"/>
      <c r="E101" s="1059"/>
      <c r="F101" s="1059"/>
      <c r="G101" s="1059"/>
      <c r="H101" s="1059"/>
      <c r="I101" s="1059"/>
      <c r="J101" s="1059"/>
      <c r="K101" s="1059"/>
      <c r="L101" s="1059"/>
      <c r="M101" s="1059"/>
    </row>
    <row r="102" spans="1:13" ht="15" customHeight="1" thickBot="1" x14ac:dyDescent="0.25">
      <c r="A102" s="1042" t="s">
        <v>1690</v>
      </c>
      <c r="B102" s="1043">
        <f>J93</f>
        <v>10.91770098228576</v>
      </c>
      <c r="C102" s="1145" t="s">
        <v>1580</v>
      </c>
      <c r="D102" s="1059"/>
      <c r="E102" s="1059"/>
      <c r="F102" s="1059"/>
      <c r="G102" s="1059"/>
      <c r="H102" s="1059"/>
      <c r="I102" s="1059"/>
      <c r="J102" s="1059"/>
      <c r="K102" s="1059"/>
      <c r="L102" s="1059"/>
      <c r="M102" s="1059"/>
    </row>
    <row r="103" spans="1:13" ht="15" customHeight="1" thickBot="1" x14ac:dyDescent="0.25">
      <c r="A103" s="1082" t="s">
        <v>1581</v>
      </c>
      <c r="B103" s="1131">
        <f>B100/B101-1</f>
        <v>6.3643907523669441E-4</v>
      </c>
      <c r="C103" s="1161" t="s">
        <v>1582</v>
      </c>
      <c r="D103" s="1059"/>
      <c r="E103" s="1059"/>
      <c r="F103" s="1059"/>
      <c r="G103" s="1059"/>
      <c r="H103" s="1059"/>
      <c r="I103" s="1059"/>
      <c r="J103" s="1059"/>
      <c r="K103" s="1059"/>
      <c r="L103" s="1059"/>
      <c r="M103" s="1059"/>
    </row>
    <row r="104" spans="1:13" ht="15" customHeight="1" thickTop="1" x14ac:dyDescent="0.2">
      <c r="A104" s="1059"/>
      <c r="B104" s="1059"/>
      <c r="C104" s="1162"/>
      <c r="D104" s="1059"/>
      <c r="E104" s="1059"/>
      <c r="F104" s="1059"/>
      <c r="G104" s="1059"/>
      <c r="H104" s="1059"/>
      <c r="I104" s="1059"/>
      <c r="J104" s="1059"/>
      <c r="K104" s="1059"/>
      <c r="L104" s="1059"/>
      <c r="M104" s="1059"/>
    </row>
    <row r="105" spans="1:13" ht="22" customHeight="1" x14ac:dyDescent="0.2">
      <c r="A105" s="1041" t="s">
        <v>1691</v>
      </c>
      <c r="B105" s="1060"/>
      <c r="C105" s="1163"/>
      <c r="D105" s="1060"/>
      <c r="E105" s="1059"/>
      <c r="F105" s="1059"/>
      <c r="G105" s="1059"/>
      <c r="H105" s="1059"/>
      <c r="I105" s="1059"/>
      <c r="J105" s="1059"/>
      <c r="K105" s="1059"/>
      <c r="L105" s="1059"/>
      <c r="M105" s="1059"/>
    </row>
    <row r="106" spans="1:13" ht="30" customHeight="1" x14ac:dyDescent="0.2">
      <c r="A106" s="1050" t="s">
        <v>1692</v>
      </c>
      <c r="B106" s="1059"/>
      <c r="C106" s="1162"/>
      <c r="D106" s="1059"/>
      <c r="E106" s="1059"/>
      <c r="F106" s="1059"/>
      <c r="G106" s="1059"/>
      <c r="H106" s="1059"/>
      <c r="I106" s="1059"/>
      <c r="J106" s="1059"/>
      <c r="K106" s="1059"/>
      <c r="L106" s="1059"/>
      <c r="M106" s="1059"/>
    </row>
    <row r="107" spans="1:13" ht="15" customHeight="1" x14ac:dyDescent="0.2">
      <c r="A107" s="1059"/>
      <c r="B107" s="1059"/>
      <c r="C107" s="1162"/>
      <c r="D107" s="1059"/>
      <c r="E107" s="1059"/>
      <c r="F107" s="1059"/>
      <c r="G107" s="1059"/>
      <c r="H107" s="1059"/>
      <c r="I107" s="1059"/>
      <c r="J107" s="1059"/>
      <c r="K107" s="1059"/>
      <c r="L107" s="1059"/>
      <c r="M107" s="1059"/>
    </row>
    <row r="108" spans="1:13" ht="15" customHeight="1" x14ac:dyDescent="0.2">
      <c r="A108" s="1053" t="s">
        <v>1693</v>
      </c>
      <c r="B108" s="1054" t="s">
        <v>483</v>
      </c>
      <c r="C108" s="1164" t="s">
        <v>484</v>
      </c>
      <c r="D108" s="1059"/>
      <c r="E108" s="1059"/>
      <c r="F108" s="1059"/>
      <c r="G108" s="1059"/>
      <c r="H108" s="1059"/>
      <c r="I108" s="1059"/>
      <c r="J108" s="1059"/>
      <c r="K108" s="1059"/>
      <c r="L108" s="1059"/>
      <c r="M108" s="1059"/>
    </row>
    <row r="109" spans="1:13" ht="15" customHeight="1" x14ac:dyDescent="0.2">
      <c r="A109" s="1042" t="s">
        <v>1694</v>
      </c>
      <c r="B109" s="1132">
        <f>B9</f>
        <v>24.63</v>
      </c>
      <c r="C109" s="1145" t="s">
        <v>1695</v>
      </c>
      <c r="D109" s="1059"/>
      <c r="E109" s="1059"/>
      <c r="F109" s="1059"/>
      <c r="G109" s="1059"/>
      <c r="H109" s="1059"/>
      <c r="I109" s="1059"/>
      <c r="J109" s="1059"/>
      <c r="K109" s="1059"/>
      <c r="L109" s="1059"/>
      <c r="M109" s="1059"/>
    </row>
    <row r="110" spans="1:13" ht="15" customHeight="1" x14ac:dyDescent="0.2">
      <c r="A110" s="1046" t="s">
        <v>1696</v>
      </c>
      <c r="B110" s="1133">
        <f>B10</f>
        <v>17.893074764403451</v>
      </c>
      <c r="C110" s="1146" t="s">
        <v>1697</v>
      </c>
      <c r="D110" s="1059"/>
      <c r="E110" s="1059"/>
      <c r="F110" s="1059"/>
      <c r="G110" s="1059"/>
      <c r="H110" s="1059"/>
      <c r="I110" s="1059"/>
      <c r="J110" s="1059"/>
      <c r="K110" s="1059"/>
      <c r="L110" s="1059"/>
      <c r="M110" s="1059"/>
    </row>
    <row r="111" spans="1:13" ht="15" customHeight="1" x14ac:dyDescent="0.2">
      <c r="A111" s="1042" t="s">
        <v>1698</v>
      </c>
      <c r="B111" s="1134">
        <f>B109/B110-1</f>
        <v>0.37651020432771065</v>
      </c>
      <c r="C111" s="1145" t="s">
        <v>1699</v>
      </c>
      <c r="D111" s="1059"/>
      <c r="E111" s="1059"/>
      <c r="F111" s="1059"/>
      <c r="G111" s="1059"/>
      <c r="H111" s="1059"/>
      <c r="I111" s="1059"/>
      <c r="J111" s="1059"/>
      <c r="K111" s="1059"/>
      <c r="L111" s="1059"/>
      <c r="M111" s="1059"/>
    </row>
    <row r="112" spans="1:13" ht="15" customHeight="1" thickBot="1" x14ac:dyDescent="0.25">
      <c r="A112" s="1046" t="s">
        <v>1700</v>
      </c>
      <c r="B112" s="1135">
        <f>B101*(B109/B110)</f>
        <v>15.027582142278309</v>
      </c>
      <c r="C112" s="1146" t="s">
        <v>1701</v>
      </c>
      <c r="D112" s="1059"/>
      <c r="E112" s="1059"/>
      <c r="F112" s="1059"/>
      <c r="G112" s="1059"/>
      <c r="H112" s="1059"/>
      <c r="I112" s="1059"/>
      <c r="J112" s="1059"/>
      <c r="K112" s="1059"/>
      <c r="L112" s="1059"/>
      <c r="M112" s="1059"/>
    </row>
    <row r="113" spans="1:13" ht="15" customHeight="1" thickBot="1" x14ac:dyDescent="0.25">
      <c r="A113" s="1082" t="s">
        <v>1702</v>
      </c>
      <c r="B113" s="1136">
        <f>B112/B83-1</f>
        <v>0.25713212632278926</v>
      </c>
      <c r="C113" s="1165" t="s">
        <v>1703</v>
      </c>
      <c r="D113" s="1059"/>
      <c r="E113" s="1059"/>
      <c r="F113" s="1059"/>
      <c r="G113" s="1059"/>
      <c r="H113" s="1059"/>
      <c r="I113" s="1059"/>
      <c r="J113" s="1059"/>
      <c r="K113" s="1059"/>
      <c r="L113" s="1059"/>
      <c r="M113" s="1059"/>
    </row>
    <row r="114" spans="1:13" ht="15" customHeight="1" thickTop="1" x14ac:dyDescent="0.2">
      <c r="A114" s="1059"/>
      <c r="B114" s="1059"/>
      <c r="C114" s="1059"/>
      <c r="D114" s="1059"/>
      <c r="E114" s="1059"/>
      <c r="F114" s="1059"/>
      <c r="G114" s="1059"/>
      <c r="H114" s="1059"/>
      <c r="I114" s="1059"/>
      <c r="J114" s="1059"/>
      <c r="K114" s="1059"/>
      <c r="L114" s="1059"/>
      <c r="M114" s="1059"/>
    </row>
    <row r="115" spans="1:13" ht="22" customHeight="1" x14ac:dyDescent="0.2">
      <c r="A115" s="1041" t="s">
        <v>1704</v>
      </c>
      <c r="B115" s="1060"/>
      <c r="C115" s="1060"/>
      <c r="D115" s="1060"/>
      <c r="E115" s="1059"/>
      <c r="F115" s="1059"/>
      <c r="G115" s="1059"/>
      <c r="H115" s="1059"/>
      <c r="I115" s="1059"/>
      <c r="J115" s="1059"/>
      <c r="K115" s="1059"/>
      <c r="L115" s="1059"/>
      <c r="M115" s="1059"/>
    </row>
    <row r="116" spans="1:13" ht="30" customHeight="1" x14ac:dyDescent="0.2">
      <c r="A116" s="1059"/>
      <c r="B116" s="1059"/>
      <c r="C116" s="1059"/>
      <c r="D116" s="1059"/>
      <c r="E116" s="1059"/>
      <c r="F116" s="1059"/>
      <c r="G116" s="1059"/>
      <c r="H116" s="1059"/>
      <c r="I116" s="1059"/>
      <c r="J116" s="1059"/>
      <c r="K116" s="1059"/>
      <c r="L116" s="1059"/>
      <c r="M116" s="1059"/>
    </row>
    <row r="117" spans="1:13" ht="15" customHeight="1" x14ac:dyDescent="0.2">
      <c r="A117" s="1170" t="s">
        <v>1705</v>
      </c>
      <c r="B117" s="1059"/>
      <c r="C117" s="1059"/>
      <c r="D117" s="1059"/>
      <c r="E117" s="1059"/>
      <c r="F117" s="1059"/>
      <c r="G117" s="1059"/>
      <c r="H117" s="1059"/>
      <c r="I117" s="1059"/>
      <c r="J117" s="1059"/>
      <c r="K117" s="1059"/>
      <c r="L117" s="1059"/>
      <c r="M117" s="1059"/>
    </row>
    <row r="118" spans="1:13" ht="15" customHeight="1" x14ac:dyDescent="0.2">
      <c r="A118" s="1170" t="s">
        <v>1706</v>
      </c>
      <c r="B118" s="1059"/>
      <c r="C118" s="1059"/>
      <c r="D118" s="1059"/>
      <c r="E118" s="1059"/>
      <c r="F118" s="1059"/>
      <c r="G118" s="1059"/>
      <c r="H118" s="1059"/>
      <c r="I118" s="1059"/>
      <c r="J118" s="1059"/>
      <c r="K118" s="1059"/>
      <c r="L118" s="1059"/>
      <c r="M118" s="1059"/>
    </row>
    <row r="119" spans="1:13" ht="15" customHeight="1" x14ac:dyDescent="0.2">
      <c r="A119" s="1170" t="s">
        <v>1707</v>
      </c>
      <c r="B119" s="1059"/>
      <c r="C119" s="1059"/>
      <c r="D119" s="1059"/>
      <c r="E119" s="1059"/>
      <c r="F119" s="1059"/>
      <c r="G119" s="1059"/>
      <c r="H119" s="1059"/>
      <c r="I119" s="1059"/>
      <c r="J119" s="1059"/>
      <c r="K119" s="1059"/>
      <c r="L119" s="1059"/>
      <c r="M119" s="1059"/>
    </row>
    <row r="120" spans="1:13" ht="15" customHeight="1" x14ac:dyDescent="0.2">
      <c r="A120" s="1170" t="s">
        <v>1708</v>
      </c>
      <c r="B120" s="1059"/>
      <c r="C120" s="1059"/>
      <c r="D120" s="1059"/>
      <c r="E120" s="1059"/>
      <c r="F120" s="1059"/>
      <c r="G120" s="1059"/>
      <c r="H120" s="1059"/>
      <c r="I120" s="1059"/>
      <c r="J120" s="1059"/>
      <c r="K120" s="1059"/>
      <c r="L120" s="1059"/>
      <c r="M120" s="1059"/>
    </row>
    <row r="121" spans="1:13" ht="15" customHeight="1" x14ac:dyDescent="0.2">
      <c r="A121" s="1170" t="s">
        <v>1709</v>
      </c>
      <c r="B121" s="1059"/>
      <c r="C121" s="1059"/>
      <c r="D121" s="1059"/>
      <c r="E121" s="1059"/>
      <c r="F121" s="1059"/>
      <c r="G121" s="1059"/>
      <c r="H121" s="1059"/>
      <c r="I121" s="1059"/>
      <c r="J121" s="1059"/>
      <c r="K121" s="1059"/>
      <c r="L121" s="1059"/>
      <c r="M121" s="1059"/>
    </row>
    <row r="122" spans="1:13" ht="15" customHeight="1" x14ac:dyDescent="0.2">
      <c r="A122" s="1170" t="s">
        <v>1710</v>
      </c>
      <c r="B122" s="1059"/>
      <c r="C122" s="1059"/>
      <c r="D122" s="1059"/>
      <c r="E122" s="1059"/>
      <c r="F122" s="1059"/>
      <c r="G122" s="1059"/>
      <c r="H122" s="1059"/>
      <c r="I122" s="1059"/>
      <c r="J122" s="1059"/>
      <c r="K122" s="1059"/>
      <c r="L122" s="1059"/>
      <c r="M122" s="1059"/>
    </row>
    <row r="123" spans="1:13" ht="15" customHeight="1" x14ac:dyDescent="0.2">
      <c r="A123" s="1171" t="s">
        <v>1711</v>
      </c>
      <c r="B123" s="1059"/>
      <c r="C123" s="1059"/>
      <c r="D123" s="1059"/>
      <c r="E123" s="1059"/>
      <c r="F123" s="1059"/>
      <c r="G123" s="1059"/>
      <c r="H123" s="1059"/>
      <c r="I123" s="1059"/>
      <c r="J123" s="1059"/>
      <c r="K123" s="1059"/>
      <c r="L123" s="1059"/>
      <c r="M123" s="1059"/>
    </row>
    <row r="124" spans="1:13" ht="15" customHeight="1" x14ac:dyDescent="0.2">
      <c r="A124" s="1162"/>
      <c r="B124" s="1059"/>
      <c r="C124" s="1059"/>
      <c r="D124" s="1059"/>
      <c r="E124" s="1059"/>
      <c r="F124" s="1059"/>
      <c r="G124" s="1059"/>
      <c r="H124" s="1059"/>
      <c r="I124" s="1059"/>
      <c r="J124" s="1059"/>
      <c r="K124" s="1059"/>
      <c r="L124" s="1059"/>
      <c r="M124" s="1059"/>
    </row>
    <row r="125" spans="1:13" ht="15" customHeight="1" x14ac:dyDescent="0.2">
      <c r="A125" s="1172" t="s">
        <v>1712</v>
      </c>
      <c r="B125" s="1059"/>
      <c r="C125" s="1059"/>
      <c r="D125" s="1059"/>
      <c r="E125" s="1059"/>
      <c r="F125" s="1059"/>
      <c r="G125" s="1059"/>
      <c r="H125" s="1059"/>
      <c r="I125" s="1059"/>
      <c r="J125" s="1059"/>
      <c r="K125" s="1059"/>
      <c r="L125" s="1059"/>
      <c r="M125" s="1059"/>
    </row>
    <row r="126" spans="1:13" ht="15" customHeight="1" x14ac:dyDescent="0.2">
      <c r="A126" s="1162"/>
      <c r="B126" s="1059"/>
      <c r="C126" s="1059"/>
      <c r="D126" s="1059"/>
      <c r="E126" s="1059"/>
      <c r="F126" s="1059"/>
      <c r="G126" s="1059"/>
      <c r="H126" s="1059"/>
      <c r="I126" s="1059"/>
      <c r="J126" s="1059"/>
      <c r="K126" s="1059"/>
      <c r="L126" s="1059"/>
      <c r="M126" s="1059"/>
    </row>
    <row r="127" spans="1:13" ht="15" customHeight="1" x14ac:dyDescent="0.2">
      <c r="A127" s="1059"/>
      <c r="B127" s="1059"/>
      <c r="C127" s="1059"/>
      <c r="D127" s="1059"/>
      <c r="E127" s="1059"/>
      <c r="F127" s="1059"/>
      <c r="G127" s="1059"/>
      <c r="H127" s="1059"/>
      <c r="I127" s="1059"/>
      <c r="J127" s="1059"/>
      <c r="K127" s="1059"/>
      <c r="L127" s="1059"/>
      <c r="M127" s="1059"/>
    </row>
    <row r="128" spans="1:13" ht="15" customHeight="1" x14ac:dyDescent="0.2">
      <c r="A128" s="1059"/>
      <c r="B128" s="1059"/>
      <c r="C128" s="1059"/>
      <c r="D128" s="1059"/>
      <c r="E128" s="1059"/>
      <c r="F128" s="1059"/>
      <c r="G128" s="1059"/>
      <c r="H128" s="1059"/>
      <c r="I128" s="1059"/>
      <c r="J128" s="1059"/>
      <c r="K128" s="1059"/>
      <c r="L128" s="1059"/>
      <c r="M128" s="1059"/>
    </row>
    <row r="129" spans="1:13" ht="15" customHeight="1" x14ac:dyDescent="0.2">
      <c r="A129" s="1059"/>
      <c r="B129" s="1059"/>
      <c r="C129" s="1059"/>
      <c r="D129" s="1059"/>
      <c r="E129" s="1059"/>
      <c r="F129" s="1059"/>
      <c r="G129" s="1059"/>
      <c r="H129" s="1059"/>
      <c r="I129" s="1059"/>
      <c r="J129" s="1059"/>
      <c r="K129" s="1059"/>
      <c r="L129" s="1059"/>
      <c r="M129" s="1059"/>
    </row>
    <row r="130" spans="1:13" ht="15" customHeight="1" x14ac:dyDescent="0.2">
      <c r="A130" s="1059"/>
      <c r="B130" s="1059"/>
      <c r="C130" s="1059"/>
      <c r="D130" s="1059"/>
      <c r="E130" s="1059"/>
      <c r="F130" s="1059"/>
      <c r="G130" s="1059"/>
      <c r="H130" s="1059"/>
      <c r="I130" s="1059"/>
      <c r="J130" s="1059"/>
      <c r="K130" s="1059"/>
      <c r="L130" s="1059"/>
      <c r="M130" s="1059"/>
    </row>
    <row r="131" spans="1:13" ht="15" customHeight="1" x14ac:dyDescent="0.2">
      <c r="A131" s="1059"/>
      <c r="B131" s="1059"/>
      <c r="C131" s="1059"/>
      <c r="D131" s="1059"/>
      <c r="E131" s="1059"/>
      <c r="F131" s="1059"/>
      <c r="G131" s="1059"/>
      <c r="H131" s="1059"/>
      <c r="I131" s="1059"/>
      <c r="J131" s="1059"/>
      <c r="K131" s="1059"/>
      <c r="L131" s="1059"/>
      <c r="M131" s="1059"/>
    </row>
    <row r="132" spans="1:13" ht="15" customHeight="1" x14ac:dyDescent="0.2">
      <c r="A132" s="1059"/>
      <c r="B132" s="1059"/>
      <c r="C132" s="1059"/>
      <c r="D132" s="1059"/>
      <c r="E132" s="1059"/>
      <c r="F132" s="1059"/>
      <c r="G132" s="1059"/>
      <c r="H132" s="1059"/>
      <c r="I132" s="1059"/>
      <c r="J132" s="1059"/>
      <c r="K132" s="1059"/>
      <c r="L132" s="1059"/>
      <c r="M132" s="1059"/>
    </row>
    <row r="133" spans="1:13" ht="15" customHeight="1" x14ac:dyDescent="0.2">
      <c r="A133" s="1059"/>
      <c r="B133" s="1059"/>
      <c r="C133" s="1059"/>
      <c r="D133" s="1059"/>
      <c r="E133" s="1059"/>
      <c r="F133" s="1059"/>
      <c r="G133" s="1059"/>
      <c r="H133" s="1059"/>
      <c r="I133" s="1059"/>
      <c r="J133" s="1059"/>
      <c r="K133" s="1059"/>
      <c r="L133" s="1059"/>
      <c r="M133" s="1059"/>
    </row>
    <row r="134" spans="1:13" ht="15" customHeight="1" x14ac:dyDescent="0.2">
      <c r="A134" s="1059"/>
      <c r="B134" s="1059"/>
      <c r="C134" s="1059"/>
      <c r="D134" s="1059"/>
      <c r="E134" s="1059"/>
      <c r="F134" s="1059"/>
      <c r="G134" s="1059"/>
      <c r="H134" s="1059"/>
      <c r="I134" s="1059"/>
      <c r="J134" s="1059"/>
      <c r="K134" s="1059"/>
      <c r="L134" s="1059"/>
      <c r="M134" s="1059"/>
    </row>
    <row r="135" spans="1:13" ht="15" customHeight="1" x14ac:dyDescent="0.2">
      <c r="A135" s="1059"/>
      <c r="B135" s="1059"/>
      <c r="C135" s="1059"/>
      <c r="D135" s="1059"/>
      <c r="E135" s="1059"/>
      <c r="F135" s="1059"/>
      <c r="G135" s="1059"/>
      <c r="H135" s="1059"/>
      <c r="I135" s="1059"/>
      <c r="J135" s="1059"/>
      <c r="K135" s="1059"/>
      <c r="L135" s="1059"/>
      <c r="M135" s="1059"/>
    </row>
    <row r="136" spans="1:13" ht="15" customHeight="1" x14ac:dyDescent="0.2">
      <c r="A136" s="1059"/>
      <c r="B136" s="1059"/>
      <c r="C136" s="1059"/>
      <c r="D136" s="1059"/>
      <c r="E136" s="1059"/>
      <c r="F136" s="1059"/>
      <c r="G136" s="1059"/>
      <c r="H136" s="1059"/>
      <c r="I136" s="1059"/>
      <c r="J136" s="1059"/>
      <c r="K136" s="1059"/>
      <c r="L136" s="1059"/>
      <c r="M136" s="1059"/>
    </row>
    <row r="137" spans="1:13" ht="15" customHeight="1" x14ac:dyDescent="0.2">
      <c r="A137" s="1059"/>
      <c r="B137" s="1059"/>
      <c r="C137" s="1059"/>
      <c r="D137" s="1059"/>
      <c r="E137" s="1059"/>
      <c r="F137" s="1059"/>
      <c r="G137" s="1059"/>
      <c r="H137" s="1059"/>
      <c r="I137" s="1059"/>
      <c r="J137" s="1059"/>
      <c r="K137" s="1059"/>
      <c r="L137" s="1059"/>
      <c r="M137" s="1059"/>
    </row>
    <row r="138" spans="1:13" ht="15" customHeight="1" x14ac:dyDescent="0.2">
      <c r="A138" s="1059"/>
      <c r="B138" s="1059"/>
      <c r="C138" s="1059"/>
      <c r="D138" s="1059"/>
      <c r="E138" s="1059"/>
      <c r="F138" s="1059"/>
      <c r="G138" s="1059"/>
      <c r="H138" s="1059"/>
      <c r="I138" s="1059"/>
      <c r="J138" s="1059"/>
      <c r="K138" s="1059"/>
      <c r="L138" s="1059"/>
      <c r="M138" s="1059"/>
    </row>
    <row r="139" spans="1:13" ht="15" customHeight="1" x14ac:dyDescent="0.2">
      <c r="A139" s="1059"/>
      <c r="B139" s="1059"/>
      <c r="C139" s="1059"/>
      <c r="D139" s="1059"/>
      <c r="E139" s="1059"/>
      <c r="F139" s="1059"/>
      <c r="G139" s="1059"/>
      <c r="H139" s="1059"/>
      <c r="I139" s="1059"/>
      <c r="J139" s="1059"/>
      <c r="K139" s="1059"/>
      <c r="L139" s="1059"/>
      <c r="M139" s="1059"/>
    </row>
    <row r="140" spans="1:13" ht="15" customHeight="1" x14ac:dyDescent="0.2">
      <c r="A140" s="1059"/>
      <c r="B140" s="1059"/>
      <c r="C140" s="1059"/>
      <c r="D140" s="1059"/>
      <c r="E140" s="1059"/>
      <c r="F140" s="1059"/>
      <c r="G140" s="1059"/>
      <c r="H140" s="1059"/>
      <c r="I140" s="1059"/>
      <c r="J140" s="1059"/>
      <c r="K140" s="1059"/>
      <c r="L140" s="1059"/>
      <c r="M140" s="1059"/>
    </row>
    <row r="141" spans="1:13" ht="15" customHeight="1" x14ac:dyDescent="0.2">
      <c r="A141" s="1059"/>
      <c r="B141" s="1059"/>
      <c r="C141" s="1059"/>
      <c r="D141" s="1059"/>
      <c r="E141" s="1059"/>
      <c r="F141" s="1059"/>
      <c r="G141" s="1059"/>
      <c r="H141" s="1059"/>
      <c r="I141" s="1059"/>
      <c r="J141" s="1059"/>
      <c r="K141" s="1059"/>
      <c r="L141" s="1059"/>
      <c r="M141" s="1059"/>
    </row>
    <row r="142" spans="1:13" ht="15" customHeight="1" x14ac:dyDescent="0.2">
      <c r="A142" s="1059"/>
      <c r="B142" s="1059"/>
      <c r="C142" s="1059"/>
      <c r="D142" s="1059"/>
      <c r="E142" s="1059"/>
      <c r="F142" s="1059"/>
      <c r="G142" s="1059"/>
      <c r="H142" s="1059"/>
      <c r="I142" s="1059"/>
      <c r="J142" s="1059"/>
      <c r="K142" s="1059"/>
      <c r="L142" s="1059"/>
      <c r="M142" s="1059"/>
    </row>
    <row r="143" spans="1:13" ht="15" customHeight="1" x14ac:dyDescent="0.2">
      <c r="A143" s="1059"/>
      <c r="B143" s="1059"/>
      <c r="C143" s="1059"/>
      <c r="D143" s="1059"/>
      <c r="E143" s="1059"/>
      <c r="F143" s="1059"/>
      <c r="G143" s="1059"/>
      <c r="H143" s="1059"/>
      <c r="I143" s="1059"/>
      <c r="J143" s="1059"/>
      <c r="K143" s="1059"/>
      <c r="L143" s="1059"/>
      <c r="M143" s="1059"/>
    </row>
    <row r="144" spans="1:13" ht="15" customHeight="1" x14ac:dyDescent="0.2">
      <c r="A144" s="1059"/>
      <c r="B144" s="1059"/>
      <c r="C144" s="1059"/>
      <c r="D144" s="1059"/>
      <c r="E144" s="1059"/>
      <c r="F144" s="1059"/>
      <c r="G144" s="1059"/>
      <c r="H144" s="1059"/>
      <c r="I144" s="1059"/>
      <c r="J144" s="1059"/>
      <c r="K144" s="1059"/>
      <c r="L144" s="1059"/>
      <c r="M144" s="1059"/>
    </row>
    <row r="145" spans="1:13" ht="15" customHeight="1" x14ac:dyDescent="0.2">
      <c r="A145" s="1059"/>
      <c r="B145" s="1059"/>
      <c r="C145" s="1059"/>
      <c r="D145" s="1059"/>
      <c r="E145" s="1059"/>
      <c r="F145" s="1059"/>
      <c r="G145" s="1059"/>
      <c r="H145" s="1059"/>
      <c r="I145" s="1059"/>
      <c r="J145" s="1059"/>
      <c r="K145" s="1059"/>
      <c r="L145" s="1059"/>
      <c r="M145" s="1059"/>
    </row>
    <row r="146" spans="1:13" ht="15" customHeight="1" x14ac:dyDescent="0.2">
      <c r="A146" s="1059"/>
      <c r="B146" s="1059"/>
      <c r="C146" s="1059"/>
      <c r="D146" s="1059"/>
      <c r="E146" s="1059"/>
      <c r="F146" s="1059"/>
      <c r="G146" s="1059"/>
      <c r="H146" s="1059"/>
      <c r="I146" s="1059"/>
      <c r="J146" s="1059"/>
      <c r="K146" s="1059"/>
      <c r="L146" s="1059"/>
      <c r="M146" s="1059"/>
    </row>
    <row r="147" spans="1:13" ht="15" customHeight="1" x14ac:dyDescent="0.2">
      <c r="A147" s="1059"/>
      <c r="B147" s="1059"/>
      <c r="C147" s="1059"/>
      <c r="D147" s="1059"/>
      <c r="E147" s="1059"/>
      <c r="F147" s="1059"/>
      <c r="G147" s="1059"/>
      <c r="H147" s="1059"/>
      <c r="I147" s="1059"/>
      <c r="J147" s="1059"/>
      <c r="K147" s="1059"/>
      <c r="L147" s="1059"/>
      <c r="M147" s="1059"/>
    </row>
    <row r="148" spans="1:13" ht="15" customHeight="1" x14ac:dyDescent="0.2">
      <c r="A148" s="1059"/>
      <c r="B148" s="1059"/>
      <c r="C148" s="1059"/>
      <c r="D148" s="1059"/>
      <c r="E148" s="1059"/>
      <c r="F148" s="1059"/>
      <c r="G148" s="1059"/>
      <c r="H148" s="1059"/>
      <c r="I148" s="1059"/>
      <c r="J148" s="1059"/>
      <c r="K148" s="1059"/>
      <c r="L148" s="1059"/>
      <c r="M148" s="1059"/>
    </row>
    <row r="149" spans="1:13" ht="15" customHeight="1" x14ac:dyDescent="0.2">
      <c r="A149" s="1059"/>
      <c r="B149" s="1059"/>
      <c r="C149" s="1059"/>
      <c r="D149" s="1059"/>
      <c r="E149" s="1059"/>
      <c r="F149" s="1059"/>
      <c r="G149" s="1059"/>
      <c r="H149" s="1059"/>
      <c r="I149" s="1059"/>
      <c r="J149" s="1059"/>
      <c r="K149" s="1059"/>
      <c r="L149" s="1059"/>
      <c r="M149" s="1059"/>
    </row>
    <row r="150" spans="1:13" ht="15" customHeight="1" x14ac:dyDescent="0.2">
      <c r="A150" s="1059"/>
      <c r="B150" s="1059"/>
      <c r="C150" s="1059"/>
      <c r="D150" s="1059"/>
      <c r="E150" s="1059"/>
      <c r="F150" s="1059"/>
      <c r="G150" s="1059"/>
      <c r="H150" s="1059"/>
      <c r="I150" s="1059"/>
      <c r="J150" s="1059"/>
      <c r="K150" s="1059"/>
      <c r="L150" s="1059"/>
      <c r="M150" s="1059"/>
    </row>
    <row r="151" spans="1:13" ht="15" customHeight="1" x14ac:dyDescent="0.2">
      <c r="A151" s="1059"/>
      <c r="B151" s="1059"/>
      <c r="C151" s="1059"/>
      <c r="D151" s="1059"/>
      <c r="E151" s="1059"/>
      <c r="F151" s="1059"/>
      <c r="G151" s="1059"/>
      <c r="H151" s="1059"/>
      <c r="I151" s="1059"/>
      <c r="J151" s="1059"/>
      <c r="K151" s="1059"/>
      <c r="L151" s="1059"/>
      <c r="M151" s="1059"/>
    </row>
    <row r="152" spans="1:13" ht="15" customHeight="1" x14ac:dyDescent="0.2">
      <c r="A152" s="1059"/>
      <c r="B152" s="1059"/>
      <c r="C152" s="1059"/>
      <c r="D152" s="1059"/>
      <c r="E152" s="1059"/>
      <c r="F152" s="1059"/>
      <c r="G152" s="1059"/>
      <c r="H152" s="1059"/>
      <c r="I152" s="1059"/>
      <c r="J152" s="1059"/>
      <c r="K152" s="1059"/>
      <c r="L152" s="1059"/>
      <c r="M152" s="1059"/>
    </row>
    <row r="153" spans="1:13" ht="15" customHeight="1" x14ac:dyDescent="0.2">
      <c r="A153" s="1059"/>
      <c r="B153" s="1059"/>
      <c r="C153" s="1059"/>
      <c r="D153" s="1059"/>
      <c r="E153" s="1059"/>
      <c r="F153" s="1059"/>
      <c r="G153" s="1059"/>
      <c r="H153" s="1059"/>
      <c r="I153" s="1059"/>
      <c r="J153" s="1059"/>
      <c r="K153" s="1059"/>
      <c r="L153" s="1059"/>
      <c r="M153" s="1059"/>
    </row>
    <row r="154" spans="1:13" ht="15" customHeight="1" x14ac:dyDescent="0.2">
      <c r="A154" s="1059"/>
      <c r="B154" s="1059"/>
      <c r="C154" s="1059"/>
      <c r="D154" s="1059"/>
      <c r="E154" s="1059"/>
      <c r="F154" s="1059"/>
      <c r="G154" s="1059"/>
      <c r="H154" s="1059"/>
      <c r="I154" s="1059"/>
      <c r="J154" s="1059"/>
      <c r="K154" s="1059"/>
      <c r="L154" s="1059"/>
      <c r="M154" s="1059"/>
    </row>
    <row r="155" spans="1:13" ht="15" customHeight="1" x14ac:dyDescent="0.2">
      <c r="A155" s="1059"/>
      <c r="B155" s="1059"/>
      <c r="C155" s="1059"/>
      <c r="D155" s="1059"/>
      <c r="E155" s="1059"/>
      <c r="F155" s="1059"/>
      <c r="G155" s="1059"/>
      <c r="H155" s="1059"/>
      <c r="I155" s="1059"/>
      <c r="J155" s="1059"/>
      <c r="K155" s="1059"/>
      <c r="L155" s="1059"/>
      <c r="M155" s="1059"/>
    </row>
    <row r="156" spans="1:13" ht="15" customHeight="1" x14ac:dyDescent="0.2">
      <c r="A156" s="1059"/>
      <c r="B156" s="1059"/>
      <c r="C156" s="1059"/>
      <c r="D156" s="1059"/>
      <c r="E156" s="1059"/>
      <c r="F156" s="1059"/>
      <c r="G156" s="1059"/>
      <c r="H156" s="1059"/>
      <c r="I156" s="1059"/>
      <c r="J156" s="1059"/>
      <c r="K156" s="1059"/>
      <c r="L156" s="1059"/>
      <c r="M156" s="1059"/>
    </row>
    <row r="157" spans="1:13" ht="15" customHeight="1" x14ac:dyDescent="0.2">
      <c r="A157" s="1059"/>
      <c r="B157" s="1059"/>
      <c r="C157" s="1059"/>
      <c r="D157" s="1059"/>
      <c r="E157" s="1059"/>
      <c r="F157" s="1059"/>
      <c r="G157" s="1059"/>
      <c r="H157" s="1059"/>
      <c r="I157" s="1059"/>
      <c r="J157" s="1059"/>
      <c r="K157" s="1059"/>
      <c r="L157" s="1059"/>
      <c r="M157" s="1059"/>
    </row>
    <row r="158" spans="1:13" ht="15" customHeight="1" x14ac:dyDescent="0.2">
      <c r="A158" s="1059"/>
      <c r="B158" s="1059"/>
      <c r="C158" s="1059"/>
      <c r="D158" s="1059"/>
      <c r="E158" s="1059"/>
      <c r="F158" s="1059"/>
      <c r="G158" s="1059"/>
      <c r="H158" s="1059"/>
      <c r="I158" s="1059"/>
      <c r="J158" s="1059"/>
      <c r="K158" s="1059"/>
      <c r="L158" s="1059"/>
      <c r="M158" s="1059"/>
    </row>
    <row r="159" spans="1:13" ht="15" customHeight="1" x14ac:dyDescent="0.2">
      <c r="A159" s="1059"/>
      <c r="B159" s="1059"/>
      <c r="C159" s="1059"/>
      <c r="D159" s="1059"/>
      <c r="E159" s="1059"/>
      <c r="F159" s="1059"/>
      <c r="G159" s="1059"/>
      <c r="H159" s="1059"/>
      <c r="I159" s="1059"/>
      <c r="J159" s="1059"/>
      <c r="K159" s="1059"/>
      <c r="L159" s="1059"/>
      <c r="M159" s="1059"/>
    </row>
    <row r="160" spans="1:13" ht="15" customHeight="1" x14ac:dyDescent="0.2">
      <c r="A160" s="1059"/>
      <c r="B160" s="1059"/>
      <c r="C160" s="1059"/>
      <c r="D160" s="1059"/>
      <c r="E160" s="1059"/>
      <c r="F160" s="1059"/>
      <c r="G160" s="1059"/>
      <c r="H160" s="1059"/>
      <c r="I160" s="1059"/>
      <c r="J160" s="1059"/>
      <c r="K160" s="1059"/>
      <c r="L160" s="1059"/>
      <c r="M160" s="1059"/>
    </row>
    <row r="161" spans="1:13" ht="15" customHeight="1" x14ac:dyDescent="0.2">
      <c r="A161" s="1059"/>
      <c r="B161" s="1059"/>
      <c r="C161" s="1059"/>
      <c r="D161" s="1059"/>
      <c r="E161" s="1059"/>
      <c r="F161" s="1059"/>
      <c r="G161" s="1059"/>
      <c r="H161" s="1059"/>
      <c r="I161" s="1059"/>
      <c r="J161" s="1059"/>
      <c r="K161" s="1059"/>
      <c r="L161" s="1059"/>
      <c r="M161" s="1059"/>
    </row>
    <row r="162" spans="1:13" ht="15" customHeight="1" x14ac:dyDescent="0.2">
      <c r="A162" s="1059"/>
      <c r="B162" s="1059"/>
      <c r="C162" s="1059"/>
      <c r="D162" s="1059"/>
      <c r="E162" s="1059"/>
      <c r="F162" s="1059"/>
      <c r="G162" s="1059"/>
      <c r="H162" s="1059"/>
      <c r="I162" s="1059"/>
      <c r="J162" s="1059"/>
      <c r="K162" s="1059"/>
      <c r="L162" s="1059"/>
      <c r="M162" s="1059"/>
    </row>
    <row r="163" spans="1:13" ht="15" customHeight="1" x14ac:dyDescent="0.2">
      <c r="A163" s="1059"/>
      <c r="B163" s="1059"/>
      <c r="C163" s="1059"/>
      <c r="D163" s="1059"/>
      <c r="E163" s="1059"/>
      <c r="F163" s="1059"/>
      <c r="G163" s="1059"/>
      <c r="H163" s="1059"/>
      <c r="I163" s="1059"/>
      <c r="J163" s="1059"/>
      <c r="K163" s="1059"/>
      <c r="L163" s="1059"/>
      <c r="M163" s="1059"/>
    </row>
    <row r="164" spans="1:13" ht="15" customHeight="1" x14ac:dyDescent="0.2">
      <c r="A164" s="1059"/>
      <c r="B164" s="1059"/>
      <c r="C164" s="1059"/>
      <c r="D164" s="1059"/>
      <c r="E164" s="1059"/>
      <c r="F164" s="1059"/>
      <c r="G164" s="1059"/>
      <c r="H164" s="1059"/>
      <c r="I164" s="1059"/>
      <c r="J164" s="1059"/>
      <c r="K164" s="1059"/>
      <c r="L164" s="1059"/>
      <c r="M164" s="1059"/>
    </row>
    <row r="165" spans="1:13" ht="15" customHeight="1" x14ac:dyDescent="0.2">
      <c r="A165" s="1059"/>
      <c r="B165" s="1059"/>
      <c r="C165" s="1059"/>
      <c r="D165" s="1059"/>
      <c r="E165" s="1059"/>
      <c r="F165" s="1059"/>
      <c r="G165" s="1059"/>
      <c r="H165" s="1059"/>
      <c r="I165" s="1059"/>
      <c r="J165" s="1059"/>
      <c r="K165" s="1059"/>
      <c r="L165" s="1059"/>
      <c r="M165" s="1059"/>
    </row>
    <row r="166" spans="1:13" ht="15" customHeight="1" x14ac:dyDescent="0.2">
      <c r="A166" s="1059"/>
      <c r="B166" s="1059"/>
      <c r="C166" s="1059"/>
      <c r="D166" s="1059"/>
      <c r="E166" s="1059"/>
      <c r="F166" s="1059"/>
      <c r="G166" s="1059"/>
      <c r="H166" s="1059"/>
      <c r="I166" s="1059"/>
      <c r="J166" s="1059"/>
      <c r="K166" s="1059"/>
      <c r="L166" s="1059"/>
      <c r="M166" s="1059"/>
    </row>
    <row r="167" spans="1:13" ht="15" customHeight="1" x14ac:dyDescent="0.2">
      <c r="A167" s="1059"/>
      <c r="B167" s="1059"/>
      <c r="C167" s="1059"/>
      <c r="D167" s="1059"/>
      <c r="E167" s="1059"/>
      <c r="F167" s="1059"/>
      <c r="G167" s="1059"/>
      <c r="H167" s="1059"/>
      <c r="I167" s="1059"/>
      <c r="J167" s="1059"/>
      <c r="K167" s="1059"/>
      <c r="L167" s="1059"/>
      <c r="M167" s="1059"/>
    </row>
    <row r="168" spans="1:13" ht="15" customHeight="1" x14ac:dyDescent="0.2">
      <c r="A168" s="1059"/>
      <c r="B168" s="1059"/>
      <c r="C168" s="1059"/>
      <c r="D168" s="1059"/>
      <c r="E168" s="1059"/>
      <c r="F168" s="1059"/>
      <c r="G168" s="1059"/>
      <c r="H168" s="1059"/>
      <c r="I168" s="1059"/>
      <c r="J168" s="1059"/>
      <c r="K168" s="1059"/>
      <c r="L168" s="1059"/>
      <c r="M168" s="1059"/>
    </row>
    <row r="169" spans="1:13" ht="15" customHeight="1" x14ac:dyDescent="0.2">
      <c r="A169" s="1059"/>
      <c r="B169" s="1059"/>
      <c r="C169" s="1059"/>
      <c r="D169" s="1059"/>
      <c r="E169" s="1059"/>
      <c r="F169" s="1059"/>
      <c r="G169" s="1059"/>
      <c r="H169" s="1059"/>
      <c r="I169" s="1059"/>
      <c r="J169" s="1059"/>
      <c r="K169" s="1059"/>
      <c r="L169" s="1059"/>
      <c r="M169" s="1059"/>
    </row>
    <row r="170" spans="1:13" ht="15" customHeight="1" x14ac:dyDescent="0.2">
      <c r="A170" s="1059"/>
      <c r="B170" s="1059"/>
      <c r="C170" s="1059"/>
      <c r="D170" s="1059"/>
      <c r="E170" s="1059"/>
      <c r="F170" s="1059"/>
      <c r="G170" s="1059"/>
      <c r="H170" s="1059"/>
      <c r="I170" s="1059"/>
      <c r="J170" s="1059"/>
      <c r="K170" s="1059"/>
      <c r="L170" s="1059"/>
      <c r="M170" s="1059"/>
    </row>
    <row r="171" spans="1:13" ht="15" customHeight="1" x14ac:dyDescent="0.2">
      <c r="A171" s="1059"/>
      <c r="B171" s="1059"/>
      <c r="C171" s="1059"/>
      <c r="D171" s="1059"/>
      <c r="E171" s="1059"/>
      <c r="F171" s="1059"/>
      <c r="G171" s="1059"/>
      <c r="H171" s="1059"/>
      <c r="I171" s="1059"/>
      <c r="J171" s="1059"/>
      <c r="K171" s="1059"/>
      <c r="L171" s="1059"/>
      <c r="M171" s="1059"/>
    </row>
    <row r="172" spans="1:13" ht="15" customHeight="1" x14ac:dyDescent="0.2">
      <c r="A172" s="1059"/>
      <c r="B172" s="1059"/>
      <c r="C172" s="1059"/>
      <c r="D172" s="1059"/>
      <c r="E172" s="1059"/>
      <c r="F172" s="1059"/>
      <c r="G172" s="1059"/>
      <c r="H172" s="1059"/>
      <c r="I172" s="1059"/>
      <c r="J172" s="1059"/>
      <c r="K172" s="1059"/>
      <c r="L172" s="1059"/>
      <c r="M172" s="1059"/>
    </row>
    <row r="173" spans="1:13" ht="15" customHeight="1" x14ac:dyDescent="0.2">
      <c r="A173" s="1059"/>
      <c r="B173" s="1059"/>
      <c r="C173" s="1059"/>
      <c r="D173" s="1059"/>
      <c r="E173" s="1059"/>
      <c r="F173" s="1059"/>
      <c r="G173" s="1059"/>
      <c r="H173" s="1059"/>
      <c r="I173" s="1059"/>
      <c r="J173" s="1059"/>
      <c r="K173" s="1059"/>
      <c r="L173" s="1059"/>
      <c r="M173" s="1059"/>
    </row>
    <row r="174" spans="1:13" ht="15" customHeight="1" x14ac:dyDescent="0.2">
      <c r="A174" s="1059"/>
      <c r="B174" s="1059"/>
      <c r="C174" s="1059"/>
      <c r="D174" s="1059"/>
      <c r="E174" s="1059"/>
      <c r="F174" s="1059"/>
      <c r="G174" s="1059"/>
      <c r="H174" s="1059"/>
      <c r="I174" s="1059"/>
      <c r="J174" s="1059"/>
      <c r="K174" s="1059"/>
      <c r="L174" s="1059"/>
      <c r="M174" s="1059"/>
    </row>
    <row r="175" spans="1:13" ht="15" customHeight="1" x14ac:dyDescent="0.2">
      <c r="A175" s="1059"/>
      <c r="B175" s="1059"/>
      <c r="C175" s="1059"/>
      <c r="D175" s="1059"/>
      <c r="E175" s="1059"/>
      <c r="F175" s="1059"/>
      <c r="G175" s="1059"/>
      <c r="H175" s="1059"/>
      <c r="I175" s="1059"/>
      <c r="J175" s="1059"/>
      <c r="K175" s="1059"/>
      <c r="L175" s="1059"/>
      <c r="M175" s="1059"/>
    </row>
    <row r="176" spans="1:13" ht="15" customHeight="1" x14ac:dyDescent="0.2">
      <c r="A176" s="1059"/>
      <c r="B176" s="1059"/>
      <c r="C176" s="1059"/>
      <c r="D176" s="1059"/>
      <c r="E176" s="1059"/>
      <c r="F176" s="1059"/>
      <c r="G176" s="1059"/>
      <c r="H176" s="1059"/>
      <c r="I176" s="1059"/>
      <c r="J176" s="1059"/>
      <c r="K176" s="1059"/>
      <c r="L176" s="1059"/>
      <c r="M176" s="1059"/>
    </row>
    <row r="177" spans="1:13" ht="15" customHeight="1" x14ac:dyDescent="0.2">
      <c r="A177" s="1059"/>
      <c r="B177" s="1059"/>
      <c r="C177" s="1059"/>
      <c r="D177" s="1059"/>
      <c r="E177" s="1059"/>
      <c r="F177" s="1059"/>
      <c r="G177" s="1059"/>
      <c r="H177" s="1059"/>
      <c r="I177" s="1059"/>
      <c r="J177" s="1059"/>
      <c r="K177" s="1059"/>
      <c r="L177" s="1059"/>
      <c r="M177" s="1059"/>
    </row>
    <row r="178" spans="1:13" ht="15" customHeight="1" x14ac:dyDescent="0.2">
      <c r="A178" s="1059"/>
      <c r="B178" s="1059"/>
      <c r="C178" s="1059"/>
      <c r="D178" s="1059"/>
      <c r="E178" s="1059"/>
      <c r="F178" s="1059"/>
      <c r="G178" s="1059"/>
      <c r="H178" s="1059"/>
      <c r="I178" s="1059"/>
      <c r="J178" s="1059"/>
      <c r="K178" s="1059"/>
      <c r="L178" s="1059"/>
      <c r="M178" s="1059"/>
    </row>
    <row r="179" spans="1:13" ht="15" customHeight="1" x14ac:dyDescent="0.2">
      <c r="A179" s="1059"/>
      <c r="B179" s="1059"/>
      <c r="C179" s="1059"/>
      <c r="D179" s="1059"/>
      <c r="E179" s="1059"/>
      <c r="F179" s="1059"/>
      <c r="G179" s="1059"/>
      <c r="H179" s="1059"/>
      <c r="I179" s="1059"/>
      <c r="J179" s="1059"/>
      <c r="K179" s="1059"/>
      <c r="L179" s="1059"/>
      <c r="M179" s="1059"/>
    </row>
    <row r="180" spans="1:13" ht="15" customHeight="1" x14ac:dyDescent="0.2">
      <c r="A180" s="1059"/>
      <c r="B180" s="1059"/>
      <c r="C180" s="1059"/>
      <c r="D180" s="1059"/>
      <c r="E180" s="1059"/>
      <c r="F180" s="1059"/>
      <c r="G180" s="1059"/>
      <c r="H180" s="1059"/>
      <c r="I180" s="1059"/>
      <c r="J180" s="1059"/>
      <c r="K180" s="1059"/>
      <c r="L180" s="1059"/>
      <c r="M180" s="1059"/>
    </row>
    <row r="181" spans="1:13" ht="15" customHeight="1" x14ac:dyDescent="0.2">
      <c r="A181" s="1059"/>
      <c r="B181" s="1059"/>
      <c r="C181" s="1059"/>
      <c r="D181" s="1059"/>
      <c r="E181" s="1059"/>
      <c r="F181" s="1059"/>
      <c r="G181" s="1059"/>
      <c r="H181" s="1059"/>
      <c r="I181" s="1059"/>
      <c r="J181" s="1059"/>
      <c r="K181" s="1059"/>
      <c r="L181" s="1059"/>
      <c r="M181" s="1059"/>
    </row>
    <row r="182" spans="1:13" ht="15" customHeight="1" x14ac:dyDescent="0.2">
      <c r="A182" s="1059"/>
      <c r="B182" s="1059"/>
      <c r="C182" s="1059"/>
      <c r="D182" s="1059"/>
      <c r="E182" s="1059"/>
      <c r="F182" s="1059"/>
      <c r="G182" s="1059"/>
      <c r="H182" s="1059"/>
      <c r="I182" s="1059"/>
      <c r="J182" s="1059"/>
      <c r="K182" s="1059"/>
      <c r="L182" s="1059"/>
      <c r="M182" s="1059"/>
    </row>
    <row r="183" spans="1:13" ht="15" customHeight="1" x14ac:dyDescent="0.2">
      <c r="A183" s="1059"/>
      <c r="B183" s="1059"/>
      <c r="C183" s="1059"/>
      <c r="D183" s="1059"/>
      <c r="E183" s="1059"/>
      <c r="F183" s="1059"/>
      <c r="G183" s="1059"/>
      <c r="H183" s="1059"/>
      <c r="I183" s="1059"/>
      <c r="J183" s="1059"/>
      <c r="K183" s="1059"/>
      <c r="L183" s="1059"/>
      <c r="M183" s="1059"/>
    </row>
    <row r="184" spans="1:13" ht="15" customHeight="1" x14ac:dyDescent="0.2">
      <c r="A184" s="1059"/>
      <c r="B184" s="1059"/>
      <c r="C184" s="1059"/>
      <c r="D184" s="1059"/>
      <c r="E184" s="1059"/>
      <c r="F184" s="1059"/>
      <c r="G184" s="1059"/>
      <c r="H184" s="1059"/>
      <c r="I184" s="1059"/>
      <c r="J184" s="1059"/>
      <c r="K184" s="1059"/>
      <c r="L184" s="1059"/>
      <c r="M184" s="1059"/>
    </row>
    <row r="185" spans="1:13" ht="15" customHeight="1" x14ac:dyDescent="0.2">
      <c r="A185" s="1059"/>
      <c r="B185" s="1059"/>
      <c r="C185" s="1059"/>
      <c r="D185" s="1059"/>
      <c r="E185" s="1059"/>
      <c r="F185" s="1059"/>
      <c r="G185" s="1059"/>
      <c r="H185" s="1059"/>
      <c r="I185" s="1059"/>
      <c r="J185" s="1059"/>
      <c r="K185" s="1059"/>
      <c r="L185" s="1059"/>
      <c r="M185" s="1059"/>
    </row>
    <row r="186" spans="1:13" ht="15" customHeight="1" x14ac:dyDescent="0.2">
      <c r="A186" s="1059"/>
      <c r="B186" s="1059"/>
      <c r="C186" s="1059"/>
      <c r="D186" s="1059"/>
      <c r="E186" s="1059"/>
      <c r="F186" s="1059"/>
      <c r="G186" s="1059"/>
      <c r="H186" s="1059"/>
      <c r="I186" s="1059"/>
      <c r="J186" s="1059"/>
      <c r="K186" s="1059"/>
      <c r="L186" s="1059"/>
      <c r="M186" s="1059"/>
    </row>
    <row r="187" spans="1:13" ht="15" customHeight="1" x14ac:dyDescent="0.2">
      <c r="A187" s="1059"/>
      <c r="B187" s="1059"/>
      <c r="C187" s="1059"/>
      <c r="D187" s="1059"/>
      <c r="E187" s="1059"/>
      <c r="F187" s="1059"/>
      <c r="G187" s="1059"/>
      <c r="H187" s="1059"/>
      <c r="I187" s="1059"/>
      <c r="J187" s="1059"/>
      <c r="K187" s="1059"/>
      <c r="L187" s="1059"/>
      <c r="M187" s="1059"/>
    </row>
    <row r="188" spans="1:13" ht="15" customHeight="1" x14ac:dyDescent="0.2">
      <c r="A188" s="1059"/>
      <c r="B188" s="1059"/>
      <c r="C188" s="1059"/>
      <c r="D188" s="1059"/>
      <c r="E188" s="1059"/>
      <c r="F188" s="1059"/>
      <c r="G188" s="1059"/>
      <c r="H188" s="1059"/>
      <c r="I188" s="1059"/>
      <c r="J188" s="1059"/>
      <c r="K188" s="1059"/>
      <c r="L188" s="1059"/>
      <c r="M188" s="1059"/>
    </row>
    <row r="189" spans="1:13" ht="15" customHeight="1" x14ac:dyDescent="0.2">
      <c r="A189" s="1059"/>
      <c r="B189" s="1059"/>
      <c r="C189" s="1059"/>
      <c r="D189" s="1059"/>
      <c r="E189" s="1059"/>
      <c r="F189" s="1059"/>
      <c r="G189" s="1059"/>
      <c r="H189" s="1059"/>
      <c r="I189" s="1059"/>
      <c r="J189" s="1059"/>
      <c r="K189" s="1059"/>
      <c r="L189" s="1059"/>
      <c r="M189" s="1059"/>
    </row>
    <row r="190" spans="1:13" ht="15" customHeight="1" x14ac:dyDescent="0.2">
      <c r="A190" s="1059"/>
      <c r="B190" s="1059"/>
      <c r="C190" s="1059"/>
      <c r="D190" s="1059"/>
      <c r="E190" s="1059"/>
      <c r="F190" s="1059"/>
      <c r="G190" s="1059"/>
      <c r="H190" s="1059"/>
      <c r="I190" s="1059"/>
      <c r="J190" s="1059"/>
      <c r="K190" s="1059"/>
      <c r="L190" s="1059"/>
      <c r="M190" s="1059"/>
    </row>
    <row r="191" spans="1:13" ht="15" customHeight="1" x14ac:dyDescent="0.2">
      <c r="A191" s="1059"/>
      <c r="B191" s="1059"/>
      <c r="C191" s="1059"/>
      <c r="D191" s="1059"/>
      <c r="E191" s="1059"/>
      <c r="F191" s="1059"/>
      <c r="G191" s="1059"/>
      <c r="H191" s="1059"/>
      <c r="I191" s="1059"/>
      <c r="J191" s="1059"/>
      <c r="K191" s="1059"/>
      <c r="L191" s="1059"/>
      <c r="M191" s="1059"/>
    </row>
    <row r="192" spans="1:13" ht="15" customHeight="1" x14ac:dyDescent="0.2">
      <c r="A192" s="1059"/>
      <c r="B192" s="1059"/>
      <c r="C192" s="1059"/>
      <c r="D192" s="1059"/>
      <c r="E192" s="1059"/>
      <c r="F192" s="1059"/>
      <c r="G192" s="1059"/>
      <c r="H192" s="1059"/>
      <c r="I192" s="1059"/>
      <c r="J192" s="1059"/>
      <c r="K192" s="1059"/>
      <c r="L192" s="1059"/>
      <c r="M192" s="1059"/>
    </row>
    <row r="193" spans="1:13" ht="15" customHeight="1" x14ac:dyDescent="0.2">
      <c r="A193" s="1059"/>
      <c r="B193" s="1059"/>
      <c r="C193" s="1059"/>
      <c r="D193" s="1059"/>
      <c r="E193" s="1059"/>
      <c r="F193" s="1059"/>
      <c r="G193" s="1059"/>
      <c r="H193" s="1059"/>
      <c r="I193" s="1059"/>
      <c r="J193" s="1059"/>
      <c r="K193" s="1059"/>
      <c r="L193" s="1059"/>
      <c r="M193" s="1059"/>
    </row>
    <row r="194" spans="1:13" ht="15" customHeight="1" x14ac:dyDescent="0.2">
      <c r="A194" s="1059"/>
      <c r="B194" s="1059"/>
      <c r="C194" s="1059"/>
      <c r="D194" s="1059"/>
      <c r="E194" s="1059"/>
      <c r="F194" s="1059"/>
      <c r="G194" s="1059"/>
      <c r="H194" s="1059"/>
      <c r="I194" s="1059"/>
      <c r="J194" s="1059"/>
      <c r="K194" s="1059"/>
      <c r="L194" s="1059"/>
      <c r="M194" s="1059"/>
    </row>
    <row r="195" spans="1:13" ht="15" customHeight="1" x14ac:dyDescent="0.2">
      <c r="A195" s="1059"/>
      <c r="B195" s="1059"/>
      <c r="C195" s="1059"/>
      <c r="D195" s="1059"/>
      <c r="E195" s="1059"/>
      <c r="F195" s="1059"/>
      <c r="G195" s="1059"/>
      <c r="H195" s="1059"/>
      <c r="I195" s="1059"/>
      <c r="J195" s="1059"/>
      <c r="K195" s="1059"/>
      <c r="L195" s="1059"/>
      <c r="M195" s="1059"/>
    </row>
    <row r="196" spans="1:13" ht="15" customHeight="1" x14ac:dyDescent="0.2">
      <c r="A196" s="1059"/>
      <c r="B196" s="1059"/>
      <c r="C196" s="1059"/>
      <c r="D196" s="1059"/>
      <c r="E196" s="1059"/>
      <c r="F196" s="1059"/>
      <c r="G196" s="1059"/>
      <c r="H196" s="1059"/>
      <c r="I196" s="1059"/>
      <c r="J196" s="1059"/>
      <c r="K196" s="1059"/>
      <c r="L196" s="1059"/>
      <c r="M196" s="1059"/>
    </row>
    <row r="197" spans="1:13" ht="15" customHeight="1" x14ac:dyDescent="0.2">
      <c r="A197" s="1059"/>
      <c r="B197" s="1059"/>
      <c r="C197" s="1059"/>
      <c r="D197" s="1059"/>
      <c r="E197" s="1059"/>
      <c r="F197" s="1059"/>
      <c r="G197" s="1059"/>
      <c r="H197" s="1059"/>
      <c r="I197" s="1059"/>
      <c r="J197" s="1059"/>
      <c r="K197" s="1059"/>
      <c r="L197" s="1059"/>
      <c r="M197" s="1059"/>
    </row>
    <row r="198" spans="1:13" ht="15" customHeight="1" x14ac:dyDescent="0.2">
      <c r="A198" s="1059"/>
      <c r="B198" s="1059"/>
      <c r="C198" s="1059"/>
      <c r="D198" s="1059"/>
      <c r="E198" s="1059"/>
      <c r="F198" s="1059"/>
      <c r="G198" s="1059"/>
      <c r="H198" s="1059"/>
      <c r="I198" s="1059"/>
      <c r="J198" s="1059"/>
      <c r="K198" s="1059"/>
      <c r="L198" s="1059"/>
      <c r="M198" s="1059"/>
    </row>
    <row r="199" spans="1:13" ht="15" customHeight="1" x14ac:dyDescent="0.2">
      <c r="A199" s="1059"/>
      <c r="B199" s="1059"/>
      <c r="C199" s="1059"/>
      <c r="D199" s="1059"/>
      <c r="E199" s="1059"/>
      <c r="F199" s="1059"/>
      <c r="G199" s="1059"/>
      <c r="H199" s="1059"/>
      <c r="I199" s="1059"/>
      <c r="J199" s="1059"/>
      <c r="K199" s="1059"/>
      <c r="L199" s="1059"/>
      <c r="M199" s="1059"/>
    </row>
    <row r="200" spans="1:13" ht="15" customHeight="1" x14ac:dyDescent="0.2">
      <c r="A200" s="1059"/>
      <c r="B200" s="1059"/>
      <c r="C200" s="1059"/>
      <c r="D200" s="1059"/>
      <c r="E200" s="1059"/>
      <c r="F200" s="1059"/>
      <c r="G200" s="1059"/>
      <c r="H200" s="1059"/>
      <c r="I200" s="1059"/>
      <c r="J200" s="1059"/>
      <c r="K200" s="1059"/>
      <c r="L200" s="1059"/>
      <c r="M200" s="1059"/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1:N67"/>
  <sheetViews>
    <sheetView showGridLines="0" topLeftCell="A7" zoomScaleNormal="100" workbookViewId="0">
      <selection activeCell="A41" sqref="A41"/>
    </sheetView>
  </sheetViews>
  <sheetFormatPr baseColWidth="10" defaultColWidth="8.83203125" defaultRowHeight="15" x14ac:dyDescent="0.2"/>
  <cols>
    <col min="1" max="1" width="61" customWidth="1"/>
    <col min="2" max="2" width="9.5" customWidth="1"/>
    <col min="3" max="12" width="14.33203125" customWidth="1"/>
    <col min="13" max="13" width="66.6640625" customWidth="1"/>
    <col min="14" max="14" width="33.33203125" customWidth="1"/>
  </cols>
  <sheetData>
    <row r="1" spans="1:14" ht="28" customHeight="1" x14ac:dyDescent="0.2">
      <c r="A1" s="959" t="s">
        <v>493</v>
      </c>
      <c r="B1" s="960"/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448"/>
      <c r="N1" s="448"/>
    </row>
    <row r="2" spans="1:14" ht="15.75" customHeight="1" x14ac:dyDescent="0.2">
      <c r="A2" s="966" t="s">
        <v>494</v>
      </c>
      <c r="B2" s="967"/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55"/>
      <c r="N2" s="55"/>
    </row>
    <row r="3" spans="1:14" ht="15.75" customHeight="1" x14ac:dyDescent="0.2"/>
    <row r="4" spans="1:14" ht="15.75" customHeight="1" x14ac:dyDescent="0.2"/>
    <row r="5" spans="1:14" ht="22" customHeight="1" x14ac:dyDescent="0.2">
      <c r="A5" s="450"/>
      <c r="B5" s="451" t="s">
        <v>495</v>
      </c>
      <c r="C5" s="878">
        <v>2024</v>
      </c>
      <c r="D5" s="878">
        <v>2025</v>
      </c>
      <c r="E5" s="878">
        <v>2026</v>
      </c>
      <c r="F5" s="878">
        <v>2027</v>
      </c>
      <c r="G5" s="878">
        <v>2028</v>
      </c>
      <c r="H5" s="878">
        <v>2029</v>
      </c>
      <c r="I5" s="878">
        <v>2030</v>
      </c>
      <c r="J5" s="878">
        <v>2031</v>
      </c>
      <c r="K5" s="878">
        <v>2032</v>
      </c>
      <c r="L5" s="878">
        <v>2033</v>
      </c>
    </row>
    <row r="6" spans="1:14" ht="15.75" customHeight="1" x14ac:dyDescent="0.2">
      <c r="C6" s="877" t="s">
        <v>496</v>
      </c>
      <c r="D6" s="877" t="s">
        <v>496</v>
      </c>
      <c r="E6" s="877" t="s">
        <v>497</v>
      </c>
      <c r="F6" s="877" t="s">
        <v>497</v>
      </c>
      <c r="G6" s="877" t="s">
        <v>498</v>
      </c>
      <c r="H6" s="877" t="s">
        <v>498</v>
      </c>
      <c r="I6" s="877" t="s">
        <v>498</v>
      </c>
      <c r="J6" s="877" t="s">
        <v>499</v>
      </c>
      <c r="K6" s="877" t="s">
        <v>499</v>
      </c>
      <c r="L6" s="877" t="s">
        <v>499</v>
      </c>
    </row>
    <row r="7" spans="1:14" ht="15.75" customHeight="1" x14ac:dyDescent="0.2"/>
    <row r="8" spans="1:14" ht="22" customHeight="1" x14ac:dyDescent="0.2">
      <c r="A8" s="939" t="s">
        <v>500</v>
      </c>
      <c r="B8" s="968"/>
      <c r="C8" s="962"/>
      <c r="D8" s="962"/>
      <c r="E8" s="962"/>
      <c r="F8" s="962"/>
      <c r="G8" s="962"/>
      <c r="H8" s="962"/>
      <c r="I8" s="962"/>
      <c r="J8" s="962"/>
      <c r="K8" s="962"/>
      <c r="L8" s="962"/>
    </row>
    <row r="9" spans="1:14" ht="15.75" customHeight="1" x14ac:dyDescent="0.2">
      <c r="A9" s="18" t="s">
        <v>501</v>
      </c>
      <c r="B9" s="73" t="s">
        <v>502</v>
      </c>
      <c r="C9" s="882">
        <v>0.7</v>
      </c>
      <c r="D9" s="883">
        <f>Assumptions!$F$8</f>
        <v>1.3</v>
      </c>
      <c r="E9" s="884">
        <f t="shared" ref="E9:L9" si="0">D34</f>
        <v>2.5</v>
      </c>
      <c r="F9" s="884">
        <f t="shared" si="0"/>
        <v>3.7224999999999997</v>
      </c>
      <c r="G9" s="884">
        <f t="shared" si="0"/>
        <v>5.1072699999999989</v>
      </c>
      <c r="H9" s="884">
        <f t="shared" si="0"/>
        <v>6.4045165799999983</v>
      </c>
      <c r="I9" s="884">
        <f t="shared" si="0"/>
        <v>7.5957566638799978</v>
      </c>
      <c r="J9" s="884">
        <f t="shared" si="0"/>
        <v>8.6363753268315584</v>
      </c>
      <c r="K9" s="884">
        <f t="shared" si="0"/>
        <v>9.5691038621293671</v>
      </c>
      <c r="L9" s="884">
        <f t="shared" si="0"/>
        <v>10.315493963375458</v>
      </c>
    </row>
    <row r="10" spans="1:14" ht="15.75" customHeight="1" x14ac:dyDescent="0.2">
      <c r="A10" s="464" t="s">
        <v>503</v>
      </c>
      <c r="B10" s="879" t="s">
        <v>502</v>
      </c>
      <c r="C10" s="627">
        <v>0.5</v>
      </c>
      <c r="D10" s="627">
        <v>0</v>
      </c>
      <c r="E10" s="885">
        <f t="shared" ref="E10:L10" si="1">D31</f>
        <v>1.3559999999999999</v>
      </c>
      <c r="F10" s="885">
        <f t="shared" si="1"/>
        <v>1.6580999999999997</v>
      </c>
      <c r="G10" s="885">
        <f t="shared" si="1"/>
        <v>2.0290103999999989</v>
      </c>
      <c r="H10" s="885">
        <f t="shared" si="1"/>
        <v>2.151819559999999</v>
      </c>
      <c r="I10" s="885">
        <f t="shared" si="1"/>
        <v>2.222442872839999</v>
      </c>
      <c r="J10" s="885">
        <f t="shared" si="1"/>
        <v>2.2247063276051602</v>
      </c>
      <c r="K10" s="885">
        <f t="shared" si="1"/>
        <v>2.2435693705025677</v>
      </c>
      <c r="L10" s="885">
        <f t="shared" si="1"/>
        <v>2.1710976298178322</v>
      </c>
    </row>
    <row r="11" spans="1:14" ht="15.75" customHeight="1" x14ac:dyDescent="0.2">
      <c r="A11" s="465" t="s">
        <v>504</v>
      </c>
      <c r="B11" s="73" t="s">
        <v>502</v>
      </c>
      <c r="C11" s="882">
        <v>0.15</v>
      </c>
      <c r="D11" s="15">
        <v>0</v>
      </c>
      <c r="E11" s="884">
        <f t="shared" ref="E11:L11" si="2">D26</f>
        <v>0</v>
      </c>
      <c r="F11" s="884">
        <f t="shared" si="2"/>
        <v>1.05768</v>
      </c>
      <c r="G11" s="884">
        <f t="shared" si="2"/>
        <v>1.2933179999999997</v>
      </c>
      <c r="H11" s="884">
        <f t="shared" si="2"/>
        <v>1.5826281119999992</v>
      </c>
      <c r="I11" s="884">
        <f t="shared" si="2"/>
        <v>1.6784192567999991</v>
      </c>
      <c r="J11" s="884">
        <f t="shared" si="2"/>
        <v>1.7335054408151991</v>
      </c>
      <c r="K11" s="884">
        <f t="shared" si="2"/>
        <v>1.735270935532025</v>
      </c>
      <c r="L11" s="884">
        <f t="shared" si="2"/>
        <v>1.7499841089920027</v>
      </c>
    </row>
    <row r="12" spans="1:14" ht="15.75" customHeight="1" x14ac:dyDescent="0.2">
      <c r="A12" s="464" t="s">
        <v>505</v>
      </c>
      <c r="B12" s="879" t="s">
        <v>502</v>
      </c>
      <c r="C12" s="627">
        <v>0.05</v>
      </c>
      <c r="D12" s="886">
        <f>Assumptions!$F$8</f>
        <v>1.3</v>
      </c>
      <c r="E12" s="885">
        <f t="shared" ref="E12:L12" si="3">D28</f>
        <v>1.1440000000000001</v>
      </c>
      <c r="F12" s="885">
        <f t="shared" si="3"/>
        <v>1.0067200000000001</v>
      </c>
      <c r="G12" s="885">
        <f t="shared" si="3"/>
        <v>1.7849416</v>
      </c>
      <c r="H12" s="885">
        <f t="shared" si="3"/>
        <v>2.6700689079999997</v>
      </c>
      <c r="I12" s="885">
        <f t="shared" si="3"/>
        <v>3.694894534239999</v>
      </c>
      <c r="J12" s="885">
        <f t="shared" si="3"/>
        <v>4.6781635584111978</v>
      </c>
      <c r="K12" s="885">
        <f t="shared" si="3"/>
        <v>5.5902635560947731</v>
      </c>
      <c r="L12" s="885">
        <f t="shared" si="3"/>
        <v>6.3944122245656212</v>
      </c>
    </row>
    <row r="13" spans="1:14" ht="15.75" customHeight="1" x14ac:dyDescent="0.2">
      <c r="A13" s="27"/>
      <c r="B13" s="871"/>
      <c r="C13" s="155"/>
      <c r="D13" s="155"/>
      <c r="E13" s="155"/>
      <c r="F13" s="155"/>
      <c r="G13" s="155"/>
      <c r="H13" s="155"/>
      <c r="I13" s="155"/>
      <c r="J13" s="155"/>
      <c r="K13" s="155"/>
      <c r="L13" s="155"/>
    </row>
    <row r="14" spans="1:14" ht="22" customHeight="1" x14ac:dyDescent="0.2">
      <c r="A14" s="939" t="s">
        <v>506</v>
      </c>
      <c r="B14" s="961"/>
      <c r="C14" s="962"/>
      <c r="D14" s="962"/>
      <c r="E14" s="962"/>
      <c r="F14" s="962"/>
      <c r="G14" s="962"/>
      <c r="H14" s="962"/>
      <c r="I14" s="962"/>
      <c r="J14" s="962"/>
      <c r="K14" s="962"/>
      <c r="L14" s="962"/>
    </row>
    <row r="15" spans="1:14" ht="15.75" customHeight="1" x14ac:dyDescent="0.2">
      <c r="A15" s="18" t="s">
        <v>507</v>
      </c>
      <c r="B15" s="73" t="s">
        <v>508</v>
      </c>
      <c r="C15" s="894">
        <f>Assumptions!$F$19</f>
        <v>0.22</v>
      </c>
      <c r="D15" s="894">
        <f>Assumptions!$F$19</f>
        <v>0.22</v>
      </c>
      <c r="E15" s="894">
        <f>Assumptions!$F$19</f>
        <v>0.22</v>
      </c>
      <c r="F15" s="894">
        <f>Assumptions!$F$19</f>
        <v>0.22</v>
      </c>
      <c r="G15" s="894">
        <f>Assumptions!$F$19</f>
        <v>0.22</v>
      </c>
      <c r="H15" s="894">
        <f>Assumptions!$F$19</f>
        <v>0.22</v>
      </c>
      <c r="I15" s="894">
        <f>Assumptions!$F$19</f>
        <v>0.22</v>
      </c>
      <c r="J15" s="894">
        <f>Assumptions!$F$19</f>
        <v>0.22</v>
      </c>
      <c r="K15" s="894">
        <f>Assumptions!$F$19</f>
        <v>0.22</v>
      </c>
      <c r="L15" s="894">
        <f>Assumptions!$F$19</f>
        <v>0.22</v>
      </c>
    </row>
    <row r="16" spans="1:14" ht="15.75" customHeight="1" x14ac:dyDescent="0.2">
      <c r="A16" s="459" t="s">
        <v>509</v>
      </c>
      <c r="B16" s="879" t="s">
        <v>508</v>
      </c>
      <c r="C16" s="895">
        <f>Assumptions!$F$20</f>
        <v>0.15</v>
      </c>
      <c r="D16" s="895">
        <f>Assumptions!$F$20</f>
        <v>0.15</v>
      </c>
      <c r="E16" s="895">
        <f>Assumptions!$F$20</f>
        <v>0.15</v>
      </c>
      <c r="F16" s="895">
        <f>Assumptions!$F$20</f>
        <v>0.15</v>
      </c>
      <c r="G16" s="895">
        <f>Assumptions!$F$20</f>
        <v>0.15</v>
      </c>
      <c r="H16" s="895">
        <f>Assumptions!$F$20</f>
        <v>0.15</v>
      </c>
      <c r="I16" s="895">
        <f>Assumptions!$F$20</f>
        <v>0.15</v>
      </c>
      <c r="J16" s="895">
        <f>Assumptions!$F$20</f>
        <v>0.15</v>
      </c>
      <c r="K16" s="895">
        <f>Assumptions!$F$20</f>
        <v>0.15</v>
      </c>
      <c r="L16" s="895">
        <f>Assumptions!$F$20</f>
        <v>0.15</v>
      </c>
    </row>
    <row r="17" spans="1:12" ht="15.75" customHeight="1" x14ac:dyDescent="0.2">
      <c r="A17" s="18" t="s">
        <v>510</v>
      </c>
      <c r="B17" s="73" t="s">
        <v>508</v>
      </c>
      <c r="C17" s="894">
        <f>Assumptions!$F$21</f>
        <v>0.12</v>
      </c>
      <c r="D17" s="894">
        <f>Assumptions!$F$21</f>
        <v>0.12</v>
      </c>
      <c r="E17" s="894">
        <f>Assumptions!$F$21</f>
        <v>0.12</v>
      </c>
      <c r="F17" s="894">
        <f>Assumptions!$F$21</f>
        <v>0.12</v>
      </c>
      <c r="G17" s="894">
        <f>Assumptions!$F$21</f>
        <v>0.12</v>
      </c>
      <c r="H17" s="894">
        <f>Assumptions!$F$21</f>
        <v>0.12</v>
      </c>
      <c r="I17" s="894">
        <f>Assumptions!$F$21</f>
        <v>0.12</v>
      </c>
      <c r="J17" s="894">
        <f>Assumptions!$F$21</f>
        <v>0.12</v>
      </c>
      <c r="K17" s="894">
        <f>Assumptions!$F$21</f>
        <v>0.12</v>
      </c>
      <c r="L17" s="894">
        <f>Assumptions!$F$21</f>
        <v>0.12</v>
      </c>
    </row>
    <row r="18" spans="1:12" ht="15.75" customHeight="1" x14ac:dyDescent="0.2">
      <c r="A18" s="27"/>
      <c r="B18" s="871"/>
      <c r="C18" s="155"/>
      <c r="D18" s="155"/>
      <c r="E18" s="155"/>
      <c r="F18" s="155"/>
      <c r="G18" s="155"/>
      <c r="H18" s="155"/>
      <c r="I18" s="155"/>
      <c r="J18" s="155"/>
      <c r="K18" s="155"/>
      <c r="L18" s="155"/>
    </row>
    <row r="19" spans="1:12" ht="22" customHeight="1" x14ac:dyDescent="0.2">
      <c r="A19" s="939" t="s">
        <v>511</v>
      </c>
      <c r="B19" s="961"/>
      <c r="C19" s="962"/>
      <c r="D19" s="962"/>
      <c r="E19" s="962"/>
      <c r="F19" s="962"/>
      <c r="G19" s="962"/>
      <c r="H19" s="962"/>
      <c r="I19" s="962"/>
      <c r="J19" s="962"/>
      <c r="K19" s="962"/>
      <c r="L19" s="962"/>
    </row>
    <row r="20" spans="1:12" ht="15.75" customHeight="1" x14ac:dyDescent="0.2">
      <c r="A20" s="465" t="s">
        <v>512</v>
      </c>
      <c r="B20" s="73" t="s">
        <v>502</v>
      </c>
      <c r="C20" s="884">
        <f t="shared" ref="C20:L20" si="4">C10*C15</f>
        <v>0.11</v>
      </c>
      <c r="D20" s="884">
        <f t="shared" si="4"/>
        <v>0</v>
      </c>
      <c r="E20" s="884">
        <f t="shared" si="4"/>
        <v>0.29831999999999997</v>
      </c>
      <c r="F20" s="884">
        <f t="shared" si="4"/>
        <v>0.36478199999999994</v>
      </c>
      <c r="G20" s="884">
        <f t="shared" si="4"/>
        <v>0.44638228799999974</v>
      </c>
      <c r="H20" s="884">
        <f t="shared" si="4"/>
        <v>0.47340030319999976</v>
      </c>
      <c r="I20" s="884">
        <f t="shared" si="4"/>
        <v>0.48893743202479978</v>
      </c>
      <c r="J20" s="884">
        <f t="shared" si="4"/>
        <v>0.48943539207313524</v>
      </c>
      <c r="K20" s="884">
        <f t="shared" si="4"/>
        <v>0.49358526151056487</v>
      </c>
      <c r="L20" s="884">
        <f t="shared" si="4"/>
        <v>0.47764147855992306</v>
      </c>
    </row>
    <row r="21" spans="1:12" ht="15.75" customHeight="1" x14ac:dyDescent="0.2">
      <c r="A21" s="464" t="s">
        <v>513</v>
      </c>
      <c r="B21" s="879" t="s">
        <v>502</v>
      </c>
      <c r="C21" s="885">
        <f t="shared" ref="C21:L21" si="5">C11*C16</f>
        <v>2.2499999999999999E-2</v>
      </c>
      <c r="D21" s="885">
        <f t="shared" si="5"/>
        <v>0</v>
      </c>
      <c r="E21" s="885">
        <f t="shared" si="5"/>
        <v>0</v>
      </c>
      <c r="F21" s="885">
        <f t="shared" si="5"/>
        <v>0.15865199999999999</v>
      </c>
      <c r="G21" s="885">
        <f t="shared" si="5"/>
        <v>0.19399769999999997</v>
      </c>
      <c r="H21" s="885">
        <f t="shared" si="5"/>
        <v>0.23739421679999986</v>
      </c>
      <c r="I21" s="885">
        <f t="shared" si="5"/>
        <v>0.25176288851999984</v>
      </c>
      <c r="J21" s="885">
        <f t="shared" si="5"/>
        <v>0.26002581612227987</v>
      </c>
      <c r="K21" s="885">
        <f t="shared" si="5"/>
        <v>0.26029064032980376</v>
      </c>
      <c r="L21" s="885">
        <f t="shared" si="5"/>
        <v>0.26249761634880042</v>
      </c>
    </row>
    <row r="22" spans="1:12" ht="15.75" customHeight="1" x14ac:dyDescent="0.2">
      <c r="A22" s="465" t="s">
        <v>514</v>
      </c>
      <c r="B22" s="73" t="s">
        <v>502</v>
      </c>
      <c r="C22" s="884">
        <f t="shared" ref="C22:L22" si="6">C12*C17</f>
        <v>6.0000000000000001E-3</v>
      </c>
      <c r="D22" s="884">
        <f t="shared" si="6"/>
        <v>0.156</v>
      </c>
      <c r="E22" s="884">
        <f t="shared" si="6"/>
        <v>0.13728000000000001</v>
      </c>
      <c r="F22" s="884">
        <f t="shared" si="6"/>
        <v>0.12080640000000001</v>
      </c>
      <c r="G22" s="884">
        <f t="shared" si="6"/>
        <v>0.214192992</v>
      </c>
      <c r="H22" s="884">
        <f t="shared" si="6"/>
        <v>0.32040826895999996</v>
      </c>
      <c r="I22" s="884">
        <f t="shared" si="6"/>
        <v>0.44338734410879987</v>
      </c>
      <c r="J22" s="884">
        <f t="shared" si="6"/>
        <v>0.56137962700934374</v>
      </c>
      <c r="K22" s="884">
        <f t="shared" si="6"/>
        <v>0.67083162673137275</v>
      </c>
      <c r="L22" s="884">
        <f t="shared" si="6"/>
        <v>0.76732946694787452</v>
      </c>
    </row>
    <row r="23" spans="1:12" ht="15.75" customHeight="1" x14ac:dyDescent="0.2">
      <c r="A23" s="456" t="s">
        <v>515</v>
      </c>
      <c r="B23" s="880" t="s">
        <v>502</v>
      </c>
      <c r="C23" s="893">
        <f t="shared" ref="C23:L23" si="7">SUM(C20:C22)</f>
        <v>0.13850000000000001</v>
      </c>
      <c r="D23" s="893">
        <f t="shared" si="7"/>
        <v>0.156</v>
      </c>
      <c r="E23" s="893">
        <f t="shared" si="7"/>
        <v>0.43559999999999999</v>
      </c>
      <c r="F23" s="893">
        <f t="shared" si="7"/>
        <v>0.64424039999999994</v>
      </c>
      <c r="G23" s="893">
        <f t="shared" si="7"/>
        <v>0.8545729799999997</v>
      </c>
      <c r="H23" s="893">
        <f t="shared" si="7"/>
        <v>1.0312027889599995</v>
      </c>
      <c r="I23" s="893">
        <f t="shared" si="7"/>
        <v>1.1840876646535996</v>
      </c>
      <c r="J23" s="893">
        <f t="shared" si="7"/>
        <v>1.3108408352047589</v>
      </c>
      <c r="K23" s="893">
        <f t="shared" si="7"/>
        <v>1.4247075285717414</v>
      </c>
      <c r="L23" s="893">
        <f t="shared" si="7"/>
        <v>1.5074685618565979</v>
      </c>
    </row>
    <row r="24" spans="1:12" ht="15.75" customHeight="1" x14ac:dyDescent="0.2">
      <c r="A24" s="27"/>
      <c r="B24" s="871"/>
      <c r="C24" s="155"/>
      <c r="D24" s="155"/>
      <c r="E24" s="155"/>
      <c r="F24" s="155"/>
      <c r="G24" s="155"/>
      <c r="H24" s="155"/>
      <c r="I24" s="155"/>
      <c r="J24" s="155"/>
      <c r="K24" s="155"/>
      <c r="L24" s="155"/>
    </row>
    <row r="25" spans="1:12" ht="22" customHeight="1" x14ac:dyDescent="0.2">
      <c r="A25" s="963" t="s">
        <v>516</v>
      </c>
      <c r="B25" s="964"/>
      <c r="C25" s="965"/>
      <c r="D25" s="965"/>
      <c r="E25" s="965"/>
      <c r="F25" s="965"/>
      <c r="G25" s="965"/>
      <c r="H25" s="965"/>
      <c r="I25" s="965"/>
      <c r="J25" s="965"/>
      <c r="K25" s="965"/>
      <c r="L25" s="965"/>
    </row>
    <row r="26" spans="1:12" ht="15.75" customHeight="1" x14ac:dyDescent="0.2">
      <c r="A26" s="465" t="s">
        <v>517</v>
      </c>
      <c r="B26" s="73" t="s">
        <v>502</v>
      </c>
      <c r="C26" s="454">
        <f t="shared" ref="C26:L26" si="8">C10-C20</f>
        <v>0.39</v>
      </c>
      <c r="D26" s="454">
        <f t="shared" si="8"/>
        <v>0</v>
      </c>
      <c r="E26" s="454">
        <f t="shared" si="8"/>
        <v>1.05768</v>
      </c>
      <c r="F26" s="454">
        <f t="shared" si="8"/>
        <v>1.2933179999999997</v>
      </c>
      <c r="G26" s="454">
        <f t="shared" si="8"/>
        <v>1.5826281119999992</v>
      </c>
      <c r="H26" s="454">
        <f t="shared" si="8"/>
        <v>1.6784192567999991</v>
      </c>
      <c r="I26" s="454">
        <f t="shared" si="8"/>
        <v>1.7335054408151991</v>
      </c>
      <c r="J26" s="454">
        <f t="shared" si="8"/>
        <v>1.735270935532025</v>
      </c>
      <c r="K26" s="454">
        <f t="shared" si="8"/>
        <v>1.7499841089920027</v>
      </c>
      <c r="L26" s="454">
        <f t="shared" si="8"/>
        <v>1.6934561512579092</v>
      </c>
    </row>
    <row r="27" spans="1:12" ht="15.75" customHeight="1" x14ac:dyDescent="0.2">
      <c r="A27" s="464" t="s">
        <v>518</v>
      </c>
      <c r="B27" s="879" t="s">
        <v>502</v>
      </c>
      <c r="C27" s="460">
        <f t="shared" ref="C27:L27" si="9">C11-C21</f>
        <v>0.1275</v>
      </c>
      <c r="D27" s="460">
        <f t="shared" si="9"/>
        <v>0</v>
      </c>
      <c r="E27" s="460">
        <f t="shared" si="9"/>
        <v>0</v>
      </c>
      <c r="F27" s="460">
        <f t="shared" si="9"/>
        <v>0.89902799999999994</v>
      </c>
      <c r="G27" s="460">
        <f t="shared" si="9"/>
        <v>1.0993202999999998</v>
      </c>
      <c r="H27" s="460">
        <f t="shared" si="9"/>
        <v>1.3452338951999994</v>
      </c>
      <c r="I27" s="460">
        <f t="shared" si="9"/>
        <v>1.4266563682799993</v>
      </c>
      <c r="J27" s="460">
        <f t="shared" si="9"/>
        <v>1.4734796246929192</v>
      </c>
      <c r="K27" s="460">
        <f t="shared" si="9"/>
        <v>1.4749802952022213</v>
      </c>
      <c r="L27" s="460">
        <f t="shared" si="9"/>
        <v>1.4874864926432023</v>
      </c>
    </row>
    <row r="28" spans="1:12" ht="15.75" customHeight="1" x14ac:dyDescent="0.2">
      <c r="A28" s="465" t="s">
        <v>519</v>
      </c>
      <c r="B28" s="73" t="s">
        <v>502</v>
      </c>
      <c r="C28" s="454">
        <f t="shared" ref="C28:L28" si="10">C12-C22+C27</f>
        <v>0.17150000000000001</v>
      </c>
      <c r="D28" s="454">
        <f t="shared" si="10"/>
        <v>1.1440000000000001</v>
      </c>
      <c r="E28" s="454">
        <f t="shared" si="10"/>
        <v>1.0067200000000001</v>
      </c>
      <c r="F28" s="454">
        <f t="shared" si="10"/>
        <v>1.7849416</v>
      </c>
      <c r="G28" s="454">
        <f t="shared" si="10"/>
        <v>2.6700689079999997</v>
      </c>
      <c r="H28" s="454">
        <f t="shared" si="10"/>
        <v>3.694894534239999</v>
      </c>
      <c r="I28" s="454">
        <f t="shared" si="10"/>
        <v>4.6781635584111978</v>
      </c>
      <c r="J28" s="454">
        <f t="shared" si="10"/>
        <v>5.5902635560947731</v>
      </c>
      <c r="K28" s="454">
        <f t="shared" si="10"/>
        <v>6.3944122245656212</v>
      </c>
      <c r="L28" s="454">
        <f t="shared" si="10"/>
        <v>7.1145692502609492</v>
      </c>
    </row>
    <row r="29" spans="1:12" ht="15.75" customHeight="1" x14ac:dyDescent="0.2">
      <c r="A29" s="27"/>
      <c r="B29" s="871"/>
      <c r="C29" s="155"/>
      <c r="D29" s="155"/>
      <c r="E29" s="155"/>
      <c r="F29" s="155"/>
      <c r="G29" s="155"/>
      <c r="H29" s="155"/>
      <c r="I29" s="155"/>
      <c r="J29" s="155"/>
      <c r="K29" s="155"/>
      <c r="L29" s="155"/>
    </row>
    <row r="30" spans="1:12" ht="22" customHeight="1" x14ac:dyDescent="0.2">
      <c r="A30" s="939" t="s">
        <v>520</v>
      </c>
      <c r="B30" s="961"/>
      <c r="C30" s="962"/>
      <c r="D30" s="962"/>
      <c r="E30" s="962"/>
      <c r="F30" s="962"/>
      <c r="G30" s="962"/>
      <c r="H30" s="962"/>
      <c r="I30" s="962"/>
      <c r="J30" s="962"/>
      <c r="K30" s="962"/>
      <c r="L30" s="962"/>
    </row>
    <row r="31" spans="1:12" ht="15.75" customHeight="1" x14ac:dyDescent="0.2">
      <c r="A31" s="18" t="s">
        <v>521</v>
      </c>
      <c r="B31" s="73" t="s">
        <v>502</v>
      </c>
      <c r="C31" s="890">
        <v>0.6</v>
      </c>
      <c r="D31" s="891">
        <f>Assumptions!$F$9-D28</f>
        <v>1.3559999999999999</v>
      </c>
      <c r="E31" s="892">
        <f t="shared" ref="E31:L31" si="11">E34-E9+E23</f>
        <v>1.6580999999999997</v>
      </c>
      <c r="F31" s="891">
        <f t="shared" si="11"/>
        <v>2.0290103999999989</v>
      </c>
      <c r="G31" s="891">
        <f t="shared" si="11"/>
        <v>2.151819559999999</v>
      </c>
      <c r="H31" s="891">
        <f t="shared" si="11"/>
        <v>2.222442872839999</v>
      </c>
      <c r="I31" s="891">
        <f t="shared" si="11"/>
        <v>2.2247063276051602</v>
      </c>
      <c r="J31" s="891">
        <f t="shared" si="11"/>
        <v>2.2435693705025677</v>
      </c>
      <c r="K31" s="891">
        <f t="shared" si="11"/>
        <v>2.1710976298178322</v>
      </c>
      <c r="L31" s="891">
        <f t="shared" si="11"/>
        <v>2.1160827056957494</v>
      </c>
    </row>
    <row r="32" spans="1:12" ht="15.75" customHeight="1" x14ac:dyDescent="0.2">
      <c r="A32" s="27"/>
      <c r="B32" s="871"/>
      <c r="C32" s="155"/>
      <c r="D32" s="155"/>
      <c r="E32" s="155"/>
      <c r="F32" s="155"/>
      <c r="G32" s="155"/>
      <c r="H32" s="155"/>
      <c r="I32" s="155"/>
      <c r="J32" s="155"/>
      <c r="K32" s="155"/>
      <c r="L32" s="155"/>
    </row>
    <row r="33" spans="1:12" ht="22" customHeight="1" x14ac:dyDescent="0.2">
      <c r="A33" s="939" t="s">
        <v>522</v>
      </c>
      <c r="B33" s="961"/>
      <c r="C33" s="962"/>
      <c r="D33" s="962"/>
      <c r="E33" s="962"/>
      <c r="F33" s="962"/>
      <c r="G33" s="962"/>
      <c r="H33" s="962"/>
      <c r="I33" s="962"/>
      <c r="J33" s="962"/>
      <c r="K33" s="962"/>
      <c r="L33" s="962"/>
    </row>
    <row r="34" spans="1:12" ht="15.75" customHeight="1" x14ac:dyDescent="0.2">
      <c r="A34" s="458" t="s">
        <v>523</v>
      </c>
      <c r="B34" s="881" t="s">
        <v>502</v>
      </c>
      <c r="C34" s="887">
        <f t="shared" ref="C34:D34" si="12">C26+C28+C31</f>
        <v>1.1615</v>
      </c>
      <c r="D34" s="887">
        <f t="shared" si="12"/>
        <v>2.5</v>
      </c>
      <c r="E34" s="840">
        <f>MIN(D34*(1+Assumptions!$F$169),0.45*Assumptions!$F$124)</f>
        <v>3.7224999999999997</v>
      </c>
      <c r="F34" s="887">
        <f>MIN(E34*(1+Assumptions!$F$170),0.45*Assumptions!$F$124)</f>
        <v>5.1072699999999989</v>
      </c>
      <c r="G34" s="887">
        <f>MIN(F34*(1+Assumptions!$F$171),0.45*Assumptions!$F$124)</f>
        <v>6.4045165799999983</v>
      </c>
      <c r="H34" s="887">
        <f>MIN(G34*(1+Assumptions!$F$172),0.45*Assumptions!$F$124)</f>
        <v>7.5957566638799978</v>
      </c>
      <c r="I34" s="887">
        <f>MIN(H34*(1+Assumptions!$F$173),0.45*Assumptions!$F$124)</f>
        <v>8.6363753268315584</v>
      </c>
      <c r="J34" s="887">
        <f>MIN(I34*(1+Assumptions!$F$174),0.45*Assumptions!$F$124)</f>
        <v>9.5691038621293671</v>
      </c>
      <c r="K34" s="887">
        <f>MIN(J34*(1+Assumptions!$F$175),0.45*Assumptions!$F$124)</f>
        <v>10.315493963375458</v>
      </c>
      <c r="L34" s="887">
        <f>MIN(K34*(1+Assumptions!$F$176),0.45*Assumptions!$F$124)</f>
        <v>10.924108107214609</v>
      </c>
    </row>
    <row r="35" spans="1:12" ht="15.75" customHeight="1" x14ac:dyDescent="0.2">
      <c r="A35" s="456" t="s">
        <v>524</v>
      </c>
      <c r="B35" s="880" t="s">
        <v>502</v>
      </c>
      <c r="C35" s="888">
        <f t="shared" ref="C35:L35" si="13">(C9+C34)/2</f>
        <v>0.93074999999999997</v>
      </c>
      <c r="D35" s="888">
        <f t="shared" si="13"/>
        <v>1.9</v>
      </c>
      <c r="E35" s="888">
        <f t="shared" si="13"/>
        <v>3.1112500000000001</v>
      </c>
      <c r="F35" s="888">
        <f t="shared" si="13"/>
        <v>4.4148849999999991</v>
      </c>
      <c r="G35" s="888">
        <f t="shared" si="13"/>
        <v>5.7558932899999986</v>
      </c>
      <c r="H35" s="888">
        <f t="shared" si="13"/>
        <v>7.0001366219399976</v>
      </c>
      <c r="I35" s="888">
        <f t="shared" si="13"/>
        <v>8.116065995355779</v>
      </c>
      <c r="J35" s="888">
        <f t="shared" si="13"/>
        <v>9.1027395944804628</v>
      </c>
      <c r="K35" s="888">
        <f t="shared" si="13"/>
        <v>9.9422989127524133</v>
      </c>
      <c r="L35" s="888">
        <f t="shared" si="13"/>
        <v>10.619801035295033</v>
      </c>
    </row>
    <row r="36" spans="1:12" ht="15.75" customHeight="1" x14ac:dyDescent="0.2">
      <c r="A36" s="27"/>
      <c r="B36" s="871"/>
      <c r="C36" s="155"/>
      <c r="D36" s="155"/>
      <c r="E36" s="155"/>
      <c r="F36" s="155"/>
      <c r="G36" s="155"/>
      <c r="H36" s="155"/>
      <c r="I36" s="155"/>
      <c r="J36" s="155"/>
      <c r="K36" s="155"/>
      <c r="L36" s="155"/>
    </row>
    <row r="37" spans="1:12" ht="22" customHeight="1" x14ac:dyDescent="0.2">
      <c r="A37" s="939" t="s">
        <v>525</v>
      </c>
      <c r="B37" s="961"/>
      <c r="C37" s="962"/>
      <c r="D37" s="962"/>
      <c r="E37" s="962"/>
      <c r="F37" s="962"/>
      <c r="G37" s="962"/>
      <c r="H37" s="962"/>
      <c r="I37" s="962"/>
      <c r="J37" s="962"/>
      <c r="K37" s="962"/>
      <c r="L37" s="962"/>
    </row>
    <row r="38" spans="1:12" ht="15.75" customHeight="1" x14ac:dyDescent="0.2">
      <c r="A38" s="18" t="s">
        <v>526</v>
      </c>
      <c r="B38" s="73" t="s">
        <v>502</v>
      </c>
      <c r="C38" s="889">
        <f t="shared" ref="C38:L38" si="14">C31-C23</f>
        <v>0.46149999999999997</v>
      </c>
      <c r="D38" s="889">
        <f t="shared" si="14"/>
        <v>1.2</v>
      </c>
      <c r="E38" s="889">
        <f t="shared" si="14"/>
        <v>1.2224999999999997</v>
      </c>
      <c r="F38" s="889">
        <f t="shared" si="14"/>
        <v>1.3847699999999989</v>
      </c>
      <c r="G38" s="889">
        <f t="shared" si="14"/>
        <v>1.2972465799999993</v>
      </c>
      <c r="H38" s="889">
        <f t="shared" si="14"/>
        <v>1.1912400838799995</v>
      </c>
      <c r="I38" s="889">
        <f t="shared" si="14"/>
        <v>1.0406186629515606</v>
      </c>
      <c r="J38" s="889">
        <f t="shared" si="14"/>
        <v>0.93272853529780875</v>
      </c>
      <c r="K38" s="889">
        <f t="shared" si="14"/>
        <v>0.74639010124609073</v>
      </c>
      <c r="L38" s="889">
        <f t="shared" si="14"/>
        <v>0.60861414383915147</v>
      </c>
    </row>
    <row r="39" spans="1:12" ht="15.75" customHeight="1" x14ac:dyDescent="0.2">
      <c r="A39" s="459" t="s">
        <v>527</v>
      </c>
      <c r="B39" s="879" t="s">
        <v>508</v>
      </c>
      <c r="C39" s="898"/>
      <c r="D39" s="896">
        <f t="shared" ref="D39:L39" si="15">D34/C34-1</f>
        <v>1.152389151958674</v>
      </c>
      <c r="E39" s="896">
        <f t="shared" si="15"/>
        <v>0.48899999999999988</v>
      </c>
      <c r="F39" s="896">
        <f t="shared" si="15"/>
        <v>0.37199999999999989</v>
      </c>
      <c r="G39" s="896">
        <f t="shared" si="15"/>
        <v>0.254</v>
      </c>
      <c r="H39" s="896">
        <f t="shared" si="15"/>
        <v>0.18599999999999994</v>
      </c>
      <c r="I39" s="896">
        <f t="shared" si="15"/>
        <v>0.13700000000000001</v>
      </c>
      <c r="J39" s="896">
        <f t="shared" si="15"/>
        <v>0.1080000000000001</v>
      </c>
      <c r="K39" s="896">
        <f t="shared" si="15"/>
        <v>7.8000000000000069E-2</v>
      </c>
      <c r="L39" s="896">
        <f t="shared" si="15"/>
        <v>5.8999999999999941E-2</v>
      </c>
    </row>
    <row r="40" spans="1:12" ht="15.75" customHeight="1" x14ac:dyDescent="0.2">
      <c r="A40" s="18" t="s">
        <v>528</v>
      </c>
      <c r="B40" s="73" t="s">
        <v>508</v>
      </c>
      <c r="C40" s="897">
        <f t="shared" ref="C40:L40" si="16">IFERROR(C23/C9,0)</f>
        <v>0.1978571428571429</v>
      </c>
      <c r="D40" s="897">
        <f t="shared" si="16"/>
        <v>0.12</v>
      </c>
      <c r="E40" s="897">
        <f t="shared" si="16"/>
        <v>0.17424000000000001</v>
      </c>
      <c r="F40" s="897">
        <f t="shared" si="16"/>
        <v>0.17306659503022162</v>
      </c>
      <c r="G40" s="897">
        <f t="shared" si="16"/>
        <v>0.16732480953621012</v>
      </c>
      <c r="H40" s="897">
        <f t="shared" si="16"/>
        <v>0.16101180722683051</v>
      </c>
      <c r="I40" s="897">
        <f t="shared" si="16"/>
        <v>0.15588804605659318</v>
      </c>
      <c r="J40" s="897">
        <f t="shared" si="16"/>
        <v>0.15178136493584621</v>
      </c>
      <c r="K40" s="897">
        <f t="shared" si="16"/>
        <v>0.14888620179055179</v>
      </c>
      <c r="L40" s="897">
        <f t="shared" si="16"/>
        <v>0.14613634278773024</v>
      </c>
    </row>
    <row r="41" spans="1:12" ht="15.75" customHeight="1" x14ac:dyDescent="0.2">
      <c r="A41" s="18" t="s">
        <v>529</v>
      </c>
      <c r="B41" s="73" t="s">
        <v>508</v>
      </c>
      <c r="C41" s="899"/>
      <c r="D41" s="897">
        <f>D34/Assumptions!$F$9-1</f>
        <v>0</v>
      </c>
      <c r="E41" s="899"/>
      <c r="F41" s="899"/>
      <c r="G41" s="899"/>
      <c r="H41" s="899"/>
      <c r="I41" s="899"/>
      <c r="J41" s="899"/>
      <c r="K41" s="899"/>
      <c r="L41" s="899"/>
    </row>
    <row r="42" spans="1:12" ht="15.7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4" spans="1:12" ht="22" customHeight="1" x14ac:dyDescent="0.2">
      <c r="A44" s="957" t="s">
        <v>530</v>
      </c>
      <c r="B44" s="958"/>
      <c r="C44" s="958"/>
      <c r="D44" s="958"/>
      <c r="E44" s="958"/>
      <c r="F44" s="958"/>
      <c r="G44" s="958"/>
      <c r="H44" s="958"/>
      <c r="I44" s="958"/>
      <c r="J44" s="958"/>
      <c r="K44" s="958"/>
      <c r="L44" s="958"/>
    </row>
    <row r="45" spans="1:12" ht="15.75" customHeight="1" x14ac:dyDescent="0.2">
      <c r="A45" s="820" t="s">
        <v>531</v>
      </c>
      <c r="B45" s="468" t="s">
        <v>532</v>
      </c>
      <c r="C45" s="468" t="s">
        <v>533</v>
      </c>
      <c r="D45" s="468" t="s">
        <v>533</v>
      </c>
      <c r="E45" s="813" t="s">
        <v>534</v>
      </c>
      <c r="F45" s="813" t="s">
        <v>534</v>
      </c>
      <c r="G45" s="814" t="s">
        <v>535</v>
      </c>
      <c r="H45" s="814" t="s">
        <v>535</v>
      </c>
      <c r="I45" s="814" t="s">
        <v>535</v>
      </c>
      <c r="J45" s="814" t="s">
        <v>535</v>
      </c>
      <c r="K45" s="814" t="s">
        <v>535</v>
      </c>
      <c r="L45" s="814" t="s">
        <v>535</v>
      </c>
    </row>
    <row r="46" spans="1:12" ht="15.75" customHeight="1" x14ac:dyDescent="0.2">
      <c r="A46" s="825" t="s">
        <v>536</v>
      </c>
      <c r="B46" s="873" t="s">
        <v>537</v>
      </c>
      <c r="C46" s="75"/>
      <c r="D46" s="74">
        <v>195</v>
      </c>
      <c r="E46" s="852">
        <f t="shared" ref="E46:L46" si="17">E53+E54</f>
        <v>288.71499999999992</v>
      </c>
      <c r="F46" s="852">
        <f t="shared" si="17"/>
        <v>394.03074148571409</v>
      </c>
      <c r="G46" s="852">
        <f t="shared" si="17"/>
        <v>463.04359358857124</v>
      </c>
      <c r="H46" s="852">
        <f t="shared" si="17"/>
        <v>524.55936579478839</v>
      </c>
      <c r="I46" s="852">
        <f t="shared" si="17"/>
        <v>575.33015743662213</v>
      </c>
      <c r="J46" s="852">
        <f t="shared" si="17"/>
        <v>628.91597959900423</v>
      </c>
      <c r="K46" s="852">
        <f t="shared" si="17"/>
        <v>666.90624879432937</v>
      </c>
      <c r="L46" s="852">
        <f t="shared" si="17"/>
        <v>707.43055620245195</v>
      </c>
    </row>
    <row r="47" spans="1:12" ht="15.75" customHeight="1" x14ac:dyDescent="0.2">
      <c r="A47" s="821" t="s">
        <v>538</v>
      </c>
      <c r="B47" s="872" t="s">
        <v>539</v>
      </c>
      <c r="C47" s="75"/>
      <c r="D47" s="74">
        <v>130</v>
      </c>
      <c r="E47" s="866">
        <f>Assumptions!$F$122 + (Assumptions!$F$123-Assumptions!$F$122)*(E$5-2026)/7</f>
        <v>150</v>
      </c>
      <c r="F47" s="866">
        <f>Assumptions!$F$122 + (Assumptions!$F$123-Assumptions!$F$122)*(F$5-2026)/7</f>
        <v>153.71428571428572</v>
      </c>
      <c r="G47" s="866">
        <f>Assumptions!$F$122 + (Assumptions!$F$123-Assumptions!$F$122)*(G$5-2026)/7</f>
        <v>157.42857142857142</v>
      </c>
      <c r="H47" s="866">
        <f>Assumptions!$F$122 + (Assumptions!$F$123-Assumptions!$F$122)*(H$5-2026)/7</f>
        <v>161.14285714285714</v>
      </c>
      <c r="I47" s="866">
        <f>Assumptions!$F$122 + (Assumptions!$F$123-Assumptions!$F$122)*(I$5-2026)/7</f>
        <v>164.85714285714286</v>
      </c>
      <c r="J47" s="866">
        <f>Assumptions!$F$122 + (Assumptions!$F$123-Assumptions!$F$122)*(J$5-2026)/7</f>
        <v>168.57142857142858</v>
      </c>
      <c r="K47" s="866">
        <f>Assumptions!$F$122 + (Assumptions!$F$123-Assumptions!$F$122)*(K$5-2026)/7</f>
        <v>172.28571428571428</v>
      </c>
      <c r="L47" s="866">
        <f>Assumptions!$F$122 + (Assumptions!$F$123-Assumptions!$F$122)*(L$5-2026)/7</f>
        <v>176</v>
      </c>
    </row>
    <row r="48" spans="1:12" ht="15.75" customHeight="1" x14ac:dyDescent="0.2">
      <c r="A48" s="874" t="s">
        <v>540</v>
      </c>
      <c r="B48" s="872" t="s">
        <v>502</v>
      </c>
      <c r="C48" s="455"/>
      <c r="D48" s="455">
        <f t="shared" ref="D48" si="18">D46/D47</f>
        <v>1.5</v>
      </c>
      <c r="E48" s="867">
        <f t="shared" ref="E48:L48" si="19">E46/E47</f>
        <v>1.9247666666666661</v>
      </c>
      <c r="F48" s="867">
        <f t="shared" si="19"/>
        <v>2.5633970171003702</v>
      </c>
      <c r="G48" s="867">
        <f t="shared" si="19"/>
        <v>2.9412932442105255</v>
      </c>
      <c r="H48" s="867">
        <f t="shared" si="19"/>
        <v>3.2552442912797153</v>
      </c>
      <c r="I48" s="867">
        <f t="shared" si="19"/>
        <v>3.4898709723191983</v>
      </c>
      <c r="J48" s="867">
        <f t="shared" si="19"/>
        <v>3.7308575060957874</v>
      </c>
      <c r="K48" s="867">
        <f t="shared" si="19"/>
        <v>3.870931792338562</v>
      </c>
      <c r="L48" s="867">
        <f t="shared" si="19"/>
        <v>4.0194917966048402</v>
      </c>
    </row>
    <row r="49" spans="1:13" ht="15.75" customHeight="1" x14ac:dyDescent="0.2">
      <c r="A49" s="874" t="s">
        <v>541</v>
      </c>
      <c r="B49" s="469" t="s">
        <v>508</v>
      </c>
      <c r="C49" s="900"/>
      <c r="D49" s="34" t="s">
        <v>542</v>
      </c>
      <c r="E49" s="34">
        <f>D34/Assumptions!$F$124</f>
        <v>0.1</v>
      </c>
      <c r="F49" s="34">
        <f>E34/Assumptions!$F$124</f>
        <v>0.14889999999999998</v>
      </c>
      <c r="G49" s="34">
        <f>F34/Assumptions!$F$124</f>
        <v>0.20429079999999997</v>
      </c>
      <c r="H49" s="34">
        <f>G34/Assumptions!$F$124</f>
        <v>0.25618066319999994</v>
      </c>
      <c r="I49" s="34">
        <f>H34/Assumptions!$F$124</f>
        <v>0.3038302665551999</v>
      </c>
      <c r="J49" s="34">
        <f>I34/Assumptions!$F$124</f>
        <v>0.34545501307326232</v>
      </c>
      <c r="K49" s="34">
        <f>J34/Assumptions!$F$124</f>
        <v>0.3827641544851747</v>
      </c>
      <c r="L49" s="34">
        <f>K34/Assumptions!$F$124</f>
        <v>0.41261975853501831</v>
      </c>
    </row>
    <row r="50" spans="1:13" ht="15.75" customHeight="1" x14ac:dyDescent="0.2">
      <c r="A50" s="875" t="s">
        <v>543</v>
      </c>
      <c r="B50" s="470" t="s">
        <v>502</v>
      </c>
      <c r="C50" s="457"/>
      <c r="D50" s="457">
        <f t="shared" ref="D50" si="20">D48</f>
        <v>1.5</v>
      </c>
      <c r="E50" s="811">
        <f>E31</f>
        <v>1.6580999999999997</v>
      </c>
      <c r="F50" s="811">
        <f>F31</f>
        <v>2.0290103999999989</v>
      </c>
      <c r="G50" s="457">
        <f>G31</f>
        <v>2.151819559999999</v>
      </c>
      <c r="H50" s="457">
        <f>H31</f>
        <v>2.222442872839999</v>
      </c>
      <c r="I50" s="457">
        <f>I31</f>
        <v>2.2247063276051602</v>
      </c>
      <c r="J50" s="457">
        <f>J31</f>
        <v>2.2435693705025677</v>
      </c>
      <c r="K50" s="457">
        <f>K31</f>
        <v>2.1710976298178322</v>
      </c>
      <c r="L50" s="457">
        <f>L31</f>
        <v>2.1160827056957494</v>
      </c>
    </row>
    <row r="51" spans="1:13" x14ac:dyDescent="0.2">
      <c r="A51" s="876" t="s">
        <v>544</v>
      </c>
      <c r="B51" s="872" t="s">
        <v>508</v>
      </c>
      <c r="C51" s="165"/>
      <c r="D51" s="165"/>
      <c r="E51" s="905">
        <f>E46/'Revenue Build'!D20</f>
        <v>0.55377282491944146</v>
      </c>
      <c r="F51" s="905">
        <f>F46/'Revenue Build'!E20</f>
        <v>0.44809888635043194</v>
      </c>
      <c r="G51" s="906">
        <f>G46/'Revenue Build'!F20</f>
        <v>0.36028313079388724</v>
      </c>
      <c r="H51" s="906">
        <f>H46/'Revenue Build'!G20</f>
        <v>0.3039387902891067</v>
      </c>
      <c r="I51" s="906">
        <f>I46/'Revenue Build'!H20</f>
        <v>0.26612006276897299</v>
      </c>
      <c r="J51" s="906">
        <f>J46/'Revenue Build'!I20</f>
        <v>0.24359974487249494</v>
      </c>
      <c r="K51" s="906">
        <f>K46/'Revenue Build'!J20</f>
        <v>0.22360690607158559</v>
      </c>
      <c r="L51" s="906">
        <f>L46/'Revenue Build'!K20</f>
        <v>0.21083966550230332</v>
      </c>
    </row>
    <row r="52" spans="1:13" x14ac:dyDescent="0.2">
      <c r="A52" s="815" t="s">
        <v>545</v>
      </c>
      <c r="B52" s="816" t="s">
        <v>546</v>
      </c>
      <c r="C52" s="165"/>
      <c r="D52" s="165"/>
      <c r="E52" s="165"/>
      <c r="F52" s="165"/>
      <c r="G52" s="817">
        <f>(G46/'Revenue Build'!F20)-F51</f>
        <v>-8.7815755556544695E-2</v>
      </c>
      <c r="H52" s="165"/>
      <c r="I52" s="165"/>
      <c r="J52" s="165"/>
      <c r="K52" s="165"/>
      <c r="L52" s="165"/>
    </row>
    <row r="53" spans="1:13" x14ac:dyDescent="0.2">
      <c r="A53" s="849" t="s">
        <v>547</v>
      </c>
      <c r="B53" s="872" t="s">
        <v>537</v>
      </c>
      <c r="C53" s="165"/>
      <c r="D53" s="165"/>
      <c r="E53" s="868">
        <f t="shared" ref="E53:L53" si="21">E50*E47</f>
        <v>248.71499999999995</v>
      </c>
      <c r="F53" s="812">
        <f t="shared" si="21"/>
        <v>311.88788434285698</v>
      </c>
      <c r="G53" s="812">
        <f t="shared" si="21"/>
        <v>338.75787930285696</v>
      </c>
      <c r="H53" s="812">
        <f t="shared" si="21"/>
        <v>358.13079436621695</v>
      </c>
      <c r="I53" s="812">
        <f t="shared" si="21"/>
        <v>366.75872886519358</v>
      </c>
      <c r="J53" s="812">
        <f t="shared" si="21"/>
        <v>378.20169388471857</v>
      </c>
      <c r="K53" s="812">
        <f t="shared" si="21"/>
        <v>374.04910593718648</v>
      </c>
      <c r="L53" s="812">
        <f t="shared" si="21"/>
        <v>372.4305562024519</v>
      </c>
    </row>
    <row r="54" spans="1:13" x14ac:dyDescent="0.2">
      <c r="A54" s="849" t="s">
        <v>548</v>
      </c>
      <c r="B54" s="872" t="s">
        <v>537</v>
      </c>
      <c r="C54" s="165"/>
      <c r="D54" s="165"/>
      <c r="E54" s="869">
        <f>Assumptions!$F$125+(Assumptions!$F$126-Assumptions!$F$125)*(E$5-2026)/7</f>
        <v>40</v>
      </c>
      <c r="F54" s="866">
        <f>Assumptions!$F$125+(Assumptions!$F$126-Assumptions!$F$125)*(F$5-2026)/7</f>
        <v>82.142857142857139</v>
      </c>
      <c r="G54" s="866">
        <f>Assumptions!$F$125+(Assumptions!$F$126-Assumptions!$F$125)*(G$5-2026)/7</f>
        <v>124.28571428571429</v>
      </c>
      <c r="H54" s="866">
        <f>Assumptions!$F$125+(Assumptions!$F$126-Assumptions!$F$125)*(H$5-2026)/7</f>
        <v>166.42857142857144</v>
      </c>
      <c r="I54" s="866">
        <f>Assumptions!$F$125+(Assumptions!$F$126-Assumptions!$F$125)*(I$5-2026)/7</f>
        <v>208.57142857142858</v>
      </c>
      <c r="J54" s="866">
        <f>Assumptions!$F$125+(Assumptions!$F$126-Assumptions!$F$125)*(J$5-2026)/7</f>
        <v>250.71428571428572</v>
      </c>
      <c r="K54" s="866">
        <f>Assumptions!$F$125+(Assumptions!$F$126-Assumptions!$F$125)*(K$5-2026)/7</f>
        <v>292.85714285714289</v>
      </c>
      <c r="L54" s="866">
        <f>Assumptions!$F$125+(Assumptions!$F$126-Assumptions!$F$125)*(L$5-2026)/7</f>
        <v>335</v>
      </c>
    </row>
    <row r="55" spans="1:13" x14ac:dyDescent="0.2">
      <c r="A55" s="851" t="s">
        <v>549</v>
      </c>
      <c r="B55" s="872" t="s">
        <v>539</v>
      </c>
      <c r="C55" s="165"/>
      <c r="D55" s="165"/>
      <c r="E55" s="850">
        <f t="shared" ref="E55:L55" si="22">E46/E50</f>
        <v>174.12399734636028</v>
      </c>
      <c r="F55" s="850">
        <f t="shared" si="22"/>
        <v>194.19848290857175</v>
      </c>
      <c r="G55" s="850">
        <f t="shared" si="22"/>
        <v>215.18699903841912</v>
      </c>
      <c r="H55" s="850">
        <f t="shared" si="22"/>
        <v>236.02827870417579</v>
      </c>
      <c r="I55" s="850">
        <f t="shared" si="22"/>
        <v>258.60948490039601</v>
      </c>
      <c r="J55" s="850">
        <f t="shared" si="22"/>
        <v>280.31938208272328</v>
      </c>
      <c r="K55" s="850">
        <f t="shared" si="22"/>
        <v>307.17469340625036</v>
      </c>
      <c r="L55" s="850">
        <f t="shared" si="22"/>
        <v>334.31139260214076</v>
      </c>
    </row>
    <row r="56" spans="1:13" x14ac:dyDescent="0.2">
      <c r="A56" s="851" t="s">
        <v>550</v>
      </c>
      <c r="B56" s="872" t="s">
        <v>539</v>
      </c>
      <c r="C56" s="165"/>
      <c r="D56" s="165"/>
      <c r="E56" s="850">
        <f>Assumptions!$F$11*Assumptions!$F$36/Members!E40</f>
        <v>944.90358126721753</v>
      </c>
      <c r="F56" s="850">
        <f>Assumptions!$F$11*Assumptions!$F$36/Members!F40</f>
        <v>951.3101010119824</v>
      </c>
      <c r="G56" s="850">
        <f>Assumptions!$F$11*Assumptions!$F$37/Members!G40</f>
        <v>1098.7491963062066</v>
      </c>
      <c r="H56" s="850">
        <f>Assumptions!$F$11*Assumptions!$F$37/Members!H40</f>
        <v>1141.8293053564591</v>
      </c>
      <c r="I56" s="850">
        <f>Assumptions!$F$11*Assumptions!$F$37/Members!I40</f>
        <v>1179.3591917449289</v>
      </c>
      <c r="J56" s="850">
        <f>Assumptions!$F$11*Assumptions!$F$38/Members!J40</f>
        <v>1373.9763118360793</v>
      </c>
      <c r="K56" s="850">
        <f>Assumptions!$F$11*Assumptions!$F$38/Members!K40</f>
        <v>1400.693935985907</v>
      </c>
      <c r="L56" s="850">
        <f>Assumptions!$F$11*Assumptions!$F$38/Members!L40</f>
        <v>1427.0509034355659</v>
      </c>
    </row>
    <row r="57" spans="1:13" x14ac:dyDescent="0.2">
      <c r="A57" s="851" t="s">
        <v>551</v>
      </c>
      <c r="B57" s="872" t="s">
        <v>172</v>
      </c>
      <c r="C57" s="165"/>
      <c r="D57" s="165"/>
      <c r="E57" s="853">
        <f t="shared" ref="E57:L57" si="23">E56/E55</f>
        <v>5.4266131932846351</v>
      </c>
      <c r="F57" s="853">
        <f t="shared" si="23"/>
        <v>4.8986484691533727</v>
      </c>
      <c r="G57" s="853">
        <f t="shared" si="23"/>
        <v>5.1060203507463653</v>
      </c>
      <c r="H57" s="853">
        <f t="shared" si="23"/>
        <v>4.8376800933567878</v>
      </c>
      <c r="I57" s="853">
        <f t="shared" si="23"/>
        <v>4.5603864537264034</v>
      </c>
      <c r="J57" s="853">
        <f t="shared" si="23"/>
        <v>4.9014673963237181</v>
      </c>
      <c r="K57" s="853">
        <f t="shared" si="23"/>
        <v>4.5599262115431998</v>
      </c>
      <c r="L57" s="853">
        <f t="shared" si="23"/>
        <v>4.2686277973598079</v>
      </c>
    </row>
    <row r="58" spans="1:13" x14ac:dyDescent="0.2">
      <c r="A58" s="851" t="s">
        <v>552</v>
      </c>
      <c r="B58" s="872" t="s">
        <v>172</v>
      </c>
      <c r="C58" s="165"/>
      <c r="D58" s="165"/>
      <c r="E58" s="853">
        <f t="shared" ref="E58:L58" si="24">E56/E47</f>
        <v>6.2993572084481171</v>
      </c>
      <c r="F58" s="853">
        <f t="shared" si="24"/>
        <v>6.1888203597433797</v>
      </c>
      <c r="G58" s="853">
        <f t="shared" si="24"/>
        <v>6.9793506117454145</v>
      </c>
      <c r="H58" s="853">
        <f t="shared" si="24"/>
        <v>7.085820157353913</v>
      </c>
      <c r="I58" s="853">
        <f t="shared" si="24"/>
        <v>7.1538252532188062</v>
      </c>
      <c r="J58" s="853">
        <f t="shared" si="24"/>
        <v>8.1507069346208088</v>
      </c>
      <c r="K58" s="853">
        <f t="shared" si="24"/>
        <v>8.1300643050591628</v>
      </c>
      <c r="L58" s="853">
        <f t="shared" si="24"/>
        <v>8.1082437695202607</v>
      </c>
    </row>
    <row r="59" spans="1:13" x14ac:dyDescent="0.2">
      <c r="A59" s="854" t="s">
        <v>553</v>
      </c>
      <c r="B59" s="819"/>
      <c r="C59" s="901"/>
      <c r="D59" s="901"/>
      <c r="E59" s="901"/>
      <c r="F59" s="901"/>
      <c r="G59" s="901"/>
      <c r="H59" s="901"/>
      <c r="I59" s="901"/>
      <c r="J59" s="901"/>
      <c r="K59" s="901"/>
      <c r="L59" s="901"/>
      <c r="M59" s="856" t="s">
        <v>60</v>
      </c>
    </row>
    <row r="60" spans="1:13" x14ac:dyDescent="0.2">
      <c r="A60" s="821" t="s">
        <v>554</v>
      </c>
      <c r="B60" s="872" t="s">
        <v>555</v>
      </c>
      <c r="C60" s="165"/>
      <c r="D60" s="165"/>
      <c r="E60" s="832" t="str">
        <f t="shared" ref="E60:L60" si="25">IF(E$5&lt;=2027,IF(AND(E51&gt;=0.35,E51&lt;=0.55),"✓",IF(AND(E51&gt;=0.3,E51&lt;=0.6),"⚠","✗")),IF(E$5&lt;=2030,IF(AND(E51&gt;=0.2,E51&lt;=0.3),"✓",IF(AND(E51&gt;=0.17,E51&lt;=0.33),"⚠","✗")),IF(AND(E51&gt;=0.12,E51&lt;=0.18),"✓",IF(AND(E51&gt;=0.1,E51&lt;=0.2),"⚠","✗"))))</f>
        <v>⚠</v>
      </c>
      <c r="F60" s="835" t="str">
        <f t="shared" si="25"/>
        <v>✓</v>
      </c>
      <c r="G60" s="835" t="str">
        <f t="shared" si="25"/>
        <v>✗</v>
      </c>
      <c r="H60" s="835" t="str">
        <f t="shared" si="25"/>
        <v>⚠</v>
      </c>
      <c r="I60" s="835" t="str">
        <f t="shared" si="25"/>
        <v>✓</v>
      </c>
      <c r="J60" s="835" t="str">
        <f t="shared" si="25"/>
        <v>✗</v>
      </c>
      <c r="K60" s="835" t="str">
        <f t="shared" si="25"/>
        <v>✗</v>
      </c>
      <c r="L60" s="835" t="str">
        <f t="shared" si="25"/>
        <v>✗</v>
      </c>
      <c r="M60" s="857" t="s">
        <v>556</v>
      </c>
    </row>
    <row r="61" spans="1:13" x14ac:dyDescent="0.2">
      <c r="A61" s="821" t="s">
        <v>557</v>
      </c>
      <c r="B61" s="872" t="s">
        <v>555</v>
      </c>
      <c r="C61" s="165"/>
      <c r="D61" s="165"/>
      <c r="E61" s="832" t="str">
        <f>IF(E47&lt;=0.5*ARPU!E$10,"✓",IF(E47&lt;=0.6*ARPU!E$10,"⚠","✗"))</f>
        <v>⚠</v>
      </c>
      <c r="F61" s="835" t="str">
        <f>IF(F47&lt;=0.5*ARPU!F$10,"✓",IF(F47&lt;=0.6*ARPU!F$10,"⚠","✗"))</f>
        <v>⚠</v>
      </c>
      <c r="G61" s="835" t="str">
        <f>IF(G47&lt;=0.5*ARPU!G$10,"✓",IF(G47&lt;=0.6*ARPU!G$10,"⚠","✗"))</f>
        <v>⚠</v>
      </c>
      <c r="H61" s="835" t="str">
        <f>IF(H47&lt;=0.5*ARPU!H$10,"✓",IF(H47&lt;=0.6*ARPU!H$10,"⚠","✗"))</f>
        <v>⚠</v>
      </c>
      <c r="I61" s="835" t="str">
        <f>IF(I47&lt;=0.5*ARPU!I$10,"✓",IF(I47&lt;=0.6*ARPU!I$10,"⚠","✗"))</f>
        <v>⚠</v>
      </c>
      <c r="J61" s="835" t="str">
        <f>IF(J47&lt;=0.5*ARPU!J$10,"✓",IF(J47&lt;=0.6*ARPU!J$10,"⚠","✗"))</f>
        <v>⚠</v>
      </c>
      <c r="K61" s="835" t="str">
        <f>IF(K47&lt;=0.5*ARPU!K$10,"✓",IF(K47&lt;=0.6*ARPU!K$10,"⚠","✗"))</f>
        <v>⚠</v>
      </c>
      <c r="L61" s="835" t="str">
        <f>IF(L47&lt;=0.5*ARPU!L$10,"✓",IF(L47&lt;=0.6*ARPU!L$10,"⚠","✗"))</f>
        <v>⚠</v>
      </c>
    </row>
    <row r="62" spans="1:13" x14ac:dyDescent="0.2">
      <c r="A62" s="821" t="s">
        <v>558</v>
      </c>
      <c r="B62" s="872" t="s">
        <v>555</v>
      </c>
      <c r="C62" s="165"/>
      <c r="D62" s="165"/>
      <c r="E62" s="832" t="str">
        <f t="shared" ref="E62:L62" si="26">IF(E57&gt;=3,"✓",IF(E57&gt;=2,"⚠","✗"))</f>
        <v>✓</v>
      </c>
      <c r="F62" s="835" t="str">
        <f t="shared" si="26"/>
        <v>✓</v>
      </c>
      <c r="G62" s="835" t="str">
        <f t="shared" si="26"/>
        <v>✓</v>
      </c>
      <c r="H62" s="835" t="str">
        <f t="shared" si="26"/>
        <v>✓</v>
      </c>
      <c r="I62" s="835" t="str">
        <f t="shared" si="26"/>
        <v>✓</v>
      </c>
      <c r="J62" s="835" t="str">
        <f t="shared" si="26"/>
        <v>✓</v>
      </c>
      <c r="K62" s="835" t="str">
        <f t="shared" si="26"/>
        <v>✓</v>
      </c>
      <c r="L62" s="835" t="str">
        <f t="shared" si="26"/>
        <v>✓</v>
      </c>
    </row>
    <row r="63" spans="1:13" x14ac:dyDescent="0.2">
      <c r="A63" s="821" t="s">
        <v>559</v>
      </c>
      <c r="B63" s="872" t="s">
        <v>555</v>
      </c>
      <c r="C63" s="165"/>
      <c r="D63" s="165"/>
      <c r="E63" s="832" t="str">
        <f t="shared" ref="E63:L63" si="27">IF(E58&gt;=5,"✓",IF(E58&gt;=3,"⚠","✗"))</f>
        <v>✓</v>
      </c>
      <c r="F63" s="835" t="str">
        <f t="shared" si="27"/>
        <v>✓</v>
      </c>
      <c r="G63" s="835" t="str">
        <f t="shared" si="27"/>
        <v>✓</v>
      </c>
      <c r="H63" s="835" t="str">
        <f t="shared" si="27"/>
        <v>✓</v>
      </c>
      <c r="I63" s="835" t="str">
        <f t="shared" si="27"/>
        <v>✓</v>
      </c>
      <c r="J63" s="835" t="str">
        <f t="shared" si="27"/>
        <v>✓</v>
      </c>
      <c r="K63" s="835" t="str">
        <f t="shared" si="27"/>
        <v>✓</v>
      </c>
      <c r="L63" s="835" t="str">
        <f t="shared" si="27"/>
        <v>✓</v>
      </c>
    </row>
    <row r="64" spans="1:13" x14ac:dyDescent="0.2">
      <c r="A64" s="821" t="s">
        <v>560</v>
      </c>
      <c r="B64" s="872" t="s">
        <v>555</v>
      </c>
      <c r="C64" s="165"/>
      <c r="D64" s="165"/>
      <c r="E64" s="832" t="str">
        <f t="shared" ref="E64:L64" si="28">IF(E49&lt;=0.45,"✓",IF(E49&lt;=0.55,"⚠","✗"))</f>
        <v>✓</v>
      </c>
      <c r="F64" s="835" t="str">
        <f t="shared" si="28"/>
        <v>✓</v>
      </c>
      <c r="G64" s="835" t="str">
        <f t="shared" si="28"/>
        <v>✓</v>
      </c>
      <c r="H64" s="835" t="str">
        <f t="shared" si="28"/>
        <v>✓</v>
      </c>
      <c r="I64" s="835" t="str">
        <f t="shared" si="28"/>
        <v>✓</v>
      </c>
      <c r="J64" s="835" t="str">
        <f t="shared" si="28"/>
        <v>✓</v>
      </c>
      <c r="K64" s="835" t="str">
        <f t="shared" si="28"/>
        <v>✓</v>
      </c>
      <c r="L64" s="835" t="str">
        <f t="shared" si="28"/>
        <v>✓</v>
      </c>
    </row>
    <row r="65" spans="1:12" x14ac:dyDescent="0.2">
      <c r="A65" s="821" t="s">
        <v>561</v>
      </c>
      <c r="B65" s="872" t="s">
        <v>555</v>
      </c>
      <c r="C65" s="165"/>
      <c r="D65" s="165"/>
      <c r="E65" s="902" t="str">
        <f>IF(E46+F46&lt;=700,"✓",IF(E46+F46&lt;=800,"⚠","✗"))</f>
        <v>✓</v>
      </c>
      <c r="F65" s="903"/>
      <c r="G65" s="903"/>
      <c r="H65" s="903"/>
      <c r="I65" s="903"/>
      <c r="J65" s="903"/>
      <c r="K65" s="903"/>
      <c r="L65" s="903"/>
    </row>
    <row r="66" spans="1:12" ht="16" x14ac:dyDescent="0.2">
      <c r="A66" s="825" t="s">
        <v>562</v>
      </c>
      <c r="B66" s="873" t="s">
        <v>555</v>
      </c>
      <c r="C66" s="165"/>
      <c r="D66" s="165"/>
      <c r="E66" s="870" t="str">
        <f t="shared" ref="E66:L66" si="29">IF(COUNTIF(E60:E64,"✗")&gt;0,"✗",IF(COUNTIF(E60:E64,"⚠")&gt;0,"⚠","✓"))</f>
        <v>⚠</v>
      </c>
      <c r="F66" s="870" t="str">
        <f t="shared" si="29"/>
        <v>⚠</v>
      </c>
      <c r="G66" s="870" t="str">
        <f t="shared" si="29"/>
        <v>✗</v>
      </c>
      <c r="H66" s="870" t="str">
        <f t="shared" si="29"/>
        <v>⚠</v>
      </c>
      <c r="I66" s="870" t="str">
        <f t="shared" si="29"/>
        <v>⚠</v>
      </c>
      <c r="J66" s="870" t="str">
        <f t="shared" si="29"/>
        <v>✗</v>
      </c>
      <c r="K66" s="870" t="str">
        <f t="shared" si="29"/>
        <v>✗</v>
      </c>
      <c r="L66" s="870" t="str">
        <f t="shared" si="29"/>
        <v>✗</v>
      </c>
    </row>
    <row r="67" spans="1:12" x14ac:dyDescent="0.2">
      <c r="A67" s="851" t="s">
        <v>563</v>
      </c>
      <c r="B67" s="872" t="s">
        <v>564</v>
      </c>
      <c r="C67" s="165"/>
      <c r="D67" s="165"/>
      <c r="E67" s="855" t="str">
        <f>IF(ABS(Assumptions!$F$179)&lt;=0.15,"✓ triang.",IF(ABS(Assumptions!$F$179)&lt;=0.25,"⚠ wide","✗ diverged"))</f>
        <v>✓ triang.</v>
      </c>
      <c r="F67" s="904"/>
      <c r="G67" s="904"/>
      <c r="H67" s="904"/>
      <c r="I67" s="904"/>
      <c r="J67" s="904"/>
      <c r="K67" s="904"/>
      <c r="L67" s="904"/>
    </row>
  </sheetData>
  <mergeCells count="10">
    <mergeCell ref="A44:L44"/>
    <mergeCell ref="A1:L1"/>
    <mergeCell ref="A33:L33"/>
    <mergeCell ref="A14:L14"/>
    <mergeCell ref="A37:L37"/>
    <mergeCell ref="A19:L19"/>
    <mergeCell ref="A25:L25"/>
    <mergeCell ref="A2:L2"/>
    <mergeCell ref="A30:L30"/>
    <mergeCell ref="A8:L8"/>
  </mergeCells>
  <conditionalFormatting sqref="E65">
    <cfRule type="containsText" dxfId="11" priority="1" operator="containsText" text="✓">
      <formula>NOT(ISERROR(SEARCH("✓",E65)))</formula>
    </cfRule>
    <cfRule type="containsText" dxfId="10" priority="2" operator="containsText" text="⚠">
      <formula>NOT(ISERROR(SEARCH("⚠",E65)))</formula>
    </cfRule>
    <cfRule type="containsText" dxfId="9" priority="3" operator="containsText" text="✗">
      <formula>NOT(ISERROR(SEARCH("✗",E65)))</formula>
    </cfRule>
  </conditionalFormatting>
  <conditionalFormatting sqref="E67">
    <cfRule type="containsText" dxfId="8" priority="4" operator="containsText" text="✓">
      <formula>NOT(ISERROR(SEARCH("✓",E67)))</formula>
    </cfRule>
    <cfRule type="containsText" dxfId="7" priority="5" operator="containsText" text="⚠">
      <formula>NOT(ISERROR(SEARCH("⚠",E67)))</formula>
    </cfRule>
    <cfRule type="containsText" dxfId="6" priority="6" operator="containsText" text="✗">
      <formula>NOT(ISERROR(SEARCH("✗",E67)))</formula>
    </cfRule>
  </conditionalFormatting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N51"/>
  <sheetViews>
    <sheetView showGridLines="0" zoomScaleNormal="100" workbookViewId="0">
      <selection activeCell="G20" sqref="G20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4" width="33.33203125" customWidth="1"/>
  </cols>
  <sheetData>
    <row r="1" spans="1:14" ht="28" customHeight="1" x14ac:dyDescent="0.2">
      <c r="A1" s="960" t="s">
        <v>565</v>
      </c>
      <c r="B1" s="960"/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471"/>
      <c r="N1" s="471"/>
    </row>
    <row r="2" spans="1:14" ht="30" customHeight="1" x14ac:dyDescent="0.2">
      <c r="A2" s="967" t="s">
        <v>566</v>
      </c>
      <c r="B2" s="967"/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55"/>
      <c r="N2" s="55"/>
    </row>
    <row r="3" spans="1:14" ht="15.75" customHeight="1" x14ac:dyDescent="0.2"/>
    <row r="4" spans="1:14" ht="15.75" customHeight="1" x14ac:dyDescent="0.2"/>
    <row r="5" spans="1:14" ht="22" customHeight="1" x14ac:dyDescent="0.2">
      <c r="A5" s="450" t="s">
        <v>492</v>
      </c>
      <c r="B5" s="451" t="s">
        <v>567</v>
      </c>
      <c r="C5" s="449">
        <v>2024</v>
      </c>
      <c r="D5" s="449">
        <v>2025</v>
      </c>
      <c r="E5" s="449">
        <v>2026</v>
      </c>
      <c r="F5" s="449">
        <v>2027</v>
      </c>
      <c r="G5" s="449">
        <v>2028</v>
      </c>
      <c r="H5" s="449">
        <v>2029</v>
      </c>
      <c r="I5" s="449">
        <v>2030</v>
      </c>
      <c r="J5" s="449">
        <v>2031</v>
      </c>
      <c r="K5" s="449">
        <v>2032</v>
      </c>
      <c r="L5" s="449">
        <v>2033</v>
      </c>
    </row>
    <row r="6" spans="1:14" ht="15.75" customHeight="1" x14ac:dyDescent="0.2">
      <c r="C6" s="72"/>
      <c r="D6" s="72"/>
      <c r="E6" s="73"/>
      <c r="F6" s="73"/>
      <c r="G6" s="73"/>
      <c r="H6" s="73"/>
      <c r="I6" s="73"/>
      <c r="J6" s="73"/>
      <c r="K6" s="73"/>
      <c r="L6" s="73"/>
    </row>
    <row r="7" spans="1:14" ht="22" customHeight="1" thickBot="1" x14ac:dyDescent="0.25">
      <c r="A7" s="933" t="s">
        <v>568</v>
      </c>
      <c r="B7" s="969"/>
      <c r="C7" s="969"/>
      <c r="D7" s="969"/>
      <c r="E7" s="969"/>
      <c r="F7" s="969"/>
      <c r="G7" s="969"/>
      <c r="H7" s="969"/>
      <c r="I7" s="969"/>
      <c r="J7" s="969"/>
      <c r="K7" s="969"/>
      <c r="L7" s="969"/>
    </row>
    <row r="8" spans="1:14" ht="15.75" customHeight="1" x14ac:dyDescent="0.2">
      <c r="A8" s="472" t="s">
        <v>569</v>
      </c>
      <c r="B8" s="473" t="s">
        <v>570</v>
      </c>
      <c r="C8" s="474"/>
      <c r="D8" s="798">
        <f>D32</f>
        <v>274.39999999999998</v>
      </c>
      <c r="E8" s="475"/>
      <c r="F8" s="475"/>
      <c r="G8" s="475"/>
      <c r="H8" s="475"/>
      <c r="I8" s="475"/>
      <c r="J8" s="475"/>
      <c r="K8" s="475"/>
      <c r="L8" s="476"/>
    </row>
    <row r="9" spans="1:14" ht="15.75" customHeight="1" x14ac:dyDescent="0.2">
      <c r="A9" s="477" t="s">
        <v>571</v>
      </c>
      <c r="B9" s="27" t="s">
        <v>508</v>
      </c>
      <c r="C9" s="478"/>
      <c r="D9" s="479">
        <f>Assumptions!$F$151</f>
        <v>0.03</v>
      </c>
      <c r="E9" s="480"/>
      <c r="F9" s="480"/>
      <c r="G9" s="480"/>
      <c r="H9" s="480"/>
      <c r="I9" s="480"/>
      <c r="J9" s="480"/>
      <c r="K9" s="480"/>
      <c r="L9" s="481"/>
    </row>
    <row r="10" spans="1:14" ht="15.75" customHeight="1" thickBot="1" x14ac:dyDescent="0.25">
      <c r="A10" s="340" t="s">
        <v>572</v>
      </c>
      <c r="B10" s="482" t="s">
        <v>570</v>
      </c>
      <c r="C10" s="483">
        <v>0</v>
      </c>
      <c r="D10" s="799">
        <f>D8</f>
        <v>274.39999999999998</v>
      </c>
      <c r="E10" s="799">
        <f>D10*(1+$D$9)</f>
        <v>282.63200000000001</v>
      </c>
      <c r="F10" s="484">
        <f t="shared" ref="F10:L10" si="0">E10*(1+$D$9)</f>
        <v>291.11096000000003</v>
      </c>
      <c r="G10" s="484">
        <f t="shared" si="0"/>
        <v>299.84428880000002</v>
      </c>
      <c r="H10" s="484">
        <f t="shared" si="0"/>
        <v>308.83961746400001</v>
      </c>
      <c r="I10" s="484">
        <f t="shared" si="0"/>
        <v>318.10480598792003</v>
      </c>
      <c r="J10" s="484">
        <f t="shared" si="0"/>
        <v>327.64795016755767</v>
      </c>
      <c r="K10" s="484">
        <f t="shared" si="0"/>
        <v>337.47738867258442</v>
      </c>
      <c r="L10" s="485">
        <f t="shared" si="0"/>
        <v>347.60171033276197</v>
      </c>
    </row>
    <row r="11" spans="1:14" ht="15.75" customHeight="1" x14ac:dyDescent="0.2">
      <c r="A11" s="27"/>
      <c r="B11" s="27"/>
      <c r="C11" s="27"/>
      <c r="D11" s="486"/>
      <c r="E11" s="486"/>
      <c r="F11" s="486"/>
      <c r="G11" s="486"/>
      <c r="H11" s="486"/>
      <c r="I11" s="486"/>
      <c r="J11" s="486"/>
      <c r="K11" s="486"/>
      <c r="L11" s="486"/>
    </row>
    <row r="12" spans="1:14" ht="15.75" customHeight="1" x14ac:dyDescent="0.2">
      <c r="A12" s="27"/>
      <c r="B12" s="27"/>
      <c r="C12" s="27"/>
      <c r="D12" s="486"/>
      <c r="E12" s="486"/>
      <c r="F12" s="486"/>
      <c r="G12" s="486"/>
      <c r="H12" s="486"/>
      <c r="I12" s="486"/>
      <c r="J12" s="486"/>
      <c r="K12" s="486"/>
      <c r="L12" s="486"/>
    </row>
    <row r="13" spans="1:14" ht="22" customHeight="1" x14ac:dyDescent="0.2">
      <c r="A13" s="933" t="s">
        <v>573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</row>
    <row r="14" spans="1:14" ht="15.75" customHeight="1" x14ac:dyDescent="0.2">
      <c r="A14" s="487" t="s">
        <v>574</v>
      </c>
      <c r="B14" s="488"/>
      <c r="C14" s="488"/>
      <c r="D14" s="488"/>
      <c r="E14" s="488"/>
      <c r="F14" s="488"/>
      <c r="G14" s="488"/>
      <c r="H14" s="488"/>
      <c r="I14" s="488"/>
      <c r="J14" s="488"/>
      <c r="K14" s="488"/>
      <c r="L14" s="488"/>
    </row>
    <row r="15" spans="1:14" ht="15.75" customHeight="1" x14ac:dyDescent="0.2">
      <c r="A15" s="48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4" ht="15.75" customHeight="1" x14ac:dyDescent="0.2">
      <c r="A16" s="245" t="s">
        <v>575</v>
      </c>
      <c r="B16" s="27"/>
      <c r="C16" s="27"/>
      <c r="D16" s="479"/>
      <c r="E16" s="479"/>
      <c r="F16" s="480"/>
      <c r="G16" s="480"/>
      <c r="H16" s="480"/>
      <c r="I16" s="480"/>
      <c r="J16" s="480"/>
      <c r="K16" s="480"/>
      <c r="L16" s="480"/>
    </row>
    <row r="17" spans="1:12" ht="15.75" customHeight="1" x14ac:dyDescent="0.2">
      <c r="A17" s="490" t="s">
        <v>576</v>
      </c>
      <c r="B17" s="27" t="s">
        <v>570</v>
      </c>
      <c r="C17" s="27"/>
      <c r="D17" s="491">
        <v>258</v>
      </c>
      <c r="E17" s="492" t="s">
        <v>577</v>
      </c>
      <c r="F17" s="486"/>
      <c r="G17" s="486"/>
      <c r="H17" s="486"/>
      <c r="I17" s="486"/>
      <c r="J17" s="486"/>
      <c r="K17" s="486"/>
      <c r="L17" s="486"/>
    </row>
    <row r="18" spans="1:12" ht="15.75" customHeight="1" x14ac:dyDescent="0.2">
      <c r="A18" s="490" t="s">
        <v>578</v>
      </c>
      <c r="B18" s="27" t="s">
        <v>570</v>
      </c>
      <c r="C18" s="27"/>
      <c r="D18" s="491">
        <v>38</v>
      </c>
      <c r="E18" s="493"/>
      <c r="F18" s="494"/>
      <c r="G18" s="494"/>
      <c r="H18" s="494"/>
      <c r="I18" s="494"/>
      <c r="J18" s="494"/>
      <c r="K18" s="494"/>
      <c r="L18" s="494"/>
    </row>
    <row r="19" spans="1:12" ht="15.75" customHeight="1" x14ac:dyDescent="0.2">
      <c r="A19" s="490" t="s">
        <v>579</v>
      </c>
      <c r="B19" s="27" t="s">
        <v>570</v>
      </c>
      <c r="C19" s="27"/>
      <c r="D19" s="491">
        <v>18</v>
      </c>
      <c r="E19" s="495"/>
      <c r="F19" s="495"/>
      <c r="G19" s="495"/>
      <c r="H19" s="495"/>
      <c r="I19" s="495"/>
      <c r="J19" s="495"/>
      <c r="K19" s="495"/>
      <c r="L19" s="495"/>
    </row>
    <row r="20" spans="1:12" ht="15.75" customHeight="1" x14ac:dyDescent="0.2">
      <c r="A20" s="496" t="s">
        <v>580</v>
      </c>
      <c r="B20" s="27" t="s">
        <v>570</v>
      </c>
      <c r="C20" s="27"/>
      <c r="D20" s="497">
        <v>5</v>
      </c>
      <c r="E20" s="498"/>
      <c r="F20" s="498"/>
      <c r="G20" s="498"/>
      <c r="H20" s="498"/>
      <c r="I20" s="498"/>
      <c r="J20" s="498"/>
      <c r="K20" s="498"/>
      <c r="L20" s="498"/>
    </row>
    <row r="21" spans="1:12" ht="15.75" customHeight="1" x14ac:dyDescent="0.2">
      <c r="A21" s="499" t="s">
        <v>581</v>
      </c>
      <c r="B21" s="500" t="s">
        <v>570</v>
      </c>
      <c r="C21" s="500"/>
      <c r="D21" s="501">
        <f>SUM(D17:D20)</f>
        <v>319</v>
      </c>
      <c r="E21" s="27"/>
      <c r="F21" s="27"/>
      <c r="G21" s="27"/>
      <c r="H21" s="27"/>
      <c r="I21" s="27"/>
      <c r="J21" s="27"/>
      <c r="K21" s="27"/>
      <c r="L21" s="27"/>
    </row>
    <row r="22" spans="1:12" ht="15.75" customHeight="1" x14ac:dyDescent="0.2">
      <c r="A22" s="502" t="s">
        <v>582</v>
      </c>
      <c r="B22" s="27" t="s">
        <v>570</v>
      </c>
      <c r="C22" s="27"/>
      <c r="D22" s="491">
        <v>278</v>
      </c>
      <c r="E22" s="27"/>
      <c r="F22" s="27"/>
      <c r="G22" s="27"/>
      <c r="H22" s="27"/>
      <c r="I22" s="27"/>
      <c r="J22" s="27"/>
      <c r="K22" s="27"/>
      <c r="L22" s="27"/>
    </row>
    <row r="23" spans="1:12" ht="15.75" customHeight="1" x14ac:dyDescent="0.2">
      <c r="A23" s="246"/>
      <c r="B23" s="27"/>
      <c r="C23" s="27"/>
      <c r="D23" s="503"/>
      <c r="E23" s="287"/>
      <c r="F23" s="287"/>
      <c r="G23" s="287"/>
      <c r="H23" s="287"/>
      <c r="I23" s="287"/>
      <c r="J23" s="287"/>
      <c r="K23" s="287"/>
      <c r="L23" s="287"/>
    </row>
    <row r="24" spans="1:12" ht="15.75" customHeight="1" x14ac:dyDescent="0.2">
      <c r="A24" s="245" t="s">
        <v>583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1:12" ht="15.75" customHeight="1" x14ac:dyDescent="0.2">
      <c r="A25" s="502" t="s">
        <v>584</v>
      </c>
      <c r="B25" s="27" t="s">
        <v>570</v>
      </c>
      <c r="C25" s="27"/>
      <c r="D25" s="491">
        <v>260</v>
      </c>
      <c r="E25" s="30" t="s">
        <v>585</v>
      </c>
      <c r="F25" s="27"/>
      <c r="G25" s="27"/>
      <c r="H25" s="27"/>
      <c r="I25" s="27"/>
      <c r="J25" s="27"/>
      <c r="K25" s="27"/>
      <c r="L25" s="27"/>
    </row>
    <row r="26" spans="1:12" ht="15.75" customHeight="1" x14ac:dyDescent="0.2">
      <c r="A26" s="246"/>
      <c r="B26" s="27"/>
      <c r="C26" s="27"/>
      <c r="D26" s="504"/>
      <c r="E26" s="479"/>
      <c r="F26" s="478"/>
      <c r="G26" s="478"/>
      <c r="H26" s="478"/>
      <c r="I26" s="478"/>
      <c r="J26" s="478"/>
      <c r="K26" s="478"/>
      <c r="L26" s="478"/>
    </row>
    <row r="27" spans="1:12" ht="15.75" customHeight="1" x14ac:dyDescent="0.2">
      <c r="A27" s="245" t="s">
        <v>586</v>
      </c>
      <c r="B27" s="27"/>
      <c r="C27" s="27"/>
      <c r="D27" s="491"/>
      <c r="E27" s="503"/>
      <c r="F27" s="287"/>
      <c r="G27" s="287"/>
      <c r="H27" s="287"/>
      <c r="I27" s="287"/>
      <c r="J27" s="287"/>
      <c r="K27" s="287"/>
      <c r="L27" s="287"/>
    </row>
    <row r="28" spans="1:12" ht="15.75" customHeight="1" x14ac:dyDescent="0.2">
      <c r="A28" s="496" t="s">
        <v>587</v>
      </c>
      <c r="B28" s="27" t="s">
        <v>508</v>
      </c>
      <c r="C28" s="27"/>
      <c r="D28" s="505">
        <v>0.8</v>
      </c>
      <c r="E28" s="506" t="s">
        <v>588</v>
      </c>
      <c r="F28" s="294"/>
      <c r="G28" s="294"/>
      <c r="H28" s="294"/>
      <c r="I28" s="294"/>
      <c r="J28" s="294"/>
      <c r="K28" s="294"/>
      <c r="L28" s="294"/>
    </row>
    <row r="29" spans="1:12" ht="15.75" customHeight="1" x14ac:dyDescent="0.2">
      <c r="A29" s="490" t="s">
        <v>589</v>
      </c>
      <c r="B29" s="27" t="s">
        <v>508</v>
      </c>
      <c r="C29" s="27"/>
      <c r="D29" s="507">
        <v>0.2</v>
      </c>
      <c r="E29" s="27"/>
      <c r="F29" s="27"/>
      <c r="G29" s="27"/>
      <c r="H29" s="27"/>
      <c r="I29" s="27"/>
      <c r="J29" s="27"/>
      <c r="K29" s="27"/>
      <c r="L29" s="27"/>
    </row>
    <row r="30" spans="1:12" ht="15.75" customHeight="1" x14ac:dyDescent="0.2">
      <c r="A30" s="502" t="s">
        <v>590</v>
      </c>
      <c r="B30" s="508"/>
      <c r="C30" s="508"/>
      <c r="D30" s="509">
        <f>D28+D29</f>
        <v>1</v>
      </c>
      <c r="E30" s="510" t="s">
        <v>591</v>
      </c>
      <c r="F30" s="508"/>
      <c r="G30" s="508"/>
      <c r="H30" s="508"/>
      <c r="I30" s="508"/>
      <c r="J30" s="508"/>
      <c r="K30" s="508"/>
      <c r="L30" s="508"/>
    </row>
    <row r="31" spans="1:12" ht="15.75" customHeight="1" x14ac:dyDescent="0.2">
      <c r="A31" s="246"/>
      <c r="B31" s="27"/>
      <c r="C31" s="27"/>
      <c r="D31" s="287"/>
      <c r="E31" s="287"/>
      <c r="F31" s="287"/>
      <c r="G31" s="287"/>
      <c r="H31" s="287"/>
      <c r="I31" s="287"/>
      <c r="J31" s="287"/>
      <c r="K31" s="287"/>
      <c r="L31" s="287"/>
    </row>
    <row r="32" spans="1:12" ht="15.75" customHeight="1" x14ac:dyDescent="0.2">
      <c r="A32" s="511" t="s">
        <v>592</v>
      </c>
      <c r="B32" s="111"/>
      <c r="C32" s="111"/>
      <c r="D32" s="512">
        <f>D28*D22 + D29*D25</f>
        <v>274.39999999999998</v>
      </c>
      <c r="E32" s="287"/>
      <c r="F32" s="287"/>
      <c r="G32" s="287"/>
      <c r="H32" s="287"/>
      <c r="I32" s="287"/>
      <c r="J32" s="287"/>
      <c r="K32" s="287"/>
      <c r="L32" s="287"/>
    </row>
    <row r="33" spans="1:12" ht="15.75" customHeight="1" x14ac:dyDescent="0.2">
      <c r="A33" s="511" t="s">
        <v>593</v>
      </c>
      <c r="B33" s="111"/>
      <c r="C33" s="111"/>
      <c r="D33" s="512">
        <f>D28*D21 + D29*D25</f>
        <v>307.20000000000005</v>
      </c>
      <c r="E33" s="287"/>
      <c r="F33" s="287"/>
      <c r="G33" s="287"/>
      <c r="H33" s="287"/>
      <c r="I33" s="287"/>
      <c r="J33" s="287"/>
      <c r="K33" s="287"/>
      <c r="L33" s="287"/>
    </row>
    <row r="34" spans="1:12" ht="15.75" customHeight="1" x14ac:dyDescent="0.2">
      <c r="A34" s="489" t="s">
        <v>594</v>
      </c>
      <c r="B34" s="288"/>
      <c r="C34" s="288"/>
      <c r="D34" s="800">
        <f>D10</f>
        <v>274.39999999999998</v>
      </c>
      <c r="E34" s="287"/>
      <c r="F34" s="287"/>
      <c r="G34" s="287"/>
      <c r="H34" s="287"/>
      <c r="I34" s="287"/>
      <c r="J34" s="287"/>
      <c r="K34" s="287"/>
      <c r="L34" s="287"/>
    </row>
    <row r="35" spans="1:12" ht="15.75" customHeight="1" x14ac:dyDescent="0.2">
      <c r="A35" s="245" t="s">
        <v>595</v>
      </c>
      <c r="B35" s="27"/>
      <c r="C35" s="27"/>
      <c r="D35" s="801">
        <f>(D34-D32)/D32</f>
        <v>0</v>
      </c>
      <c r="E35" s="289"/>
      <c r="F35" s="289"/>
      <c r="G35" s="289"/>
      <c r="H35" s="289"/>
      <c r="I35" s="289"/>
      <c r="J35" s="289"/>
      <c r="K35" s="289"/>
      <c r="L35" s="289"/>
    </row>
    <row r="36" spans="1:12" ht="15.75" customHeight="1" x14ac:dyDescent="0.2">
      <c r="A36" s="245" t="s">
        <v>59</v>
      </c>
      <c r="B36" s="31"/>
      <c r="C36" s="31"/>
      <c r="D36" s="31" t="str">
        <f>IF(ABS(D35)&lt;=0.05,"✓ matches year-specific build","⚠ driver diverges from year-specific build — review")</f>
        <v>✓ matches year-specific build</v>
      </c>
      <c r="E36" s="27"/>
      <c r="F36" s="27"/>
      <c r="G36" s="27"/>
      <c r="H36" s="27"/>
      <c r="I36" s="27"/>
      <c r="J36" s="27"/>
      <c r="K36" s="27"/>
      <c r="L36" s="27"/>
    </row>
    <row r="37" spans="1:12" ht="15.75" customHeight="1" x14ac:dyDescent="0.2">
      <c r="A37" s="513" t="s">
        <v>596</v>
      </c>
      <c r="B37" s="27"/>
      <c r="C37" s="27"/>
      <c r="D37" s="27"/>
      <c r="E37" s="802">
        <f>(E10-D33)/D33</f>
        <v>-7.9973958333333456E-2</v>
      </c>
      <c r="F37" s="27"/>
      <c r="G37" s="27"/>
      <c r="H37" s="27"/>
      <c r="I37" s="27"/>
      <c r="J37" s="27"/>
      <c r="K37" s="27"/>
      <c r="L37" s="27"/>
    </row>
    <row r="38" spans="1:12" ht="22" customHeight="1" x14ac:dyDescent="0.2">
      <c r="A38" s="933" t="s">
        <v>597</v>
      </c>
      <c r="B38" s="971"/>
      <c r="C38" s="971"/>
      <c r="D38" s="971"/>
      <c r="E38" s="971"/>
      <c r="F38" s="971"/>
      <c r="G38" s="971"/>
      <c r="H38" s="971"/>
      <c r="I38" s="971"/>
      <c r="J38" s="971"/>
      <c r="K38" s="971"/>
      <c r="L38" s="971"/>
    </row>
    <row r="39" spans="1:12" ht="15.75" customHeight="1" x14ac:dyDescent="0.2">
      <c r="A39" s="514" t="s">
        <v>598</v>
      </c>
      <c r="B39" s="500" t="s">
        <v>537</v>
      </c>
      <c r="C39" s="500"/>
      <c r="D39" s="515">
        <f>Members!D35*D10</f>
        <v>521.3599999999999</v>
      </c>
      <c r="E39" s="500"/>
      <c r="F39" s="500"/>
      <c r="G39" s="500"/>
      <c r="H39" s="500"/>
      <c r="I39" s="500"/>
      <c r="J39" s="500"/>
      <c r="K39" s="500"/>
      <c r="L39" s="516"/>
    </row>
    <row r="40" spans="1:12" ht="15.75" customHeight="1" x14ac:dyDescent="0.2">
      <c r="A40" s="477" t="s">
        <v>599</v>
      </c>
      <c r="B40" s="27" t="s">
        <v>537</v>
      </c>
      <c r="C40" s="27"/>
      <c r="D40" s="503">
        <f>Assumptions!$F$12</f>
        <v>521.3599999999999</v>
      </c>
      <c r="E40" s="27"/>
      <c r="F40" s="27"/>
      <c r="G40" s="27"/>
      <c r="H40" s="27"/>
      <c r="I40" s="27"/>
      <c r="J40" s="27"/>
      <c r="K40" s="27"/>
      <c r="L40" s="517"/>
    </row>
    <row r="41" spans="1:12" ht="15.75" customHeight="1" x14ac:dyDescent="0.2">
      <c r="A41" s="477" t="s">
        <v>600</v>
      </c>
      <c r="B41" s="27"/>
      <c r="C41" s="27"/>
      <c r="D41" s="518">
        <f>(D39-D40)/D40</f>
        <v>0</v>
      </c>
      <c r="E41" s="27"/>
      <c r="F41" s="27"/>
      <c r="G41" s="27"/>
      <c r="H41" s="27"/>
      <c r="I41" s="27"/>
      <c r="J41" s="27"/>
      <c r="K41" s="27"/>
      <c r="L41" s="517"/>
    </row>
    <row r="42" spans="1:12" ht="15.75" customHeight="1" x14ac:dyDescent="0.2">
      <c r="A42" s="519" t="s">
        <v>601</v>
      </c>
      <c r="B42" s="520"/>
      <c r="C42" s="520"/>
      <c r="D42" s="520" t="str">
        <f>IF(ABS(D41)&lt;=0.05,"✓ within ±5%","⚠ outside ±5% — reconcile")</f>
        <v>✓ within ±5%</v>
      </c>
      <c r="E42" s="171"/>
      <c r="F42" s="171"/>
      <c r="G42" s="171"/>
      <c r="H42" s="171"/>
      <c r="I42" s="171"/>
      <c r="J42" s="171"/>
      <c r="K42" s="171"/>
      <c r="L42" s="5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</sheetData>
  <mergeCells count="5">
    <mergeCell ref="A7:L7"/>
    <mergeCell ref="A13:L13"/>
    <mergeCell ref="A38:L38"/>
    <mergeCell ref="A1:L1"/>
    <mergeCell ref="A2:L2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N51"/>
  <sheetViews>
    <sheetView showGridLines="0" workbookViewId="0">
      <selection activeCell="E29" sqref="E29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4" width="33.33203125" customWidth="1"/>
  </cols>
  <sheetData>
    <row r="1" spans="1:14" ht="28" customHeight="1" x14ac:dyDescent="0.25">
      <c r="A1" s="972" t="s">
        <v>602</v>
      </c>
      <c r="B1" s="972"/>
      <c r="C1" s="972"/>
      <c r="D1" s="972"/>
      <c r="E1" s="972"/>
      <c r="F1" s="972"/>
      <c r="G1" s="972"/>
      <c r="H1" s="972"/>
      <c r="I1" s="972"/>
      <c r="J1" s="972"/>
      <c r="K1" s="972"/>
      <c r="L1" s="972"/>
      <c r="M1" s="76"/>
      <c r="N1" s="76"/>
    </row>
    <row r="2" spans="1:14" ht="15.75" customHeight="1" x14ac:dyDescent="0.2">
      <c r="A2" s="973" t="s">
        <v>603</v>
      </c>
      <c r="B2" s="973"/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5"/>
      <c r="N2" s="5"/>
    </row>
    <row r="3" spans="1:14" ht="15.75" customHeight="1" x14ac:dyDescent="0.2"/>
    <row r="4" spans="1:14" ht="15.75" customHeight="1" x14ac:dyDescent="0.2"/>
    <row r="5" spans="1:14" ht="22" customHeight="1" x14ac:dyDescent="0.2">
      <c r="A5" s="366"/>
      <c r="B5" s="451" t="s">
        <v>495</v>
      </c>
      <c r="C5" s="449" t="s">
        <v>604</v>
      </c>
      <c r="D5" s="449" t="s">
        <v>605</v>
      </c>
      <c r="E5" s="449" t="s">
        <v>606</v>
      </c>
      <c r="F5" s="449" t="s">
        <v>607</v>
      </c>
      <c r="G5" s="449" t="s">
        <v>608</v>
      </c>
      <c r="H5" s="449" t="s">
        <v>609</v>
      </c>
      <c r="I5" s="449" t="s">
        <v>610</v>
      </c>
      <c r="J5" s="449" t="s">
        <v>611</v>
      </c>
      <c r="K5" s="449" t="s">
        <v>612</v>
      </c>
      <c r="L5" s="449" t="s">
        <v>613</v>
      </c>
    </row>
    <row r="6" spans="1:14" ht="15.75" customHeight="1" x14ac:dyDescent="0.2">
      <c r="A6" s="5"/>
      <c r="C6" s="452" t="s">
        <v>496</v>
      </c>
      <c r="D6" s="452" t="s">
        <v>496</v>
      </c>
      <c r="E6" s="452" t="s">
        <v>497</v>
      </c>
      <c r="F6" s="452" t="s">
        <v>497</v>
      </c>
      <c r="G6" s="452" t="s">
        <v>498</v>
      </c>
      <c r="H6" s="452" t="s">
        <v>498</v>
      </c>
      <c r="I6" s="452" t="s">
        <v>498</v>
      </c>
      <c r="J6" s="452" t="s">
        <v>499</v>
      </c>
      <c r="K6" s="452" t="s">
        <v>499</v>
      </c>
      <c r="L6" s="452" t="s">
        <v>499</v>
      </c>
    </row>
    <row r="7" spans="1:14" ht="15.75" customHeight="1" x14ac:dyDescent="0.2"/>
    <row r="8" spans="1:14" ht="22" customHeight="1" x14ac:dyDescent="0.2">
      <c r="A8" s="963" t="s">
        <v>614</v>
      </c>
      <c r="B8" s="945"/>
      <c r="C8" s="945"/>
      <c r="D8" s="945"/>
      <c r="E8" s="945"/>
      <c r="F8" s="945"/>
      <c r="G8" s="945"/>
      <c r="H8" s="945"/>
      <c r="I8" s="945"/>
      <c r="J8" s="945"/>
      <c r="K8" s="945"/>
      <c r="L8" s="945"/>
    </row>
    <row r="9" spans="1:14" ht="15.75" customHeight="1" x14ac:dyDescent="0.2">
      <c r="A9" s="18" t="s">
        <v>615</v>
      </c>
      <c r="B9" s="466" t="s">
        <v>502</v>
      </c>
      <c r="C9" s="453">
        <f>Members!C9</f>
        <v>0.7</v>
      </c>
      <c r="D9" s="453">
        <f>Members!D9</f>
        <v>1.3</v>
      </c>
      <c r="E9" s="453">
        <f>Members!E9</f>
        <v>2.5</v>
      </c>
      <c r="F9" s="453">
        <f>Members!F9</f>
        <v>3.7224999999999997</v>
      </c>
      <c r="G9" s="453">
        <f>Members!G9</f>
        <v>5.1072699999999989</v>
      </c>
      <c r="H9" s="453">
        <f>Members!H9</f>
        <v>6.4045165799999983</v>
      </c>
      <c r="I9" s="453">
        <f>Members!I9</f>
        <v>7.5957566638799978</v>
      </c>
      <c r="J9" s="453">
        <f>Members!J9</f>
        <v>8.6363753268315584</v>
      </c>
      <c r="K9" s="453">
        <f>Members!K9</f>
        <v>9.5691038621293671</v>
      </c>
      <c r="L9" s="453">
        <f>Members!L9</f>
        <v>10.315493963375458</v>
      </c>
    </row>
    <row r="10" spans="1:14" ht="15.75" customHeight="1" x14ac:dyDescent="0.2">
      <c r="A10" s="459" t="s">
        <v>616</v>
      </c>
      <c r="B10" s="467" t="s">
        <v>502</v>
      </c>
      <c r="C10" s="461">
        <f>Members!C31</f>
        <v>0.6</v>
      </c>
      <c r="D10" s="461">
        <f>Members!D31</f>
        <v>1.3559999999999999</v>
      </c>
      <c r="E10" s="461">
        <f>Members!E31</f>
        <v>1.6580999999999997</v>
      </c>
      <c r="F10" s="461">
        <f>Members!F31</f>
        <v>2.0290103999999989</v>
      </c>
      <c r="G10" s="461">
        <f>Members!G31</f>
        <v>2.151819559999999</v>
      </c>
      <c r="H10" s="461">
        <f>Members!H31</f>
        <v>2.222442872839999</v>
      </c>
      <c r="I10" s="461">
        <f>Members!I31</f>
        <v>2.2247063276051602</v>
      </c>
      <c r="J10" s="461">
        <f>Members!J31</f>
        <v>2.2435693705025677</v>
      </c>
      <c r="K10" s="461">
        <f>Members!K31</f>
        <v>2.1710976298178322</v>
      </c>
      <c r="L10" s="461">
        <f>Members!L31</f>
        <v>2.1160827056957494</v>
      </c>
    </row>
    <row r="11" spans="1:14" ht="15.75" customHeight="1" x14ac:dyDescent="0.2">
      <c r="A11" s="18" t="s">
        <v>617</v>
      </c>
      <c r="B11" s="466" t="s">
        <v>502</v>
      </c>
      <c r="C11" s="453">
        <f>Members!C23</f>
        <v>0.13850000000000001</v>
      </c>
      <c r="D11" s="453">
        <f>Members!D23</f>
        <v>0.156</v>
      </c>
      <c r="E11" s="453">
        <f>Members!E23</f>
        <v>0.43559999999999999</v>
      </c>
      <c r="F11" s="453">
        <f>Members!F23</f>
        <v>0.64424039999999994</v>
      </c>
      <c r="G11" s="453">
        <f>Members!G23</f>
        <v>0.8545729799999997</v>
      </c>
      <c r="H11" s="453">
        <f>Members!H23</f>
        <v>1.0312027889599995</v>
      </c>
      <c r="I11" s="453">
        <f>Members!I23</f>
        <v>1.1840876646535996</v>
      </c>
      <c r="J11" s="453">
        <f>Members!J23</f>
        <v>1.3108408352047589</v>
      </c>
      <c r="K11" s="453">
        <f>Members!K23</f>
        <v>1.4247075285717414</v>
      </c>
      <c r="L11" s="453">
        <f>Members!L23</f>
        <v>1.5074685618565979</v>
      </c>
    </row>
    <row r="12" spans="1:14" ht="15.75" customHeight="1" x14ac:dyDescent="0.2">
      <c r="A12" s="459" t="s">
        <v>523</v>
      </c>
      <c r="B12" s="467" t="s">
        <v>502</v>
      </c>
      <c r="C12" s="461">
        <f>Members!C34</f>
        <v>1.1615</v>
      </c>
      <c r="D12" s="461">
        <f>Members!D34</f>
        <v>2.5</v>
      </c>
      <c r="E12" s="461">
        <f>Members!E34</f>
        <v>3.7224999999999997</v>
      </c>
      <c r="F12" s="461">
        <f>Members!F34</f>
        <v>5.1072699999999989</v>
      </c>
      <c r="G12" s="461">
        <f>Members!G34</f>
        <v>6.4045165799999983</v>
      </c>
      <c r="H12" s="461">
        <f>Members!H34</f>
        <v>7.5957566638799978</v>
      </c>
      <c r="I12" s="461">
        <f>Members!I34</f>
        <v>8.6363753268315584</v>
      </c>
      <c r="J12" s="461">
        <f>Members!J34</f>
        <v>9.5691038621293671</v>
      </c>
      <c r="K12" s="461">
        <f>Members!K34</f>
        <v>10.315493963375458</v>
      </c>
      <c r="L12" s="461">
        <f>Members!L34</f>
        <v>10.924108107214609</v>
      </c>
    </row>
    <row r="13" spans="1:14" ht="15.75" customHeight="1" x14ac:dyDescent="0.2">
      <c r="A13" s="18" t="s">
        <v>618</v>
      </c>
      <c r="B13" s="466" t="s">
        <v>502</v>
      </c>
      <c r="C13" s="453">
        <f>Members!C35</f>
        <v>0.93074999999999997</v>
      </c>
      <c r="D13" s="453">
        <f>Members!D35</f>
        <v>1.9</v>
      </c>
      <c r="E13" s="453">
        <f>Members!E35</f>
        <v>3.1112500000000001</v>
      </c>
      <c r="F13" s="453">
        <f>Members!F35</f>
        <v>4.4148849999999991</v>
      </c>
      <c r="G13" s="453">
        <f>Members!G35</f>
        <v>5.7558932899999986</v>
      </c>
      <c r="H13" s="453">
        <f>Members!H35</f>
        <v>7.0001366219399976</v>
      </c>
      <c r="I13" s="453">
        <f>Members!I35</f>
        <v>8.116065995355779</v>
      </c>
      <c r="J13" s="453">
        <f>Members!J35</f>
        <v>9.1027395944804628</v>
      </c>
      <c r="K13" s="453">
        <f>Members!K35</f>
        <v>9.9422989127524133</v>
      </c>
      <c r="L13" s="453">
        <f>Members!L35</f>
        <v>10.619801035295033</v>
      </c>
    </row>
    <row r="14" spans="1:14" ht="15.75" customHeight="1" x14ac:dyDescent="0.2">
      <c r="A14" s="459" t="s">
        <v>619</v>
      </c>
      <c r="B14" s="467" t="s">
        <v>508</v>
      </c>
      <c r="C14" s="462">
        <f>IFERROR(Members!C23/Members!C9, 0)</f>
        <v>0.1978571428571429</v>
      </c>
      <c r="D14" s="462">
        <f>IFERROR(Members!D23/Members!D9, 0)</f>
        <v>0.12</v>
      </c>
      <c r="E14" s="462">
        <f>IFERROR(Members!E23/Members!E9, 0)</f>
        <v>0.17424000000000001</v>
      </c>
      <c r="F14" s="462">
        <f>IFERROR(Members!F23/Members!F9, 0)</f>
        <v>0.17306659503022162</v>
      </c>
      <c r="G14" s="462">
        <f>IFERROR(Members!G23/Members!G9, 0)</f>
        <v>0.16732480953621012</v>
      </c>
      <c r="H14" s="462">
        <f>IFERROR(Members!H23/Members!H9, 0)</f>
        <v>0.16101180722683051</v>
      </c>
      <c r="I14" s="462">
        <f>IFERROR(Members!I23/Members!I9, 0)</f>
        <v>0.15588804605659318</v>
      </c>
      <c r="J14" s="462">
        <f>IFERROR(Members!J23/Members!J9, 0)</f>
        <v>0.15178136493584621</v>
      </c>
      <c r="K14" s="462">
        <f>IFERROR(Members!K23/Members!K9, 0)</f>
        <v>0.14888620179055179</v>
      </c>
      <c r="L14" s="462">
        <f>IFERROR(Members!L23/Members!L9, 0)</f>
        <v>0.14613634278773024</v>
      </c>
    </row>
    <row r="15" spans="1:14" ht="15.75" customHeight="1" x14ac:dyDescent="0.2">
      <c r="A15" s="3"/>
      <c r="B15" s="368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4" ht="22" customHeight="1" x14ac:dyDescent="0.2">
      <c r="A16" s="963" t="s">
        <v>620</v>
      </c>
      <c r="B16" s="945"/>
      <c r="C16" s="945"/>
      <c r="D16" s="945"/>
      <c r="E16" s="945"/>
      <c r="F16" s="945"/>
      <c r="G16" s="945"/>
      <c r="H16" s="945"/>
      <c r="I16" s="945"/>
      <c r="J16" s="945"/>
      <c r="K16" s="945"/>
      <c r="L16" s="945"/>
    </row>
    <row r="17" spans="1:12" ht="15.75" customHeight="1" x14ac:dyDescent="0.2">
      <c r="A17" s="18" t="s">
        <v>621</v>
      </c>
      <c r="B17" s="466" t="s">
        <v>570</v>
      </c>
      <c r="C17" s="77">
        <f>ARPU!C10</f>
        <v>0</v>
      </c>
      <c r="D17" s="77">
        <f>ARPU!D10</f>
        <v>274.39999999999998</v>
      </c>
      <c r="E17" s="77">
        <f>ARPU!E10</f>
        <v>282.63200000000001</v>
      </c>
      <c r="F17" s="77">
        <f>ARPU!F10</f>
        <v>291.11096000000003</v>
      </c>
      <c r="G17" s="77">
        <f>ARPU!G10</f>
        <v>299.84428880000002</v>
      </c>
      <c r="H17" s="77">
        <f>ARPU!H10</f>
        <v>308.83961746400001</v>
      </c>
      <c r="I17" s="77">
        <f>ARPU!I10</f>
        <v>318.10480598792003</v>
      </c>
      <c r="J17" s="77">
        <f>ARPU!J10</f>
        <v>327.64795016755767</v>
      </c>
      <c r="K17" s="77">
        <f>ARPU!K10</f>
        <v>337.47738867258442</v>
      </c>
      <c r="L17" s="77">
        <f>ARPU!L10</f>
        <v>347.60171033276197</v>
      </c>
    </row>
    <row r="18" spans="1:12" ht="15.75" customHeight="1" x14ac:dyDescent="0.2">
      <c r="A18" s="3"/>
      <c r="B18" s="368"/>
      <c r="C18" s="11"/>
      <c r="D18" s="12"/>
      <c r="E18" s="11"/>
      <c r="F18" s="11"/>
      <c r="G18" s="11"/>
      <c r="H18" s="11"/>
      <c r="I18" s="11"/>
      <c r="J18" s="11"/>
      <c r="K18" s="11"/>
      <c r="L18" s="11"/>
    </row>
    <row r="19" spans="1:12" ht="22" customHeight="1" x14ac:dyDescent="0.2">
      <c r="A19" s="963" t="s">
        <v>622</v>
      </c>
      <c r="B19" s="945"/>
      <c r="C19" s="945"/>
      <c r="D19" s="945"/>
      <c r="E19" s="945"/>
      <c r="F19" s="945"/>
      <c r="G19" s="945"/>
      <c r="H19" s="945"/>
      <c r="I19" s="945"/>
      <c r="J19" s="945"/>
      <c r="K19" s="945"/>
      <c r="L19" s="945"/>
    </row>
    <row r="20" spans="1:12" ht="15.75" customHeight="1" thickBot="1" x14ac:dyDescent="0.25">
      <c r="A20" s="522" t="s">
        <v>623</v>
      </c>
      <c r="B20" s="528" t="s">
        <v>537</v>
      </c>
      <c r="C20" s="523">
        <f t="shared" ref="C20:L20" si="0">C13*C17</f>
        <v>0</v>
      </c>
      <c r="D20" s="523">
        <f t="shared" si="0"/>
        <v>521.3599999999999</v>
      </c>
      <c r="E20" s="523">
        <f t="shared" si="0"/>
        <v>879.33881000000008</v>
      </c>
      <c r="F20" s="523">
        <f t="shared" si="0"/>
        <v>1285.2214106396</v>
      </c>
      <c r="G20" s="523">
        <f t="shared" si="0"/>
        <v>1725.8717299487419</v>
      </c>
      <c r="H20" s="523">
        <f t="shared" si="0"/>
        <v>2161.9195165156862</v>
      </c>
      <c r="I20" s="523">
        <f t="shared" si="0"/>
        <v>2581.7595988378052</v>
      </c>
      <c r="J20" s="523">
        <f t="shared" si="0"/>
        <v>2982.4939690405886</v>
      </c>
      <c r="K20" s="523">
        <f t="shared" si="0"/>
        <v>3355.3010744779599</v>
      </c>
      <c r="L20" s="523">
        <f t="shared" si="0"/>
        <v>3691.4610032621899</v>
      </c>
    </row>
    <row r="21" spans="1:12" ht="24" customHeight="1" thickTop="1" x14ac:dyDescent="0.2">
      <c r="A21" s="465" t="s">
        <v>624</v>
      </c>
      <c r="B21" s="529" t="s">
        <v>537</v>
      </c>
      <c r="C21" s="524">
        <f>C20*Assumptions!$F$28</f>
        <v>0</v>
      </c>
      <c r="D21" s="524">
        <f>D20*Assumptions!$F$28</f>
        <v>-41.708799999999989</v>
      </c>
      <c r="E21" s="524">
        <f>E20*Assumptions!$F$28</f>
        <v>-70.347104800000011</v>
      </c>
      <c r="F21" s="524">
        <f>F20*Assumptions!$F$28</f>
        <v>-102.817712851168</v>
      </c>
      <c r="G21" s="524">
        <f>G20*Assumptions!$F$28</f>
        <v>-138.06973839589935</v>
      </c>
      <c r="H21" s="524">
        <f>H20*Assumptions!$F$28</f>
        <v>-172.95356132125491</v>
      </c>
      <c r="I21" s="524">
        <f>I20*Assumptions!$F$28</f>
        <v>-206.54076790702442</v>
      </c>
      <c r="J21" s="524">
        <f>J20*Assumptions!$F$28</f>
        <v>-238.5995175232471</v>
      </c>
      <c r="K21" s="524">
        <f>K20*Assumptions!$F$28</f>
        <v>-268.42408595823679</v>
      </c>
      <c r="L21" s="524">
        <f>L20*Assumptions!$F$28</f>
        <v>-295.31688026097521</v>
      </c>
    </row>
    <row r="22" spans="1:12" ht="15.75" customHeight="1" x14ac:dyDescent="0.2">
      <c r="A22" s="459" t="s">
        <v>625</v>
      </c>
      <c r="B22" s="467" t="s">
        <v>508</v>
      </c>
      <c r="C22" s="463"/>
      <c r="D22" s="463">
        <f>IFERROR(D20/C20-1,0)</f>
        <v>0</v>
      </c>
      <c r="E22" s="463">
        <f t="shared" ref="E22:L22" si="1">E20/D20-1</f>
        <v>0.68662500000000048</v>
      </c>
      <c r="F22" s="463">
        <f t="shared" si="1"/>
        <v>0.46157703495379665</v>
      </c>
      <c r="G22" s="463">
        <f t="shared" si="1"/>
        <v>0.34285946037099468</v>
      </c>
      <c r="H22" s="463">
        <f t="shared" si="1"/>
        <v>0.25265364685004421</v>
      </c>
      <c r="I22" s="463">
        <f t="shared" si="1"/>
        <v>0.19419783165599314</v>
      </c>
      <c r="J22" s="463">
        <f t="shared" si="1"/>
        <v>0.15521753860552168</v>
      </c>
      <c r="K22" s="463">
        <f t="shared" si="1"/>
        <v>0.12499844402277072</v>
      </c>
      <c r="L22" s="463">
        <f t="shared" si="1"/>
        <v>0.10018770933589982</v>
      </c>
    </row>
    <row r="23" spans="1:12" ht="15.75" customHeight="1" x14ac:dyDescent="0.2">
      <c r="A23" s="18"/>
      <c r="B23" s="466"/>
      <c r="C23" s="13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22" customHeight="1" x14ac:dyDescent="0.2">
      <c r="A24" s="963" t="s">
        <v>626</v>
      </c>
      <c r="B24" s="945"/>
      <c r="C24" s="945"/>
      <c r="D24" s="945"/>
      <c r="E24" s="945"/>
      <c r="F24" s="945"/>
      <c r="G24" s="945"/>
      <c r="H24" s="945"/>
      <c r="I24" s="945"/>
      <c r="J24" s="945"/>
      <c r="K24" s="945"/>
      <c r="L24" s="945"/>
    </row>
    <row r="25" spans="1:12" ht="15.75" customHeight="1" x14ac:dyDescent="0.2">
      <c r="A25" s="18" t="s">
        <v>627</v>
      </c>
      <c r="B25" s="466" t="s">
        <v>537</v>
      </c>
      <c r="C25" s="57">
        <f t="shared" ref="C25:L25" si="2">C12*C17</f>
        <v>0</v>
      </c>
      <c r="D25" s="57">
        <f t="shared" si="2"/>
        <v>686</v>
      </c>
      <c r="E25" s="57">
        <f t="shared" si="2"/>
        <v>1052.09762</v>
      </c>
      <c r="F25" s="57">
        <f t="shared" si="2"/>
        <v>1486.7822726791999</v>
      </c>
      <c r="G25" s="57">
        <f t="shared" si="2"/>
        <v>1920.3577190379078</v>
      </c>
      <c r="H25" s="57">
        <f t="shared" si="2"/>
        <v>2345.8705824223275</v>
      </c>
      <c r="I25" s="57">
        <f t="shared" si="2"/>
        <v>2747.2724977806124</v>
      </c>
      <c r="J25" s="57">
        <f t="shared" si="2"/>
        <v>3135.2972653671463</v>
      </c>
      <c r="K25" s="57">
        <f t="shared" si="2"/>
        <v>3481.2459656277579</v>
      </c>
      <c r="L25" s="57">
        <f t="shared" si="2"/>
        <v>3797.2386619277891</v>
      </c>
    </row>
    <row r="26" spans="1:12" ht="15.75" customHeight="1" x14ac:dyDescent="0.2">
      <c r="A26" s="459" t="s">
        <v>628</v>
      </c>
      <c r="B26" s="467" t="s">
        <v>172</v>
      </c>
      <c r="C26" s="527">
        <f t="shared" ref="C26:L26" si="3">IFERROR(C25/C20, 0)</f>
        <v>0</v>
      </c>
      <c r="D26" s="527">
        <f t="shared" si="3"/>
        <v>1.3157894736842108</v>
      </c>
      <c r="E26" s="527">
        <f t="shared" si="3"/>
        <v>1.196464443551627</v>
      </c>
      <c r="F26" s="527">
        <f t="shared" si="3"/>
        <v>1.1568296795952782</v>
      </c>
      <c r="G26" s="527">
        <f t="shared" si="3"/>
        <v>1.1126885536823423</v>
      </c>
      <c r="H26" s="527">
        <f t="shared" si="3"/>
        <v>1.0850869167429096</v>
      </c>
      <c r="I26" s="527">
        <f t="shared" si="3"/>
        <v>1.0641085634066447</v>
      </c>
      <c r="J26" s="527">
        <f t="shared" si="3"/>
        <v>1.0512333965844403</v>
      </c>
      <c r="K26" s="527">
        <f t="shared" si="3"/>
        <v>1.0375360923965351</v>
      </c>
      <c r="L26" s="527">
        <f t="shared" si="3"/>
        <v>1.0286546867411364</v>
      </c>
    </row>
    <row r="27" spans="1:12" ht="15.75" customHeight="1" x14ac:dyDescent="0.2">
      <c r="A27" s="18" t="s">
        <v>629</v>
      </c>
      <c r="B27" s="466" t="s">
        <v>508</v>
      </c>
      <c r="C27" s="525"/>
      <c r="D27" s="526">
        <f>D20/Assumptions!$F$12-1</f>
        <v>0</v>
      </c>
      <c r="E27" s="525"/>
      <c r="F27" s="525"/>
      <c r="G27" s="525"/>
      <c r="H27" s="525"/>
      <c r="I27" s="525"/>
      <c r="J27" s="525"/>
      <c r="K27" s="525"/>
      <c r="L27" s="525"/>
    </row>
    <row r="28" spans="1:12" ht="15.75" customHeight="1" x14ac:dyDescent="0.2">
      <c r="A28" s="18"/>
      <c r="B28" s="73"/>
      <c r="C28" s="3"/>
      <c r="D28" s="19"/>
      <c r="E28" s="3"/>
      <c r="F28" s="3"/>
      <c r="G28" s="3"/>
      <c r="H28" s="3"/>
      <c r="I28" s="3"/>
      <c r="J28" s="3"/>
      <c r="K28" s="3"/>
      <c r="L28" s="3"/>
    </row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</sheetData>
  <mergeCells count="6">
    <mergeCell ref="A16:L16"/>
    <mergeCell ref="A8:L8"/>
    <mergeCell ref="A19:L19"/>
    <mergeCell ref="A24:L24"/>
    <mergeCell ref="A1:L1"/>
    <mergeCell ref="A2:L2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N51"/>
  <sheetViews>
    <sheetView showGridLines="0" topLeftCell="A5" workbookViewId="0">
      <selection activeCell="C37" sqref="A37:L44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4" width="33.33203125" customWidth="1"/>
  </cols>
  <sheetData>
    <row r="1" spans="1:14" ht="28" customHeight="1" x14ac:dyDescent="0.25">
      <c r="A1" s="972" t="s">
        <v>630</v>
      </c>
      <c r="B1" s="972"/>
      <c r="C1" s="972"/>
      <c r="D1" s="972"/>
      <c r="E1" s="972"/>
      <c r="F1" s="972"/>
      <c r="G1" s="972"/>
      <c r="H1" s="972"/>
      <c r="I1" s="972"/>
      <c r="J1" s="972"/>
      <c r="K1" s="972"/>
      <c r="L1" s="972"/>
      <c r="M1" s="76"/>
      <c r="N1" s="76"/>
    </row>
    <row r="2" spans="1:14" ht="15.75" customHeight="1" x14ac:dyDescent="0.2">
      <c r="A2" s="973" t="s">
        <v>631</v>
      </c>
      <c r="B2" s="973"/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5"/>
      <c r="N2" s="5"/>
    </row>
    <row r="3" spans="1:14" ht="15.75" customHeight="1" x14ac:dyDescent="0.2">
      <c r="A3" s="976" t="s">
        <v>632</v>
      </c>
      <c r="B3" s="977"/>
      <c r="C3" s="977"/>
      <c r="D3" s="977"/>
      <c r="E3" s="977"/>
      <c r="F3" s="977"/>
      <c r="G3" s="977"/>
      <c r="H3" s="977"/>
      <c r="I3" s="977"/>
      <c r="J3" s="977"/>
      <c r="K3" s="977"/>
      <c r="L3" s="977"/>
    </row>
    <row r="4" spans="1:14" ht="15.75" customHeight="1" x14ac:dyDescent="0.2"/>
    <row r="5" spans="1:14" ht="22" customHeight="1" x14ac:dyDescent="0.2">
      <c r="A5" s="366"/>
      <c r="B5" s="366" t="s">
        <v>495</v>
      </c>
      <c r="C5" s="366" t="s">
        <v>604</v>
      </c>
      <c r="D5" s="366" t="s">
        <v>605</v>
      </c>
      <c r="E5" s="366" t="s">
        <v>606</v>
      </c>
      <c r="F5" s="366" t="s">
        <v>607</v>
      </c>
      <c r="G5" s="366" t="s">
        <v>608</v>
      </c>
      <c r="H5" s="366" t="s">
        <v>609</v>
      </c>
      <c r="I5" s="366" t="s">
        <v>610</v>
      </c>
      <c r="J5" s="366" t="s">
        <v>611</v>
      </c>
      <c r="K5" s="366" t="s">
        <v>612</v>
      </c>
      <c r="L5" s="366" t="s">
        <v>613</v>
      </c>
    </row>
    <row r="6" spans="1:14" ht="15.75" customHeight="1" x14ac:dyDescent="0.2"/>
    <row r="7" spans="1:14" ht="22" customHeight="1" x14ac:dyDescent="0.2">
      <c r="A7" s="927" t="s">
        <v>633</v>
      </c>
      <c r="B7" s="978"/>
      <c r="C7" s="978"/>
      <c r="D7" s="978"/>
      <c r="E7" s="978"/>
      <c r="F7" s="978"/>
      <c r="G7" s="978"/>
      <c r="H7" s="978"/>
      <c r="I7" s="978"/>
      <c r="J7" s="978"/>
      <c r="K7" s="978"/>
      <c r="L7" s="978"/>
    </row>
    <row r="8" spans="1:14" ht="15.75" customHeight="1" x14ac:dyDescent="0.2">
      <c r="A8" s="531" t="s">
        <v>634</v>
      </c>
      <c r="B8" s="552" t="s">
        <v>537</v>
      </c>
      <c r="C8" s="532">
        <f>'Revenue Build'!C20</f>
        <v>0</v>
      </c>
      <c r="D8" s="532">
        <f>'Revenue Build'!D20</f>
        <v>521.3599999999999</v>
      </c>
      <c r="E8" s="532">
        <f>'Revenue Build'!E20</f>
        <v>879.33881000000008</v>
      </c>
      <c r="F8" s="532">
        <f>'Revenue Build'!F20</f>
        <v>1285.2214106396</v>
      </c>
      <c r="G8" s="532">
        <f>'Revenue Build'!G20</f>
        <v>1725.8717299487419</v>
      </c>
      <c r="H8" s="532">
        <f>'Revenue Build'!H20</f>
        <v>2161.9195165156862</v>
      </c>
      <c r="I8" s="532">
        <f>'Revenue Build'!I20</f>
        <v>2581.7595988378052</v>
      </c>
      <c r="J8" s="532">
        <f>'Revenue Build'!J20</f>
        <v>2982.4939690405886</v>
      </c>
      <c r="K8" s="532">
        <f>'Revenue Build'!K20</f>
        <v>3355.3010744779599</v>
      </c>
      <c r="L8" s="532">
        <f>'Revenue Build'!L20</f>
        <v>3691.4610032621899</v>
      </c>
      <c r="M8" s="414" t="s">
        <v>635</v>
      </c>
    </row>
    <row r="9" spans="1:14" ht="15.75" customHeight="1" x14ac:dyDescent="0.2">
      <c r="A9" s="533" t="s">
        <v>636</v>
      </c>
      <c r="B9" s="533" t="s">
        <v>508</v>
      </c>
      <c r="C9" s="534"/>
      <c r="D9" s="534">
        <f>IFERROR(D8/C8-1,0)</f>
        <v>0</v>
      </c>
      <c r="E9" s="534">
        <f t="shared" ref="E9:L9" si="0">E8/D8-1</f>
        <v>0.68662500000000048</v>
      </c>
      <c r="F9" s="534">
        <f t="shared" si="0"/>
        <v>0.46157703495379665</v>
      </c>
      <c r="G9" s="534">
        <f t="shared" si="0"/>
        <v>0.34285946037099468</v>
      </c>
      <c r="H9" s="534">
        <f t="shared" si="0"/>
        <v>0.25265364685004421</v>
      </c>
      <c r="I9" s="534">
        <f t="shared" si="0"/>
        <v>0.19419783165599314</v>
      </c>
      <c r="J9" s="534">
        <f t="shared" si="0"/>
        <v>0.15521753860552168</v>
      </c>
      <c r="K9" s="534">
        <f t="shared" si="0"/>
        <v>0.12499844402277072</v>
      </c>
      <c r="L9" s="534">
        <f t="shared" si="0"/>
        <v>0.10018770933589982</v>
      </c>
      <c r="M9" s="408"/>
    </row>
    <row r="10" spans="1:14" ht="15.75" customHeight="1" x14ac:dyDescent="0.2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408"/>
    </row>
    <row r="11" spans="1:14" ht="22" customHeight="1" x14ac:dyDescent="0.2">
      <c r="A11" s="927" t="s">
        <v>637</v>
      </c>
      <c r="B11" s="974"/>
      <c r="C11" s="974"/>
      <c r="D11" s="974"/>
      <c r="E11" s="974"/>
      <c r="F11" s="974"/>
      <c r="G11" s="974"/>
      <c r="H11" s="974"/>
      <c r="I11" s="974"/>
      <c r="J11" s="974"/>
      <c r="K11" s="974"/>
      <c r="L11" s="974"/>
      <c r="M11" s="408"/>
    </row>
    <row r="12" spans="1:14" ht="15.75" customHeight="1" x14ac:dyDescent="0.2">
      <c r="A12" s="1" t="s">
        <v>638</v>
      </c>
      <c r="B12" s="368" t="s">
        <v>537</v>
      </c>
      <c r="C12" s="40"/>
      <c r="D12" s="42">
        <f>D8*0.4</f>
        <v>208.54399999999998</v>
      </c>
      <c r="E12" s="40">
        <f>E8*(Assumptions!$F$152 + (Assumptions!$F$153-Assumptions!$F$152)*(E$5-2026)/7)</f>
        <v>219.83470250000002</v>
      </c>
      <c r="F12" s="40">
        <f>F8*(Assumptions!$F$152 + (Assumptions!$F$153-Assumptions!$F$152)*(F$5-2026)/7)</f>
        <v>312.12519972676</v>
      </c>
      <c r="G12" s="40">
        <f>G8*(Assumptions!$F$152 + (Assumptions!$F$153-Assumptions!$F$152)*(G$5-2026)/7)</f>
        <v>406.81262205934627</v>
      </c>
      <c r="H12" s="40">
        <f>H8*(Assumptions!$F$152 + (Assumptions!$F$153-Assumptions!$F$152)*(H$5-2026)/7)</f>
        <v>494.15303234644256</v>
      </c>
      <c r="I12" s="40">
        <f>I8*(Assumptions!$F$152 + (Assumptions!$F$153-Assumptions!$F$152)*(I$5-2026)/7)</f>
        <v>571.67533974265689</v>
      </c>
      <c r="J12" s="40">
        <f>J8*(Assumptions!$F$152 + (Assumptions!$F$153-Assumptions!$F$152)*(J$5-2026)/7)</f>
        <v>639.10585050869759</v>
      </c>
      <c r="K12" s="40">
        <f>K8*(Assumptions!$F$152 + (Assumptions!$F$153-Assumptions!$F$152)*(K$5-2026)/7)</f>
        <v>695.02665114186311</v>
      </c>
      <c r="L12" s="40">
        <f>L8*(Assumptions!$F$152 + (Assumptions!$F$153-Assumptions!$F$152)*(L$5-2026)/7)</f>
        <v>738.29220065243805</v>
      </c>
      <c r="M12" s="408"/>
    </row>
    <row r="13" spans="1:14" ht="15.75" customHeight="1" x14ac:dyDescent="0.2">
      <c r="A13" s="414" t="s">
        <v>639</v>
      </c>
      <c r="B13" s="414" t="s">
        <v>537</v>
      </c>
      <c r="C13" s="535"/>
      <c r="D13" s="535">
        <f>Members!D31 * Assumptions!$F$32</f>
        <v>162.71999999999997</v>
      </c>
      <c r="E13" s="535">
        <f>Members!E31 * Assumptions!$F$32</f>
        <v>198.97199999999995</v>
      </c>
      <c r="F13" s="535">
        <f>Members!F31 * Assumptions!$F$32</f>
        <v>243.48124799999988</v>
      </c>
      <c r="G13" s="535">
        <f>Members!G31 * Assumptions!$F$32</f>
        <v>258.21834719999987</v>
      </c>
      <c r="H13" s="535">
        <f>Members!H31 * Assumptions!$F$32</f>
        <v>266.69314474079988</v>
      </c>
      <c r="I13" s="535">
        <f>Members!I31 * Assumptions!$F$32</f>
        <v>266.96475931261921</v>
      </c>
      <c r="J13" s="535">
        <f>Members!J31 * Assumptions!$F$32</f>
        <v>269.2283244603081</v>
      </c>
      <c r="K13" s="535">
        <f>Members!K31 * Assumptions!$F$32</f>
        <v>260.53171557813988</v>
      </c>
      <c r="L13" s="535">
        <f>Members!L31 * Assumptions!$F$32</f>
        <v>253.92992468348993</v>
      </c>
      <c r="M13" s="408"/>
    </row>
    <row r="14" spans="1:14" ht="15.75" customHeight="1" thickBot="1" x14ac:dyDescent="0.25">
      <c r="A14" s="536" t="s">
        <v>640</v>
      </c>
      <c r="B14" s="553" t="s">
        <v>537</v>
      </c>
      <c r="C14" s="537"/>
      <c r="D14" s="538">
        <f t="shared" ref="D14:L14" si="1">D12</f>
        <v>208.54399999999998</v>
      </c>
      <c r="E14" s="538">
        <f t="shared" si="1"/>
        <v>219.83470250000002</v>
      </c>
      <c r="F14" s="538">
        <f t="shared" si="1"/>
        <v>312.12519972676</v>
      </c>
      <c r="G14" s="538">
        <f t="shared" si="1"/>
        <v>406.81262205934627</v>
      </c>
      <c r="H14" s="538">
        <f t="shared" si="1"/>
        <v>494.15303234644256</v>
      </c>
      <c r="I14" s="538">
        <f t="shared" si="1"/>
        <v>571.67533974265689</v>
      </c>
      <c r="J14" s="538">
        <f t="shared" si="1"/>
        <v>639.10585050869759</v>
      </c>
      <c r="K14" s="538">
        <f t="shared" si="1"/>
        <v>695.02665114186311</v>
      </c>
      <c r="L14" s="538">
        <f t="shared" si="1"/>
        <v>738.29220065243805</v>
      </c>
      <c r="M14" s="408"/>
    </row>
    <row r="15" spans="1:14" ht="15.75" customHeight="1" x14ac:dyDescent="0.2">
      <c r="A15" s="539" t="s">
        <v>641</v>
      </c>
      <c r="B15" s="554" t="s">
        <v>537</v>
      </c>
      <c r="C15" s="540"/>
      <c r="D15" s="540">
        <f t="shared" ref="D15:L15" si="2">D8-D12</f>
        <v>312.81599999999992</v>
      </c>
      <c r="E15" s="540">
        <f t="shared" si="2"/>
        <v>659.50410750000003</v>
      </c>
      <c r="F15" s="540">
        <f t="shared" si="2"/>
        <v>973.09621091283998</v>
      </c>
      <c r="G15" s="540">
        <f t="shared" si="2"/>
        <v>1319.0591078893956</v>
      </c>
      <c r="H15" s="540">
        <f t="shared" si="2"/>
        <v>1667.7664841692435</v>
      </c>
      <c r="I15" s="540">
        <f t="shared" si="2"/>
        <v>2010.0842590951484</v>
      </c>
      <c r="J15" s="540">
        <f t="shared" si="2"/>
        <v>2343.388118531891</v>
      </c>
      <c r="K15" s="540">
        <f t="shared" si="2"/>
        <v>2660.2744233360968</v>
      </c>
      <c r="L15" s="540">
        <f t="shared" si="2"/>
        <v>2953.1688026097518</v>
      </c>
      <c r="M15" s="408"/>
    </row>
    <row r="16" spans="1:14" ht="15.75" customHeight="1" x14ac:dyDescent="0.2">
      <c r="A16" s="541" t="s">
        <v>642</v>
      </c>
      <c r="B16" s="533" t="s">
        <v>508</v>
      </c>
      <c r="C16" s="534"/>
      <c r="D16" s="542">
        <f t="shared" ref="D16:L16" si="3">D15/D8</f>
        <v>0.6</v>
      </c>
      <c r="E16" s="542">
        <f t="shared" si="3"/>
        <v>0.75</v>
      </c>
      <c r="F16" s="542">
        <f t="shared" si="3"/>
        <v>0.75714285714285712</v>
      </c>
      <c r="G16" s="542">
        <f t="shared" si="3"/>
        <v>0.76428571428571435</v>
      </c>
      <c r="H16" s="542">
        <f t="shared" si="3"/>
        <v>0.77142857142857135</v>
      </c>
      <c r="I16" s="542">
        <f t="shared" si="3"/>
        <v>0.77857142857142858</v>
      </c>
      <c r="J16" s="542">
        <f t="shared" si="3"/>
        <v>0.7857142857142857</v>
      </c>
      <c r="K16" s="542">
        <f t="shared" si="3"/>
        <v>0.79285714285714282</v>
      </c>
      <c r="L16" s="542">
        <f t="shared" si="3"/>
        <v>0.79999999999999993</v>
      </c>
      <c r="M16" s="408"/>
    </row>
    <row r="17" spans="1:13" ht="15.75" customHeight="1" x14ac:dyDescent="0.2">
      <c r="A17" s="3"/>
      <c r="B17" s="368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14"/>
    </row>
    <row r="18" spans="1:13" ht="15.75" customHeight="1" x14ac:dyDescent="0.2">
      <c r="A18" s="27"/>
      <c r="B18" s="368"/>
      <c r="C18" s="43"/>
      <c r="D18" s="44"/>
      <c r="E18" s="27"/>
      <c r="F18" s="27"/>
      <c r="G18" s="27"/>
      <c r="H18" s="27"/>
      <c r="I18" s="27"/>
      <c r="J18" s="27"/>
      <c r="K18" s="27"/>
      <c r="L18" s="27"/>
      <c r="M18" s="414"/>
    </row>
    <row r="19" spans="1:13" ht="15.75" customHeight="1" x14ac:dyDescent="0.2">
      <c r="A19" s="27"/>
      <c r="B19" s="2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408"/>
    </row>
    <row r="20" spans="1:13" ht="22" customHeight="1" x14ac:dyDescent="0.2">
      <c r="A20" s="927" t="s">
        <v>643</v>
      </c>
      <c r="B20" s="974"/>
      <c r="C20" s="974"/>
      <c r="D20" s="974"/>
      <c r="E20" s="974"/>
      <c r="F20" s="974"/>
      <c r="G20" s="974"/>
      <c r="H20" s="974"/>
      <c r="I20" s="974"/>
      <c r="J20" s="974"/>
      <c r="K20" s="974"/>
      <c r="L20" s="974"/>
      <c r="M20" s="408"/>
    </row>
    <row r="21" spans="1:13" ht="15.75" customHeight="1" x14ac:dyDescent="0.2">
      <c r="A21" s="3" t="s">
        <v>644</v>
      </c>
      <c r="B21" s="368" t="s">
        <v>537</v>
      </c>
      <c r="C21" s="40"/>
      <c r="D21" s="40">
        <f>D8*Assumptions!$F$39</f>
        <v>114.69919999999998</v>
      </c>
      <c r="E21" s="40">
        <f>E8*(Assumptions!$F$39 + (Assumptions!$F$40-Assumptions!$F$39)*(E$5-2026)/7)</f>
        <v>193.45453820000003</v>
      </c>
      <c r="F21" s="40">
        <f>F8*(Assumptions!$F$39 + (Assumptions!$F$40-Assumptions!$F$39)*(F$5-2026)/7)</f>
        <v>271.73252682094403</v>
      </c>
      <c r="G21" s="40">
        <f>G8*(Assumptions!$F$39 + (Assumptions!$F$40-Assumptions!$F$39)*(G$5-2026)/7)</f>
        <v>350.10540807531618</v>
      </c>
      <c r="H21" s="40">
        <f>H8*(Assumptions!$F$39 + (Assumptions!$F$40-Assumptions!$F$39)*(H$5-2026)/7)</f>
        <v>420.03007749447619</v>
      </c>
      <c r="I21" s="40">
        <f>I8*(Assumptions!$F$39 + (Assumptions!$F$40-Assumptions!$F$39)*(I$5-2026)/7)</f>
        <v>479.46963978416386</v>
      </c>
      <c r="J21" s="40">
        <f>J8*(Assumptions!$F$39 + (Assumptions!$F$40-Assumptions!$F$39)*(J$5-2026)/7)</f>
        <v>528.32750308719005</v>
      </c>
      <c r="K21" s="40">
        <f>K8*(Assumptions!$F$39 + (Assumptions!$F$40-Assumptions!$F$39)*(K$5-2026)/7)</f>
        <v>565.60789541199892</v>
      </c>
      <c r="L21" s="40">
        <f>L8*(Assumptions!$F$39 + (Assumptions!$F$40-Assumptions!$F$39)*(L$5-2026)/7)</f>
        <v>590.63376052195042</v>
      </c>
      <c r="M21" s="408"/>
    </row>
    <row r="22" spans="1:13" ht="15.75" customHeight="1" x14ac:dyDescent="0.2">
      <c r="A22" s="533" t="s">
        <v>645</v>
      </c>
      <c r="B22" s="533" t="s">
        <v>508</v>
      </c>
      <c r="C22" s="534"/>
      <c r="D22" s="534">
        <f t="shared" ref="D22:L22" si="4">D21/D8</f>
        <v>0.22</v>
      </c>
      <c r="E22" s="534">
        <f t="shared" si="4"/>
        <v>0.22</v>
      </c>
      <c r="F22" s="534">
        <f t="shared" si="4"/>
        <v>0.21142857142857147</v>
      </c>
      <c r="G22" s="534">
        <f t="shared" si="4"/>
        <v>0.20285714285714285</v>
      </c>
      <c r="H22" s="534">
        <f t="shared" si="4"/>
        <v>0.19428571428571428</v>
      </c>
      <c r="I22" s="534">
        <f t="shared" si="4"/>
        <v>0.18571428571428572</v>
      </c>
      <c r="J22" s="534">
        <f t="shared" si="4"/>
        <v>0.17714285714285716</v>
      </c>
      <c r="K22" s="534">
        <f t="shared" si="4"/>
        <v>0.16857142857142857</v>
      </c>
      <c r="L22" s="534">
        <f t="shared" si="4"/>
        <v>0.16</v>
      </c>
      <c r="M22" s="414" t="s">
        <v>646</v>
      </c>
    </row>
    <row r="23" spans="1:13" ht="15.75" customHeight="1" x14ac:dyDescent="0.2">
      <c r="A23" s="3" t="s">
        <v>647</v>
      </c>
      <c r="B23" s="368" t="s">
        <v>537</v>
      </c>
      <c r="C23" s="40"/>
      <c r="D23" s="40">
        <f>D8*Assumptions!$F$41</f>
        <v>156.40799999999996</v>
      </c>
      <c r="E23" s="40">
        <f>Members!E46</f>
        <v>288.71499999999992</v>
      </c>
      <c r="F23" s="40">
        <f>Members!F46</f>
        <v>394.03074148571409</v>
      </c>
      <c r="G23" s="40">
        <f>Members!G46</f>
        <v>463.04359358857124</v>
      </c>
      <c r="H23" s="40">
        <f>Members!H46</f>
        <v>524.55936579478839</v>
      </c>
      <c r="I23" s="40">
        <f>Members!I46</f>
        <v>575.33015743662213</v>
      </c>
      <c r="J23" s="40">
        <f>Members!J46</f>
        <v>628.91597959900423</v>
      </c>
      <c r="K23" s="40">
        <f>Members!K46</f>
        <v>666.90624879432937</v>
      </c>
      <c r="L23" s="40">
        <f>Members!L46</f>
        <v>707.43055620245195</v>
      </c>
      <c r="M23" s="408"/>
    </row>
    <row r="24" spans="1:13" ht="15.75" customHeight="1" x14ac:dyDescent="0.2">
      <c r="A24" s="533" t="s">
        <v>648</v>
      </c>
      <c r="B24" s="533" t="s">
        <v>508</v>
      </c>
      <c r="C24" s="534"/>
      <c r="D24" s="534">
        <f t="shared" ref="D24:L24" si="5">D23/D8</f>
        <v>0.3</v>
      </c>
      <c r="E24" s="534">
        <f t="shared" si="5"/>
        <v>0.32833192020718371</v>
      </c>
      <c r="F24" s="534">
        <f t="shared" si="5"/>
        <v>0.30658588335345405</v>
      </c>
      <c r="G24" s="534">
        <f t="shared" si="5"/>
        <v>0.26829548543698756</v>
      </c>
      <c r="H24" s="534">
        <f t="shared" si="5"/>
        <v>0.24263593616112414</v>
      </c>
      <c r="I24" s="534">
        <f t="shared" si="5"/>
        <v>0.22284420195265683</v>
      </c>
      <c r="J24" s="534">
        <f t="shared" si="5"/>
        <v>0.21086915384486579</v>
      </c>
      <c r="K24" s="534">
        <f t="shared" si="5"/>
        <v>0.19876196919171885</v>
      </c>
      <c r="L24" s="534">
        <f t="shared" si="5"/>
        <v>0.19163972085233646</v>
      </c>
      <c r="M24" s="414" t="s">
        <v>649</v>
      </c>
    </row>
    <row r="25" spans="1:13" ht="15.75" customHeight="1" x14ac:dyDescent="0.2">
      <c r="A25" s="3" t="s">
        <v>650</v>
      </c>
      <c r="B25" s="368" t="s">
        <v>537</v>
      </c>
      <c r="C25" s="40"/>
      <c r="D25" s="40">
        <f>D8*Assumptions!$F$45</f>
        <v>78.203999999999979</v>
      </c>
      <c r="E25" s="40">
        <f>E8*(Assumptions!$F$45 + (Assumptions!$F$46-Assumptions!$F$45)*(E$5-2026)/7)</f>
        <v>131.90082150000001</v>
      </c>
      <c r="F25" s="40">
        <f>F8*(Assumptions!$F$45 + (Assumptions!$F$46-Assumptions!$F$45)*(F$5-2026)/7)</f>
        <v>185.43908924942801</v>
      </c>
      <c r="G25" s="40">
        <f>G8*(Assumptions!$F$45 + (Assumptions!$F$46-Assumptions!$F$45)*(G$5-2026)/7)</f>
        <v>239.15651115003993</v>
      </c>
      <c r="H25" s="40">
        <f>H8*(Assumptions!$F$45 + (Assumptions!$F$46-Assumptions!$F$45)*(H$5-2026)/7)</f>
        <v>287.22645005136968</v>
      </c>
      <c r="I25" s="40">
        <f>I8*(Assumptions!$F$45 + (Assumptions!$F$46-Assumptions!$F$45)*(I$5-2026)/7)</f>
        <v>328.25229185223526</v>
      </c>
      <c r="J25" s="40">
        <f>J8*(Assumptions!$F$45 + (Assumptions!$F$46-Assumptions!$F$45)*(J$5-2026)/7)</f>
        <v>362.15998195492858</v>
      </c>
      <c r="K25" s="40">
        <f>K8*(Assumptions!$F$45 + (Assumptions!$F$46-Assumptions!$F$45)*(K$5-2026)/7)</f>
        <v>388.25626718959251</v>
      </c>
      <c r="L25" s="40">
        <f>L8*(Assumptions!$F$45 + (Assumptions!$F$46-Assumptions!$F$45)*(L$5-2026)/7)</f>
        <v>406.06071035884088</v>
      </c>
      <c r="M25" s="408"/>
    </row>
    <row r="26" spans="1:13" ht="15.75" customHeight="1" x14ac:dyDescent="0.2">
      <c r="A26" s="533" t="s">
        <v>651</v>
      </c>
      <c r="B26" s="533" t="s">
        <v>508</v>
      </c>
      <c r="C26" s="534"/>
      <c r="D26" s="534">
        <f t="shared" ref="D26:L26" si="6">D25/D8</f>
        <v>0.15</v>
      </c>
      <c r="E26" s="534">
        <f t="shared" si="6"/>
        <v>0.15</v>
      </c>
      <c r="F26" s="534">
        <f t="shared" si="6"/>
        <v>0.14428571428571429</v>
      </c>
      <c r="G26" s="534">
        <f t="shared" si="6"/>
        <v>0.13857142857142857</v>
      </c>
      <c r="H26" s="534">
        <f t="shared" si="6"/>
        <v>0.13285714285714284</v>
      </c>
      <c r="I26" s="534">
        <f t="shared" si="6"/>
        <v>0.12714285714285714</v>
      </c>
      <c r="J26" s="534">
        <f t="shared" si="6"/>
        <v>0.12142857142857141</v>
      </c>
      <c r="K26" s="534">
        <f t="shared" si="6"/>
        <v>0.11571428571428571</v>
      </c>
      <c r="L26" s="534">
        <f t="shared" si="6"/>
        <v>0.11</v>
      </c>
      <c r="M26" s="414" t="s">
        <v>652</v>
      </c>
    </row>
    <row r="27" spans="1:13" ht="15.75" customHeight="1" x14ac:dyDescent="0.2">
      <c r="A27" s="3" t="s">
        <v>653</v>
      </c>
      <c r="B27" s="368" t="s">
        <v>537</v>
      </c>
      <c r="C27" s="40"/>
      <c r="D27" s="40">
        <f>D8*Assumptions!$F$47</f>
        <v>72.990399999999994</v>
      </c>
      <c r="E27" s="40">
        <f>E8*(Assumptions!$F$47 + (Assumptions!$F$48-Assumptions!$F$47)*(E$5-2026)/7)</f>
        <v>123.10743340000002</v>
      </c>
      <c r="F27" s="40">
        <f>F8*Assumptions!$F$164</f>
        <v>218.48763980873201</v>
      </c>
      <c r="G27" s="40">
        <f>G8*Assumptions!$F$165</f>
        <v>258.88075949231126</v>
      </c>
      <c r="H27" s="40">
        <f>H8*(Assumptions!$F$47 + (Assumptions!$F$48-Assumptions!$F$47)*(H$5-2026)/7)</f>
        <v>274.87262424270864</v>
      </c>
      <c r="I27" s="40">
        <f>I8*(Assumptions!$F$47 + (Assumptions!$F$48-Assumptions!$F$47)*(I$5-2026)/7)</f>
        <v>317.18760785721605</v>
      </c>
      <c r="J27" s="40">
        <f>J8*(Assumptions!$F$47 + (Assumptions!$F$48-Assumptions!$F$47)*(J$5-2026)/7)</f>
        <v>353.63857061481269</v>
      </c>
      <c r="K27" s="40">
        <f>K8*(Assumptions!$F$47 + (Assumptions!$F$48-Assumptions!$F$47)*(K$5-2026)/7)</f>
        <v>383.4629799403383</v>
      </c>
      <c r="L27" s="40">
        <f>L8*(Assumptions!$F$47 + (Assumptions!$F$48-Assumptions!$F$47)*(L$5-2026)/7)</f>
        <v>406.06071035884088</v>
      </c>
      <c r="M27" s="408"/>
    </row>
    <row r="28" spans="1:13" ht="15.75" customHeight="1" thickBot="1" x14ac:dyDescent="0.25">
      <c r="A28" s="533" t="s">
        <v>654</v>
      </c>
      <c r="B28" s="533" t="s">
        <v>508</v>
      </c>
      <c r="C28" s="534"/>
      <c r="D28" s="534">
        <f t="shared" ref="D28:L28" si="7">D27/D8</f>
        <v>0.14000000000000001</v>
      </c>
      <c r="E28" s="534">
        <f t="shared" si="7"/>
        <v>0.14000000000000001</v>
      </c>
      <c r="F28" s="534">
        <f t="shared" si="7"/>
        <v>0.17</v>
      </c>
      <c r="G28" s="534">
        <f t="shared" si="7"/>
        <v>0.15</v>
      </c>
      <c r="H28" s="534">
        <f t="shared" si="7"/>
        <v>0.12714285714285714</v>
      </c>
      <c r="I28" s="534">
        <f t="shared" si="7"/>
        <v>0.12285714285714285</v>
      </c>
      <c r="J28" s="534">
        <f t="shared" si="7"/>
        <v>0.11857142857142859</v>
      </c>
      <c r="K28" s="534">
        <f t="shared" si="7"/>
        <v>0.1142857142857143</v>
      </c>
      <c r="L28" s="534">
        <f t="shared" si="7"/>
        <v>0.11</v>
      </c>
      <c r="M28" s="414" t="s">
        <v>655</v>
      </c>
    </row>
    <row r="29" spans="1:13" ht="15.75" customHeight="1" x14ac:dyDescent="0.2">
      <c r="A29" s="539" t="s">
        <v>656</v>
      </c>
      <c r="B29" s="554" t="s">
        <v>537</v>
      </c>
      <c r="C29" s="540"/>
      <c r="D29" s="540">
        <f t="shared" ref="D29:L29" si="8">D21+D23+D25+D27</f>
        <v>422.30159999999989</v>
      </c>
      <c r="E29" s="540">
        <f t="shared" si="8"/>
        <v>737.17779309999992</v>
      </c>
      <c r="F29" s="540">
        <f t="shared" si="8"/>
        <v>1069.6899973648181</v>
      </c>
      <c r="G29" s="540">
        <f t="shared" si="8"/>
        <v>1311.1862723062386</v>
      </c>
      <c r="H29" s="540">
        <f t="shared" si="8"/>
        <v>1506.6885175833431</v>
      </c>
      <c r="I29" s="540">
        <f t="shared" si="8"/>
        <v>1700.2396969302372</v>
      </c>
      <c r="J29" s="540">
        <f t="shared" si="8"/>
        <v>1873.0420352559354</v>
      </c>
      <c r="K29" s="540">
        <f t="shared" si="8"/>
        <v>2004.233391336259</v>
      </c>
      <c r="L29" s="540">
        <f t="shared" si="8"/>
        <v>2110.1857374420842</v>
      </c>
      <c r="M29" s="408"/>
    </row>
    <row r="30" spans="1:13" ht="15.75" customHeight="1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408"/>
    </row>
    <row r="31" spans="1:13" ht="22" customHeight="1" thickBot="1" x14ac:dyDescent="0.25">
      <c r="A31" s="927" t="s">
        <v>657</v>
      </c>
      <c r="B31" s="974"/>
      <c r="C31" s="974"/>
      <c r="D31" s="974"/>
      <c r="E31" s="974"/>
      <c r="F31" s="974"/>
      <c r="G31" s="974"/>
      <c r="H31" s="974"/>
      <c r="I31" s="974"/>
      <c r="J31" s="974"/>
      <c r="K31" s="974"/>
      <c r="L31" s="974"/>
      <c r="M31" s="408"/>
    </row>
    <row r="32" spans="1:13" ht="15.75" customHeight="1" x14ac:dyDescent="0.2">
      <c r="A32" s="543" t="s">
        <v>658</v>
      </c>
      <c r="B32" s="555" t="s">
        <v>537</v>
      </c>
      <c r="C32" s="544"/>
      <c r="D32" s="544">
        <f t="shared" ref="D32:L32" si="9">D15-D29+D27</f>
        <v>-36.495199999999983</v>
      </c>
      <c r="E32" s="544">
        <f t="shared" si="9"/>
        <v>45.433747800000134</v>
      </c>
      <c r="F32" s="544">
        <f t="shared" si="9"/>
        <v>121.89385335675394</v>
      </c>
      <c r="G32" s="544">
        <f t="shared" si="9"/>
        <v>266.75359507546824</v>
      </c>
      <c r="H32" s="544">
        <f t="shared" si="9"/>
        <v>435.95059082860905</v>
      </c>
      <c r="I32" s="544">
        <f t="shared" si="9"/>
        <v>627.03217002212727</v>
      </c>
      <c r="J32" s="544">
        <f t="shared" si="9"/>
        <v>823.9846538907683</v>
      </c>
      <c r="K32" s="544">
        <f t="shared" si="9"/>
        <v>1039.504011940176</v>
      </c>
      <c r="L32" s="544">
        <f t="shared" si="9"/>
        <v>1249.0437755265084</v>
      </c>
      <c r="M32" s="408"/>
    </row>
    <row r="33" spans="1:13" ht="15.75" customHeight="1" x14ac:dyDescent="0.2">
      <c r="A33" s="533" t="s">
        <v>659</v>
      </c>
      <c r="B33" s="533" t="s">
        <v>508</v>
      </c>
      <c r="C33" s="534"/>
      <c r="D33" s="534">
        <f t="shared" ref="D33:L33" si="10">D32/D8</f>
        <v>-6.9999999999999979E-2</v>
      </c>
      <c r="E33" s="534">
        <f t="shared" si="10"/>
        <v>5.1668079792816297E-2</v>
      </c>
      <c r="F33" s="534">
        <f t="shared" si="10"/>
        <v>9.4842688075117393E-2</v>
      </c>
      <c r="G33" s="534">
        <f t="shared" si="10"/>
        <v>0.15456165742015532</v>
      </c>
      <c r="H33" s="534">
        <f t="shared" si="10"/>
        <v>0.20164977812459003</v>
      </c>
      <c r="I33" s="534">
        <f t="shared" si="10"/>
        <v>0.24287008376162894</v>
      </c>
      <c r="J33" s="534">
        <f t="shared" si="10"/>
        <v>0.27627370329799139</v>
      </c>
      <c r="K33" s="534">
        <f t="shared" si="10"/>
        <v>0.30980945937970977</v>
      </c>
      <c r="L33" s="534">
        <f t="shared" si="10"/>
        <v>0.33836027914766348</v>
      </c>
      <c r="M33" s="408"/>
    </row>
    <row r="34" spans="1:13" ht="15.75" customHeight="1" x14ac:dyDescent="0.2">
      <c r="A34" s="247" t="s">
        <v>660</v>
      </c>
      <c r="B34" s="553" t="s">
        <v>537</v>
      </c>
      <c r="C34" s="537"/>
      <c r="D34" s="537">
        <f t="shared" ref="D34:L34" si="11">D15-D29</f>
        <v>-109.48559999999998</v>
      </c>
      <c r="E34" s="537">
        <f t="shared" si="11"/>
        <v>-77.673685599999885</v>
      </c>
      <c r="F34" s="537">
        <f t="shared" si="11"/>
        <v>-96.593786451978076</v>
      </c>
      <c r="G34" s="537">
        <f t="shared" si="11"/>
        <v>7.8728355831569843</v>
      </c>
      <c r="H34" s="537">
        <f t="shared" si="11"/>
        <v>161.07796658590041</v>
      </c>
      <c r="I34" s="537">
        <f t="shared" si="11"/>
        <v>309.84456216491117</v>
      </c>
      <c r="J34" s="537">
        <f t="shared" si="11"/>
        <v>470.34608327595561</v>
      </c>
      <c r="K34" s="537">
        <f t="shared" si="11"/>
        <v>656.04103199983774</v>
      </c>
      <c r="L34" s="537">
        <f t="shared" si="11"/>
        <v>842.98306516766752</v>
      </c>
      <c r="M34" s="408"/>
    </row>
    <row r="35" spans="1:13" ht="15.75" customHeight="1" x14ac:dyDescent="0.2">
      <c r="A35" s="533" t="s">
        <v>661</v>
      </c>
      <c r="B35" s="533" t="s">
        <v>508</v>
      </c>
      <c r="C35" s="534"/>
      <c r="D35" s="534">
        <f t="shared" ref="D35:L35" si="12">D34/D8</f>
        <v>-0.21</v>
      </c>
      <c r="E35" s="534">
        <f t="shared" si="12"/>
        <v>-8.8331920207183709E-2</v>
      </c>
      <c r="F35" s="534">
        <f t="shared" si="12"/>
        <v>-7.5157311924882619E-2</v>
      </c>
      <c r="G35" s="534">
        <f t="shared" si="12"/>
        <v>4.5616574201553239E-3</v>
      </c>
      <c r="H35" s="534">
        <f t="shared" si="12"/>
        <v>7.4506920981732894E-2</v>
      </c>
      <c r="I35" s="534">
        <f t="shared" si="12"/>
        <v>0.12001294090448607</v>
      </c>
      <c r="J35" s="534">
        <f t="shared" si="12"/>
        <v>0.15770227472656281</v>
      </c>
      <c r="K35" s="534">
        <f t="shared" si="12"/>
        <v>0.19552374509399548</v>
      </c>
      <c r="L35" s="534">
        <f t="shared" si="12"/>
        <v>0.22836027914766346</v>
      </c>
      <c r="M35" s="408"/>
    </row>
    <row r="36" spans="1:13" ht="15.75" customHeight="1" x14ac:dyDescent="0.2">
      <c r="A36" s="1" t="s">
        <v>662</v>
      </c>
      <c r="B36" s="377" t="s">
        <v>532</v>
      </c>
      <c r="C36" s="545"/>
      <c r="D36" s="545">
        <f t="shared" ref="D36:L36" si="13">(D9+D33)*100</f>
        <v>-6.9999999999999982</v>
      </c>
      <c r="E36" s="545">
        <f t="shared" si="13"/>
        <v>73.82930797928168</v>
      </c>
      <c r="F36" s="545">
        <f t="shared" si="13"/>
        <v>55.641972302891404</v>
      </c>
      <c r="G36" s="545">
        <f t="shared" si="13"/>
        <v>49.742111779115</v>
      </c>
      <c r="H36" s="545">
        <f t="shared" si="13"/>
        <v>45.430342497463428</v>
      </c>
      <c r="I36" s="545">
        <f t="shared" si="13"/>
        <v>43.706791541762207</v>
      </c>
      <c r="J36" s="545">
        <f t="shared" si="13"/>
        <v>43.149124190351309</v>
      </c>
      <c r="K36" s="545">
        <f t="shared" si="13"/>
        <v>43.480790340248049</v>
      </c>
      <c r="L36" s="545">
        <f t="shared" si="13"/>
        <v>43.854798848356332</v>
      </c>
      <c r="M36" s="557" t="s">
        <v>663</v>
      </c>
    </row>
    <row r="37" spans="1:13" ht="15.7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408"/>
    </row>
    <row r="38" spans="1:13" ht="22" customHeight="1" x14ac:dyDescent="0.2">
      <c r="A38" s="927" t="s">
        <v>664</v>
      </c>
      <c r="B38" s="974"/>
      <c r="C38" s="974"/>
      <c r="D38" s="974"/>
      <c r="E38" s="974"/>
      <c r="F38" s="974"/>
      <c r="G38" s="974"/>
      <c r="H38" s="974"/>
      <c r="I38" s="974"/>
      <c r="J38" s="974"/>
      <c r="K38" s="974"/>
      <c r="L38" s="974"/>
      <c r="M38" s="408"/>
    </row>
    <row r="39" spans="1:13" ht="15.75" customHeight="1" x14ac:dyDescent="0.2">
      <c r="A39" s="3" t="s">
        <v>665</v>
      </c>
      <c r="B39" s="368" t="s">
        <v>537</v>
      </c>
      <c r="C39" s="42"/>
      <c r="D39" s="39">
        <f>'WC &amp; Cash'!$D$12*Assumptions!$F$67</f>
        <v>2.6250000000000004</v>
      </c>
      <c r="E39" s="39">
        <f>('WC &amp; Cash'!D34 + 'WC &amp; Cash'!E14*0.5)*Assumptions!$F$67</f>
        <v>12.296926849315071</v>
      </c>
      <c r="F39" s="39">
        <f>'WC &amp; Cash'!E34*Assumptions!$F$67</f>
        <v>25.533160644465763</v>
      </c>
      <c r="G39" s="39">
        <f>'WC &amp; Cash'!F34*Assumptions!$F$67</f>
        <v>29.417061762616616</v>
      </c>
      <c r="H39" s="39">
        <f>'WC &amp; Cash'!G34*Assumptions!$F$67</f>
        <v>36.813639367467346</v>
      </c>
      <c r="I39" s="39">
        <f>'WC &amp; Cash'!H34*Assumptions!$F$67</f>
        <v>49.121556723840726</v>
      </c>
      <c r="J39" s="39">
        <f>'WC &amp; Cash'!I34*Assumptions!$F$67</f>
        <v>63.996766770573146</v>
      </c>
      <c r="K39" s="39">
        <f>'WC &amp; Cash'!J34*Assumptions!$F$67</f>
        <v>82.36944455816095</v>
      </c>
      <c r="L39" s="39">
        <f>'WC &amp; Cash'!K34*Assumptions!$F$67</f>
        <v>104.78288519189329</v>
      </c>
      <c r="M39" s="408"/>
    </row>
    <row r="40" spans="1:13" ht="15.75" customHeight="1" x14ac:dyDescent="0.2">
      <c r="A40" s="247" t="s">
        <v>666</v>
      </c>
      <c r="B40" s="553" t="s">
        <v>537</v>
      </c>
      <c r="C40" s="537"/>
      <c r="D40" s="537">
        <f t="shared" ref="D40:L40" si="14">D34+D39</f>
        <v>-106.86059999999998</v>
      </c>
      <c r="E40" s="537">
        <f t="shared" si="14"/>
        <v>-65.376758750684814</v>
      </c>
      <c r="F40" s="537">
        <f t="shared" si="14"/>
        <v>-71.060625807512309</v>
      </c>
      <c r="G40" s="537">
        <f t="shared" si="14"/>
        <v>37.289897345773596</v>
      </c>
      <c r="H40" s="537">
        <f t="shared" si="14"/>
        <v>197.89160595336776</v>
      </c>
      <c r="I40" s="537">
        <f t="shared" si="14"/>
        <v>358.96611888875191</v>
      </c>
      <c r="J40" s="537">
        <f t="shared" si="14"/>
        <v>534.34285004652872</v>
      </c>
      <c r="K40" s="537">
        <f t="shared" si="14"/>
        <v>738.41047655799866</v>
      </c>
      <c r="L40" s="537">
        <f t="shared" si="14"/>
        <v>947.76595035956075</v>
      </c>
      <c r="M40" s="408"/>
    </row>
    <row r="41" spans="1:13" ht="15.75" customHeight="1" thickBot="1" x14ac:dyDescent="0.25">
      <c r="A41" s="3" t="s">
        <v>667</v>
      </c>
      <c r="B41" s="368" t="s">
        <v>537</v>
      </c>
      <c r="C41" s="40"/>
      <c r="D41" s="40">
        <f>MAX(0, D40-D48)*Assumptions!$F$52</f>
        <v>0</v>
      </c>
      <c r="E41" s="40">
        <f>MAX(0, E40-E48)*Assumptions!$F$52</f>
        <v>0</v>
      </c>
      <c r="F41" s="40">
        <f>MAX(0, F40-F48)*Assumptions!$F$52</f>
        <v>0</v>
      </c>
      <c r="G41" s="40">
        <f>MAX(0, G40-G48)*Assumptions!$F$52</f>
        <v>1.7153352779055853</v>
      </c>
      <c r="H41" s="40">
        <f>MAX(0, H40-H48)*Assumptions!$F$52</f>
        <v>9.1030138738549127</v>
      </c>
      <c r="I41" s="40">
        <f>MAX(0, I40-I48)*Assumptions!$F$52</f>
        <v>69.877067503069625</v>
      </c>
      <c r="J41" s="40">
        <f>MAX(0, J40-J48)*Assumptions!$F$52</f>
        <v>122.89885551070161</v>
      </c>
      <c r="K41" s="40">
        <f>MAX(0, K40-K48)*Assumptions!$F$52</f>
        <v>169.83440960833971</v>
      </c>
      <c r="L41" s="40">
        <f>MAX(0, L40-L48)*Assumptions!$F$52</f>
        <v>217.98616858269898</v>
      </c>
      <c r="M41" s="408"/>
    </row>
    <row r="42" spans="1:13" ht="15.75" customHeight="1" thickBot="1" x14ac:dyDescent="0.25">
      <c r="A42" s="546" t="s">
        <v>668</v>
      </c>
      <c r="B42" s="556" t="s">
        <v>537</v>
      </c>
      <c r="C42" s="547"/>
      <c r="D42" s="547">
        <f t="shared" ref="D42:L42" si="15">D40-D41</f>
        <v>-106.86059999999998</v>
      </c>
      <c r="E42" s="547">
        <f t="shared" si="15"/>
        <v>-65.376758750684814</v>
      </c>
      <c r="F42" s="547">
        <f t="shared" si="15"/>
        <v>-71.060625807512309</v>
      </c>
      <c r="G42" s="547">
        <f t="shared" si="15"/>
        <v>35.574562067868008</v>
      </c>
      <c r="H42" s="547">
        <f t="shared" si="15"/>
        <v>188.78859207951285</v>
      </c>
      <c r="I42" s="547">
        <f t="shared" si="15"/>
        <v>289.0890513856823</v>
      </c>
      <c r="J42" s="547">
        <f t="shared" si="15"/>
        <v>411.44399453582713</v>
      </c>
      <c r="K42" s="547">
        <f t="shared" si="15"/>
        <v>568.57606694965898</v>
      </c>
      <c r="L42" s="547">
        <f t="shared" si="15"/>
        <v>729.7797817768618</v>
      </c>
      <c r="M42" s="408"/>
    </row>
    <row r="43" spans="1:13" ht="15.75" customHeight="1" thickTop="1" x14ac:dyDescent="0.2">
      <c r="A43" s="533" t="s">
        <v>669</v>
      </c>
      <c r="B43" s="533" t="s">
        <v>508</v>
      </c>
      <c r="C43" s="534"/>
      <c r="D43" s="534">
        <f t="shared" ref="D43:L43" si="16">D42/D8</f>
        <v>-0.20496509129967777</v>
      </c>
      <c r="E43" s="534">
        <f t="shared" si="16"/>
        <v>-7.4347632570299957E-2</v>
      </c>
      <c r="F43" s="534">
        <f t="shared" si="16"/>
        <v>-5.5290571118130113E-2</v>
      </c>
      <c r="G43" s="534">
        <f t="shared" si="16"/>
        <v>2.0612517981811178E-2</v>
      </c>
      <c r="H43" s="534">
        <f t="shared" si="16"/>
        <v>8.7324523710197541E-2</v>
      </c>
      <c r="I43" s="534">
        <f t="shared" si="16"/>
        <v>0.11197365220054473</v>
      </c>
      <c r="J43" s="534">
        <f t="shared" si="16"/>
        <v>0.13795300134946487</v>
      </c>
      <c r="K43" s="534">
        <f t="shared" si="16"/>
        <v>0.16945605009175574</v>
      </c>
      <c r="L43" s="534">
        <f t="shared" si="16"/>
        <v>0.19769402443421355</v>
      </c>
      <c r="M43" s="408"/>
    </row>
    <row r="44" spans="1:13" ht="15.75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408"/>
    </row>
    <row r="45" spans="1:13" ht="22" customHeight="1" x14ac:dyDescent="0.2">
      <c r="A45" s="933" t="s">
        <v>670</v>
      </c>
      <c r="B45" s="975"/>
      <c r="C45" s="975"/>
      <c r="D45" s="975"/>
      <c r="E45" s="975"/>
      <c r="F45" s="975"/>
      <c r="G45" s="975"/>
      <c r="H45" s="975"/>
      <c r="I45" s="975"/>
      <c r="J45" s="975"/>
      <c r="K45" s="975"/>
      <c r="L45" s="975"/>
      <c r="M45" s="408"/>
    </row>
    <row r="46" spans="1:13" ht="15.75" customHeight="1" x14ac:dyDescent="0.2">
      <c r="A46" s="548" t="s">
        <v>671</v>
      </c>
      <c r="B46" s="47" t="s">
        <v>537</v>
      </c>
      <c r="C46" s="549">
        <v>0</v>
      </c>
      <c r="D46" s="360">
        <f t="shared" ref="D46:L46" si="17">C49</f>
        <v>0</v>
      </c>
      <c r="E46" s="360">
        <f t="shared" si="17"/>
        <v>106.86059999999998</v>
      </c>
      <c r="F46" s="360">
        <f t="shared" si="17"/>
        <v>172.23735875068479</v>
      </c>
      <c r="G46" s="360">
        <f t="shared" si="17"/>
        <v>243.2979845581971</v>
      </c>
      <c r="H46" s="360">
        <f t="shared" si="17"/>
        <v>213.46606668157821</v>
      </c>
      <c r="I46" s="360">
        <f t="shared" si="17"/>
        <v>55.152781918883989</v>
      </c>
      <c r="J46" s="360">
        <f t="shared" si="17"/>
        <v>0</v>
      </c>
      <c r="K46" s="360">
        <f t="shared" si="17"/>
        <v>0</v>
      </c>
      <c r="L46" s="360">
        <f t="shared" si="17"/>
        <v>0</v>
      </c>
      <c r="M46" s="408"/>
    </row>
    <row r="47" spans="1:13" ht="15.75" customHeight="1" x14ac:dyDescent="0.2">
      <c r="A47" s="548" t="s">
        <v>672</v>
      </c>
      <c r="B47" s="47" t="s">
        <v>537</v>
      </c>
      <c r="C47" s="360">
        <v>0</v>
      </c>
      <c r="D47" s="360">
        <f t="shared" ref="D47:L47" si="18">MAX(0,-D40)</f>
        <v>106.86059999999998</v>
      </c>
      <c r="E47" s="360">
        <f t="shared" si="18"/>
        <v>65.376758750684814</v>
      </c>
      <c r="F47" s="360">
        <f t="shared" si="18"/>
        <v>71.060625807512309</v>
      </c>
      <c r="G47" s="360">
        <f t="shared" si="18"/>
        <v>0</v>
      </c>
      <c r="H47" s="360">
        <f t="shared" si="18"/>
        <v>0</v>
      </c>
      <c r="I47" s="360">
        <f t="shared" si="18"/>
        <v>0</v>
      </c>
      <c r="J47" s="360">
        <f t="shared" si="18"/>
        <v>0</v>
      </c>
      <c r="K47" s="360">
        <f t="shared" si="18"/>
        <v>0</v>
      </c>
      <c r="L47" s="360">
        <f t="shared" si="18"/>
        <v>0</v>
      </c>
      <c r="M47" s="408"/>
    </row>
    <row r="48" spans="1:13" ht="15.75" customHeight="1" x14ac:dyDescent="0.2">
      <c r="A48" s="548" t="s">
        <v>673</v>
      </c>
      <c r="B48" s="47" t="s">
        <v>537</v>
      </c>
      <c r="C48" s="360">
        <v>0</v>
      </c>
      <c r="D48" s="360">
        <f t="shared" ref="D48:L48" si="19">MIN(D46, MAX(0,D40)*0.8)</f>
        <v>0</v>
      </c>
      <c r="E48" s="360">
        <f t="shared" si="19"/>
        <v>0</v>
      </c>
      <c r="F48" s="360">
        <f t="shared" si="19"/>
        <v>0</v>
      </c>
      <c r="G48" s="360">
        <f t="shared" si="19"/>
        <v>29.831917876618878</v>
      </c>
      <c r="H48" s="360">
        <f t="shared" si="19"/>
        <v>158.31328476269422</v>
      </c>
      <c r="I48" s="360">
        <f t="shared" si="19"/>
        <v>55.152781918883989</v>
      </c>
      <c r="J48" s="360">
        <f t="shared" si="19"/>
        <v>0</v>
      </c>
      <c r="K48" s="360">
        <f t="shared" si="19"/>
        <v>0</v>
      </c>
      <c r="L48" s="360">
        <f t="shared" si="19"/>
        <v>0</v>
      </c>
      <c r="M48" s="408"/>
    </row>
    <row r="49" spans="1:13" ht="15.75" customHeight="1" x14ac:dyDescent="0.2">
      <c r="A49" s="550" t="s">
        <v>674</v>
      </c>
      <c r="B49" s="551" t="s">
        <v>537</v>
      </c>
      <c r="C49" s="501">
        <f t="shared" ref="C49:L49" si="20">C46+C47-C48</f>
        <v>0</v>
      </c>
      <c r="D49" s="501">
        <f t="shared" si="20"/>
        <v>106.86059999999998</v>
      </c>
      <c r="E49" s="501">
        <f t="shared" si="20"/>
        <v>172.23735875068479</v>
      </c>
      <c r="F49" s="501">
        <f t="shared" si="20"/>
        <v>243.2979845581971</v>
      </c>
      <c r="G49" s="501">
        <f t="shared" si="20"/>
        <v>213.46606668157821</v>
      </c>
      <c r="H49" s="501">
        <f t="shared" si="20"/>
        <v>55.152781918883989</v>
      </c>
      <c r="I49" s="501">
        <f t="shared" si="20"/>
        <v>0</v>
      </c>
      <c r="J49" s="501">
        <f t="shared" si="20"/>
        <v>0</v>
      </c>
      <c r="K49" s="501">
        <f t="shared" si="20"/>
        <v>0</v>
      </c>
      <c r="L49" s="501">
        <f t="shared" si="20"/>
        <v>0</v>
      </c>
      <c r="M49" s="408"/>
    </row>
    <row r="50" spans="1:13" ht="15.75" customHeight="1" x14ac:dyDescent="0.2"/>
    <row r="51" spans="1:13" ht="15.75" customHeight="1" x14ac:dyDescent="0.2"/>
  </sheetData>
  <mergeCells count="9">
    <mergeCell ref="A20:L20"/>
    <mergeCell ref="A31:L31"/>
    <mergeCell ref="A38:L38"/>
    <mergeCell ref="A45:L45"/>
    <mergeCell ref="A1:L1"/>
    <mergeCell ref="A2:L2"/>
    <mergeCell ref="A3:L3"/>
    <mergeCell ref="A7:L7"/>
    <mergeCell ref="A11:L11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N51"/>
  <sheetViews>
    <sheetView showGridLines="0" zoomScale="91" workbookViewId="0">
      <selection activeCell="L15" sqref="L15"/>
    </sheetView>
  </sheetViews>
  <sheetFormatPr baseColWidth="10" defaultColWidth="8.83203125" defaultRowHeight="15" x14ac:dyDescent="0.2"/>
  <cols>
    <col min="1" max="1" width="46.6640625" customWidth="1"/>
    <col min="2" max="2" width="8.33203125" customWidth="1"/>
    <col min="3" max="12" width="12.5" customWidth="1"/>
    <col min="13" max="13" width="46.6640625" customWidth="1"/>
  </cols>
  <sheetData>
    <row r="1" spans="1:14" ht="28" customHeight="1" x14ac:dyDescent="0.2">
      <c r="A1" s="960" t="s">
        <v>675</v>
      </c>
      <c r="B1" s="960"/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</row>
    <row r="2" spans="1:14" ht="15.75" customHeight="1" x14ac:dyDescent="0.2">
      <c r="A2" s="967" t="s">
        <v>676</v>
      </c>
      <c r="B2" s="967"/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967"/>
      <c r="N2" s="967"/>
    </row>
    <row r="3" spans="1:14" ht="15.75" customHeight="1" x14ac:dyDescent="0.2"/>
    <row r="4" spans="1:14" ht="15.75" customHeight="1" x14ac:dyDescent="0.2"/>
    <row r="5" spans="1:14" ht="15.75" customHeight="1" x14ac:dyDescent="0.2">
      <c r="A5" s="450"/>
      <c r="B5" s="451" t="s">
        <v>495</v>
      </c>
      <c r="C5" s="449">
        <v>2024</v>
      </c>
      <c r="D5" s="449">
        <v>2025</v>
      </c>
      <c r="E5" s="449">
        <v>2026</v>
      </c>
      <c r="F5" s="449">
        <v>2027</v>
      </c>
      <c r="G5" s="449">
        <v>2028</v>
      </c>
      <c r="H5" s="449">
        <v>2029</v>
      </c>
      <c r="I5" s="449">
        <v>2030</v>
      </c>
      <c r="J5" s="449">
        <v>2031</v>
      </c>
      <c r="K5" s="449">
        <v>2032</v>
      </c>
      <c r="L5" s="449">
        <v>2033</v>
      </c>
      <c r="M5" s="408"/>
    </row>
    <row r="6" spans="1:14" ht="15.75" customHeight="1" x14ac:dyDescent="0.2">
      <c r="C6" s="452" t="s">
        <v>496</v>
      </c>
      <c r="D6" s="452" t="s">
        <v>496</v>
      </c>
      <c r="E6" s="452" t="s">
        <v>497</v>
      </c>
      <c r="F6" s="452" t="s">
        <v>497</v>
      </c>
      <c r="G6" s="452" t="s">
        <v>498</v>
      </c>
      <c r="H6" s="452" t="s">
        <v>498</v>
      </c>
      <c r="I6" s="452" t="s">
        <v>498</v>
      </c>
      <c r="J6" s="452" t="s">
        <v>499</v>
      </c>
      <c r="K6" s="452" t="s">
        <v>499</v>
      </c>
      <c r="L6" s="452" t="s">
        <v>499</v>
      </c>
      <c r="M6" s="408"/>
    </row>
    <row r="7" spans="1:14" ht="15.75" customHeight="1" x14ac:dyDescent="0.2">
      <c r="M7" s="408"/>
    </row>
    <row r="8" spans="1:14" ht="22" customHeight="1" x14ac:dyDescent="0.2">
      <c r="A8" s="963" t="s">
        <v>677</v>
      </c>
      <c r="B8" s="979"/>
      <c r="C8" s="979"/>
      <c r="D8" s="979"/>
      <c r="E8" s="979"/>
      <c r="F8" s="979"/>
      <c r="G8" s="979"/>
      <c r="H8" s="979"/>
      <c r="I8" s="979"/>
      <c r="J8" s="979"/>
      <c r="K8" s="979"/>
      <c r="L8" s="979"/>
      <c r="M8" s="980"/>
    </row>
    <row r="9" spans="1:14" ht="15.75" customHeight="1" x14ac:dyDescent="0.2">
      <c r="A9" s="18" t="s">
        <v>678</v>
      </c>
      <c r="B9" s="466" t="s">
        <v>537</v>
      </c>
      <c r="C9" s="287"/>
      <c r="D9" s="287">
        <f>'P&amp;L'!D34</f>
        <v>-109.48559999999998</v>
      </c>
      <c r="E9" s="287">
        <f>'P&amp;L'!E34</f>
        <v>-77.673685599999885</v>
      </c>
      <c r="F9" s="287">
        <f>'P&amp;L'!F34</f>
        <v>-96.593786451978076</v>
      </c>
      <c r="G9" s="287">
        <f>'P&amp;L'!G34</f>
        <v>7.8728355831569843</v>
      </c>
      <c r="H9" s="287">
        <f>'P&amp;L'!H34</f>
        <v>161.07796658590041</v>
      </c>
      <c r="I9" s="287">
        <f>'P&amp;L'!I34</f>
        <v>309.84456216491117</v>
      </c>
      <c r="J9" s="287">
        <f>'P&amp;L'!J34</f>
        <v>470.34608327595561</v>
      </c>
      <c r="K9" s="287">
        <f>'P&amp;L'!K34</f>
        <v>656.04103199983774</v>
      </c>
      <c r="L9" s="558">
        <f>'P&amp;L'!L34</f>
        <v>842.98306516766752</v>
      </c>
      <c r="M9" s="580" t="s">
        <v>679</v>
      </c>
    </row>
    <row r="10" spans="1:14" ht="15.75" customHeight="1" thickBot="1" x14ac:dyDescent="0.25">
      <c r="A10" s="459" t="s">
        <v>680</v>
      </c>
      <c r="B10" s="467" t="s">
        <v>537</v>
      </c>
      <c r="C10" s="285"/>
      <c r="D10" s="285">
        <f>'P&amp;L'!D41</f>
        <v>0</v>
      </c>
      <c r="E10" s="285">
        <f>'P&amp;L'!E41</f>
        <v>0</v>
      </c>
      <c r="F10" s="285">
        <f>'P&amp;L'!F41</f>
        <v>0</v>
      </c>
      <c r="G10" s="285">
        <f>'P&amp;L'!G41</f>
        <v>1.7153352779055853</v>
      </c>
      <c r="H10" s="285">
        <f>'P&amp;L'!H41</f>
        <v>9.1030138738549127</v>
      </c>
      <c r="I10" s="285">
        <f>'P&amp;L'!I41</f>
        <v>69.877067503069625</v>
      </c>
      <c r="J10" s="285">
        <f>'P&amp;L'!J41</f>
        <v>122.89885551070161</v>
      </c>
      <c r="K10" s="285">
        <f>'P&amp;L'!K41</f>
        <v>169.83440960833971</v>
      </c>
      <c r="L10" s="559">
        <f>'P&amp;L'!L41</f>
        <v>217.98616858269898</v>
      </c>
      <c r="M10" s="580" t="s">
        <v>681</v>
      </c>
    </row>
    <row r="11" spans="1:14" ht="15.75" customHeight="1" x14ac:dyDescent="0.2">
      <c r="A11" s="563" t="s">
        <v>682</v>
      </c>
      <c r="B11" s="564" t="s">
        <v>537</v>
      </c>
      <c r="C11" s="565"/>
      <c r="D11" s="565">
        <f t="shared" ref="D11:L11" si="0">D9-D10</f>
        <v>-109.48559999999998</v>
      </c>
      <c r="E11" s="565">
        <f t="shared" si="0"/>
        <v>-77.673685599999885</v>
      </c>
      <c r="F11" s="565">
        <f t="shared" si="0"/>
        <v>-96.593786451978076</v>
      </c>
      <c r="G11" s="565">
        <f t="shared" si="0"/>
        <v>6.157500305251399</v>
      </c>
      <c r="H11" s="565">
        <f t="shared" si="0"/>
        <v>151.97495271204551</v>
      </c>
      <c r="I11" s="565">
        <f t="shared" si="0"/>
        <v>239.96749466184156</v>
      </c>
      <c r="J11" s="565">
        <f t="shared" si="0"/>
        <v>347.44722776525401</v>
      </c>
      <c r="K11" s="565">
        <f t="shared" si="0"/>
        <v>486.20662239149806</v>
      </c>
      <c r="L11" s="566">
        <f t="shared" si="0"/>
        <v>624.99689658496857</v>
      </c>
      <c r="M11" s="580" t="s">
        <v>683</v>
      </c>
    </row>
    <row r="12" spans="1:14" ht="15.75" customHeight="1" x14ac:dyDescent="0.2">
      <c r="A12" s="560"/>
      <c r="B12" s="27"/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408"/>
    </row>
    <row r="13" spans="1:14" ht="22" customHeight="1" x14ac:dyDescent="0.2">
      <c r="A13" s="981" t="s">
        <v>684</v>
      </c>
      <c r="B13" s="945"/>
      <c r="C13" s="945"/>
      <c r="D13" s="945"/>
      <c r="E13" s="945"/>
      <c r="F13" s="945"/>
      <c r="G13" s="945"/>
      <c r="H13" s="945"/>
      <c r="I13" s="945"/>
      <c r="J13" s="945"/>
      <c r="K13" s="945"/>
      <c r="L13" s="945"/>
      <c r="M13" s="980"/>
    </row>
    <row r="14" spans="1:14" ht="15.75" customHeight="1" x14ac:dyDescent="0.2">
      <c r="A14" s="459" t="s">
        <v>685</v>
      </c>
      <c r="B14" s="467" t="s">
        <v>537</v>
      </c>
      <c r="C14" s="110"/>
      <c r="D14" s="285">
        <f>'P&amp;L'!D8*Assumptions!$F$53</f>
        <v>18.247599999999998</v>
      </c>
      <c r="E14" s="285">
        <f>'P&amp;L'!E8*Assumptions!$F$53</f>
        <v>30.776858350000005</v>
      </c>
      <c r="F14" s="285">
        <f>'P&amp;L'!F8*Assumptions!$F$53</f>
        <v>44.982749372386003</v>
      </c>
      <c r="G14" s="285">
        <f>'P&amp;L'!G8*Assumptions!$F$53</f>
        <v>60.405510548205967</v>
      </c>
      <c r="H14" s="285">
        <f>'P&amp;L'!H8*Assumptions!$F$53</f>
        <v>75.667183078049021</v>
      </c>
      <c r="I14" s="285">
        <f>'P&amp;L'!I8*Assumptions!$F$53</f>
        <v>90.361585959323193</v>
      </c>
      <c r="J14" s="285">
        <f>'P&amp;L'!J8*Assumptions!$F$53</f>
        <v>104.38728891642062</v>
      </c>
      <c r="K14" s="285">
        <f>'P&amp;L'!K8*Assumptions!$F$53</f>
        <v>117.4355376067286</v>
      </c>
      <c r="L14" s="561">
        <f>'P&amp;L'!L8*Assumptions!$F$53</f>
        <v>129.20113511417665</v>
      </c>
      <c r="M14" s="580" t="s">
        <v>686</v>
      </c>
    </row>
    <row r="15" spans="1:14" ht="15.75" customHeight="1" x14ac:dyDescent="0.2">
      <c r="A15" s="18" t="s">
        <v>687</v>
      </c>
      <c r="B15" s="466" t="s">
        <v>537</v>
      </c>
      <c r="C15" s="27"/>
      <c r="D15" s="287">
        <f>-'P&amp;L'!D8*Assumptions!$F$49</f>
        <v>-20.854399999999995</v>
      </c>
      <c r="E15" s="287">
        <f>-'P&amp;L'!E8*Assumptions!$F$49</f>
        <v>-35.173552400000005</v>
      </c>
      <c r="F15" s="287">
        <f>-'P&amp;L'!F8*Assumptions!$F$49</f>
        <v>-51.408856425583998</v>
      </c>
      <c r="G15" s="287">
        <f>-'P&amp;L'!G8*Assumptions!$F$49</f>
        <v>-69.034869197949675</v>
      </c>
      <c r="H15" s="287">
        <f>-'P&amp;L'!H8*Assumptions!$F$49</f>
        <v>-86.476780660627455</v>
      </c>
      <c r="I15" s="287">
        <f>-'P&amp;L'!I8*Assumptions!$F$49</f>
        <v>-103.27038395351221</v>
      </c>
      <c r="J15" s="287">
        <f>-'P&amp;L'!J8*Assumptions!$F$49</f>
        <v>-119.29975876162355</v>
      </c>
      <c r="K15" s="287">
        <f>-'P&amp;L'!K8*Assumptions!$F$49</f>
        <v>-134.21204297911839</v>
      </c>
      <c r="L15" s="562">
        <f>-'P&amp;L'!L8*Assumptions!$F$49</f>
        <v>-147.65844013048761</v>
      </c>
      <c r="M15" s="580" t="s">
        <v>688</v>
      </c>
    </row>
    <row r="16" spans="1:14" ht="15.75" customHeight="1" x14ac:dyDescent="0.2">
      <c r="A16" s="459" t="s">
        <v>689</v>
      </c>
      <c r="B16" s="467" t="s">
        <v>537</v>
      </c>
      <c r="C16" s="110"/>
      <c r="D16" s="285">
        <f>'WC &amp; Cash'!D27</f>
        <v>100.93316712328767</v>
      </c>
      <c r="E16" s="285">
        <f>'WC &amp; Cash'!E27</f>
        <v>172.74848808287675</v>
      </c>
      <c r="F16" s="285">
        <f>'WC &amp; Cash'!F27</f>
        <v>213.98849688091465</v>
      </c>
      <c r="G16" s="285">
        <f>'WC &amp; Cash'!G27</f>
        <v>213.80264705451302</v>
      </c>
      <c r="H16" s="285">
        <f>'WC &amp; Cash'!H27</f>
        <v>210.48942648120106</v>
      </c>
      <c r="I16" s="285">
        <f>'WC &amp; Cash'!I27</f>
        <v>197.94730466755959</v>
      </c>
      <c r="J16" s="285">
        <f>'WC &amp; Cash'!J27</f>
        <v>192.39889315388632</v>
      </c>
      <c r="K16" s="285">
        <f>'WC &amp; Cash'!K27</f>
        <v>170.95390108752957</v>
      </c>
      <c r="L16" s="561">
        <f>'WC &amp; Cash'!L27</f>
        <v>153.52227130223139</v>
      </c>
      <c r="M16" s="580" t="s">
        <v>690</v>
      </c>
    </row>
    <row r="17" spans="1:13" ht="15.75" customHeight="1" thickBot="1" x14ac:dyDescent="0.25">
      <c r="A17" s="908" t="s">
        <v>691</v>
      </c>
      <c r="B17" s="573"/>
      <c r="C17" s="408"/>
      <c r="D17" s="408"/>
      <c r="E17" s="408"/>
      <c r="F17" s="408"/>
      <c r="G17" s="408"/>
      <c r="H17" s="408"/>
      <c r="I17" s="408"/>
      <c r="J17" s="408"/>
      <c r="K17" s="408"/>
      <c r="L17" s="908"/>
      <c r="M17" s="581" t="s">
        <v>692</v>
      </c>
    </row>
    <row r="18" spans="1:13" ht="15.75" customHeight="1" thickBot="1" x14ac:dyDescent="0.25">
      <c r="A18" s="567" t="s">
        <v>693</v>
      </c>
      <c r="B18" s="568" t="s">
        <v>537</v>
      </c>
      <c r="C18" s="569"/>
      <c r="D18" s="570">
        <f t="shared" ref="D18:L18" si="1">D11+D14+D15+D16</f>
        <v>-11.159232876712295</v>
      </c>
      <c r="E18" s="570">
        <f t="shared" si="1"/>
        <v>90.678108432876854</v>
      </c>
      <c r="F18" s="570">
        <f t="shared" si="1"/>
        <v>110.96860337573858</v>
      </c>
      <c r="G18" s="570">
        <f t="shared" si="1"/>
        <v>211.33078871002073</v>
      </c>
      <c r="H18" s="570">
        <f t="shared" si="1"/>
        <v>351.65478161066812</v>
      </c>
      <c r="I18" s="570">
        <f t="shared" si="1"/>
        <v>425.00600133521209</v>
      </c>
      <c r="J18" s="570">
        <f t="shared" si="1"/>
        <v>524.93365107393743</v>
      </c>
      <c r="K18" s="570">
        <f t="shared" si="1"/>
        <v>640.38401810663788</v>
      </c>
      <c r="L18" s="571">
        <f t="shared" si="1"/>
        <v>760.06186287088894</v>
      </c>
      <c r="M18" s="580" t="s">
        <v>694</v>
      </c>
    </row>
    <row r="19" spans="1:13" ht="15.75" customHeight="1" thickTop="1" x14ac:dyDescent="0.2">
      <c r="A19" s="50"/>
      <c r="M19" s="408"/>
    </row>
    <row r="20" spans="1:13" ht="22" customHeight="1" x14ac:dyDescent="0.2">
      <c r="A20" s="963" t="s">
        <v>695</v>
      </c>
      <c r="B20" s="979"/>
      <c r="C20" s="979"/>
      <c r="D20" s="979"/>
      <c r="E20" s="979"/>
      <c r="F20" s="979"/>
      <c r="G20" s="979"/>
      <c r="H20" s="979"/>
      <c r="I20" s="979"/>
      <c r="J20" s="979"/>
      <c r="K20" s="979"/>
      <c r="L20" s="979"/>
      <c r="M20" s="980"/>
    </row>
    <row r="21" spans="1:13" ht="15.75" customHeight="1" x14ac:dyDescent="0.2">
      <c r="A21" s="572" t="s">
        <v>696</v>
      </c>
      <c r="B21" s="466" t="s">
        <v>508</v>
      </c>
      <c r="C21" s="111"/>
      <c r="D21" s="574">
        <f>IFERROR(D18/'P&amp;L'!D8,0)</f>
        <v>-2.1404083314240249E-2</v>
      </c>
      <c r="E21" s="574">
        <f>IFERROR(E18/'P&amp;L'!E8,0)</f>
        <v>0.10312078507359052</v>
      </c>
      <c r="F21" s="574">
        <f>IFERROR(F18/'P&amp;L'!F8,0)</f>
        <v>8.6342012712435467E-2</v>
      </c>
      <c r="G21" s="574">
        <f>IFERROR(G18/'P&amp;L'!G8,0)</f>
        <v>0.12244872260367648</v>
      </c>
      <c r="H21" s="574">
        <f>IFERROR(H18/'P&amp;L'!H8,0)</f>
        <v>0.16265859062941515</v>
      </c>
      <c r="I21" s="574">
        <f>IFERROR(I18/'P&amp;L'!I8,0)</f>
        <v>0.1646187358135634</v>
      </c>
      <c r="J21" s="574">
        <f>IFERROR(J18/'P&amp;L'!J8,0)</f>
        <v>0.17600493295978015</v>
      </c>
      <c r="K21" s="574">
        <f>IFERROR(K18/'P&amp;L'!K8,0)</f>
        <v>0.19085739368598184</v>
      </c>
      <c r="L21" s="575">
        <f>IFERROR(L18/'P&amp;L'!L8,0)</f>
        <v>0.20589730250413396</v>
      </c>
      <c r="M21" s="581" t="s">
        <v>697</v>
      </c>
    </row>
    <row r="22" spans="1:13" ht="15.75" customHeight="1" x14ac:dyDescent="0.2">
      <c r="A22" s="576" t="s">
        <v>698</v>
      </c>
      <c r="B22" s="577" t="s">
        <v>508</v>
      </c>
      <c r="C22" s="407"/>
      <c r="D22" s="578"/>
      <c r="E22" s="578">
        <f>IFERROR(('P&amp;L'!E8/'P&amp;L'!D8-1)*100 + E21*100,0)</f>
        <v>78.974578507359098</v>
      </c>
      <c r="F22" s="578">
        <f>IFERROR(('P&amp;L'!F8/'P&amp;L'!E8-1)*100 + F21*100,0)</f>
        <v>54.791904766623212</v>
      </c>
      <c r="G22" s="578">
        <f>IFERROR(('P&amp;L'!G8/'P&amp;L'!F8-1)*100 + G21*100,0)</f>
        <v>46.530818297467121</v>
      </c>
      <c r="H22" s="578">
        <f>IFERROR(('P&amp;L'!H8/'P&amp;L'!G8-1)*100 + H21*100,0)</f>
        <v>41.531223747945937</v>
      </c>
      <c r="I22" s="578">
        <f>IFERROR(('P&amp;L'!I8/'P&amp;L'!H8-1)*100 + I21*100,0)</f>
        <v>35.881656746955656</v>
      </c>
      <c r="J22" s="578">
        <f>IFERROR(('P&amp;L'!J8/'P&amp;L'!I8-1)*100 + J21*100,0)</f>
        <v>33.122247156530179</v>
      </c>
      <c r="K22" s="578">
        <f>IFERROR(('P&amp;L'!K8/'P&amp;L'!J8-1)*100 + K21*100,0)</f>
        <v>31.585583770875253</v>
      </c>
      <c r="L22" s="579">
        <f>IFERROR(('P&amp;L'!L8/'P&amp;L'!K8-1)*100 + L21*100,0)</f>
        <v>30.60850118400338</v>
      </c>
      <c r="M22" s="581" t="s">
        <v>699</v>
      </c>
    </row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</sheetData>
  <mergeCells count="5">
    <mergeCell ref="A1:N1"/>
    <mergeCell ref="A2:N2"/>
    <mergeCell ref="A8:M8"/>
    <mergeCell ref="A13:M13"/>
    <mergeCell ref="A20:M20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F913-9BEF-42B7-8A6A-D447E5C687D7}">
  <sheetPr>
    <tabColor rgb="FF548235"/>
  </sheetPr>
  <dimension ref="A1:N52"/>
  <sheetViews>
    <sheetView showGridLines="0" workbookViewId="0">
      <selection activeCell="E34" sqref="E34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3" width="9.1640625"/>
  </cols>
  <sheetData>
    <row r="1" spans="1:14" ht="28" customHeight="1" x14ac:dyDescent="0.25">
      <c r="A1" s="982" t="s">
        <v>700</v>
      </c>
      <c r="B1" s="982"/>
      <c r="C1" s="982"/>
      <c r="D1" s="982"/>
      <c r="E1" s="982"/>
      <c r="F1" s="982"/>
      <c r="G1" s="982"/>
      <c r="H1" s="982"/>
      <c r="I1" s="982"/>
      <c r="J1" s="982"/>
      <c r="K1" s="982"/>
      <c r="L1" s="982"/>
      <c r="M1" s="982"/>
      <c r="N1" s="982"/>
    </row>
    <row r="2" spans="1:14" ht="15.75" customHeight="1" x14ac:dyDescent="0.2">
      <c r="A2" s="937" t="s">
        <v>701</v>
      </c>
      <c r="B2" s="937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7"/>
      <c r="N2" s="937"/>
    </row>
    <row r="3" spans="1:14" ht="15.75" customHeight="1" x14ac:dyDescent="0.2">
      <c r="A3" s="937" t="s">
        <v>702</v>
      </c>
      <c r="B3" s="983"/>
      <c r="C3" s="983"/>
      <c r="D3" s="983"/>
      <c r="E3" s="983"/>
      <c r="F3" s="983"/>
      <c r="G3" s="983"/>
      <c r="H3" s="983"/>
      <c r="I3" s="983"/>
      <c r="J3" s="983"/>
      <c r="K3" s="983"/>
      <c r="L3" s="983"/>
    </row>
    <row r="4" spans="1:14" ht="15.75" customHeight="1" x14ac:dyDescent="0.2"/>
    <row r="5" spans="1:14" ht="15.75" customHeight="1" x14ac:dyDescent="0.2">
      <c r="A5" s="450"/>
      <c r="B5" s="450" t="s">
        <v>495</v>
      </c>
      <c r="C5" s="582">
        <v>2024</v>
      </c>
      <c r="D5" s="582">
        <v>2025</v>
      </c>
      <c r="E5" s="582">
        <v>2026</v>
      </c>
      <c r="F5" s="582">
        <v>2027</v>
      </c>
      <c r="G5" s="582">
        <v>2028</v>
      </c>
      <c r="H5" s="582">
        <v>2029</v>
      </c>
      <c r="I5" s="582">
        <v>2030</v>
      </c>
      <c r="J5" s="582">
        <v>2031</v>
      </c>
      <c r="K5" s="582">
        <v>2032</v>
      </c>
      <c r="L5" s="582">
        <v>2033</v>
      </c>
    </row>
    <row r="6" spans="1:14" ht="15.75" customHeight="1" x14ac:dyDescent="0.2"/>
    <row r="7" spans="1:14" ht="22" customHeight="1" x14ac:dyDescent="0.2">
      <c r="A7" s="933" t="s">
        <v>703</v>
      </c>
      <c r="B7" s="984"/>
      <c r="C7" s="984"/>
      <c r="D7" s="984"/>
      <c r="E7" s="984"/>
      <c r="F7" s="984"/>
      <c r="G7" s="984"/>
      <c r="H7" s="984"/>
      <c r="I7" s="984"/>
      <c r="J7" s="984"/>
      <c r="K7" s="984"/>
      <c r="L7" s="984"/>
    </row>
    <row r="8" spans="1:14" ht="15.75" customHeight="1" x14ac:dyDescent="0.2">
      <c r="A8" s="30" t="s">
        <v>704</v>
      </c>
      <c r="B8" s="80" t="s">
        <v>705</v>
      </c>
      <c r="C8" s="27"/>
      <c r="D8" s="583">
        <v>6</v>
      </c>
      <c r="E8" s="27"/>
      <c r="F8" s="27"/>
      <c r="G8" s="27"/>
      <c r="H8" s="27"/>
      <c r="I8" s="27"/>
      <c r="J8" s="27"/>
      <c r="K8" s="27"/>
      <c r="L8" s="27"/>
    </row>
    <row r="9" spans="1:14" ht="15.75" customHeight="1" x14ac:dyDescent="0.2">
      <c r="A9" s="284" t="s">
        <v>706</v>
      </c>
      <c r="B9" s="286" t="s">
        <v>707</v>
      </c>
      <c r="C9" s="110"/>
      <c r="D9" s="584">
        <v>45</v>
      </c>
      <c r="E9" s="110"/>
      <c r="F9" s="110"/>
      <c r="G9" s="110"/>
      <c r="H9" s="110"/>
      <c r="I9" s="110"/>
      <c r="J9" s="110"/>
      <c r="K9" s="110"/>
      <c r="L9" s="110"/>
    </row>
    <row r="10" spans="1:14" ht="15.75" customHeight="1" x14ac:dyDescent="0.2">
      <c r="A10" s="30" t="s">
        <v>708</v>
      </c>
      <c r="B10" s="80" t="s">
        <v>707</v>
      </c>
      <c r="C10" s="27"/>
      <c r="D10" s="583">
        <v>18</v>
      </c>
      <c r="E10" s="27"/>
      <c r="F10" s="27"/>
      <c r="G10" s="27"/>
      <c r="H10" s="27"/>
      <c r="I10" s="27"/>
      <c r="J10" s="27"/>
      <c r="K10" s="27"/>
      <c r="L10" s="27"/>
    </row>
    <row r="11" spans="1:14" ht="15.75" customHeight="1" x14ac:dyDescent="0.2">
      <c r="A11" s="284" t="s">
        <v>709</v>
      </c>
      <c r="B11" s="286" t="s">
        <v>508</v>
      </c>
      <c r="C11" s="110"/>
      <c r="D11" s="585">
        <v>1.4999999999999999E-2</v>
      </c>
      <c r="E11" s="110"/>
      <c r="F11" s="110"/>
      <c r="G11" s="110"/>
      <c r="H11" s="110"/>
      <c r="I11" s="110"/>
      <c r="J11" s="110"/>
      <c r="K11" s="110"/>
      <c r="L11" s="110"/>
    </row>
    <row r="12" spans="1:14" ht="15.75" customHeight="1" x14ac:dyDescent="0.2">
      <c r="A12" s="30" t="s">
        <v>710</v>
      </c>
      <c r="B12" s="80" t="s">
        <v>537</v>
      </c>
      <c r="C12" s="27"/>
      <c r="D12" s="32">
        <v>75</v>
      </c>
      <c r="E12" s="27"/>
      <c r="F12" s="27"/>
      <c r="G12" s="27"/>
      <c r="H12" s="27"/>
      <c r="I12" s="27"/>
      <c r="J12" s="27"/>
      <c r="K12" s="27"/>
      <c r="L12" s="27"/>
    </row>
    <row r="13" spans="1:14" ht="15.75" customHeight="1" x14ac:dyDescent="0.2">
      <c r="A13" s="30" t="s">
        <v>1556</v>
      </c>
      <c r="B13" s="80" t="s">
        <v>537</v>
      </c>
      <c r="C13" s="27"/>
      <c r="D13" s="32">
        <v>220</v>
      </c>
      <c r="E13" s="27"/>
      <c r="F13" s="27"/>
      <c r="G13" s="27"/>
      <c r="H13" s="27"/>
      <c r="I13" s="27"/>
      <c r="J13" s="27"/>
      <c r="K13" s="27"/>
      <c r="L13" s="27"/>
    </row>
    <row r="14" spans="1:14" ht="15.75" customHeight="1" x14ac:dyDescent="0.2">
      <c r="A14" s="284" t="s">
        <v>711</v>
      </c>
      <c r="B14" s="286" t="s">
        <v>537</v>
      </c>
      <c r="C14" s="110"/>
      <c r="D14" s="586">
        <v>0</v>
      </c>
      <c r="E14" s="586">
        <v>575</v>
      </c>
      <c r="F14" s="110"/>
      <c r="G14" s="110"/>
      <c r="H14" s="110"/>
      <c r="I14" s="110"/>
      <c r="J14" s="110"/>
      <c r="K14" s="110"/>
      <c r="L14" s="110"/>
    </row>
    <row r="15" spans="1:14" ht="15.75" customHeigh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4" ht="22" customHeight="1" x14ac:dyDescent="0.2">
      <c r="A16" s="951" t="s">
        <v>712</v>
      </c>
      <c r="B16" s="946"/>
      <c r="C16" s="946"/>
      <c r="D16" s="946"/>
      <c r="E16" s="946"/>
      <c r="F16" s="946"/>
      <c r="G16" s="946"/>
      <c r="H16" s="946"/>
      <c r="I16" s="946"/>
      <c r="J16" s="946"/>
      <c r="K16" s="946"/>
      <c r="L16" s="946"/>
    </row>
    <row r="17" spans="1:12" ht="15.75" customHeight="1" x14ac:dyDescent="0.2">
      <c r="A17" s="27" t="s">
        <v>713</v>
      </c>
      <c r="B17" s="80" t="s">
        <v>537</v>
      </c>
      <c r="C17" s="287">
        <f>D13</f>
        <v>220</v>
      </c>
      <c r="D17" s="287">
        <f>Members!D34*ARPU!D10*$D$8/12</f>
        <v>343</v>
      </c>
      <c r="E17" s="287">
        <f>Members!E34*ARPU!E10*$D$8/12</f>
        <v>526.04881</v>
      </c>
      <c r="F17" s="287">
        <f>Members!F34*ARPU!F10*$D$8/12</f>
        <v>743.39113633959994</v>
      </c>
      <c r="G17" s="287">
        <f>Members!G34*ARPU!G10*$D$8/12</f>
        <v>960.17885951895403</v>
      </c>
      <c r="H17" s="287">
        <f>Members!H34*ARPU!H10*$D$8/12</f>
        <v>1172.9352912111638</v>
      </c>
      <c r="I17" s="287">
        <f>Members!I34*ARPU!I10*$D$8/12</f>
        <v>1373.6362488903062</v>
      </c>
      <c r="J17" s="287">
        <f>Members!J34*ARPU!J10*$D$8/12</f>
        <v>1567.6486326835732</v>
      </c>
      <c r="K17" s="287">
        <f>Members!K34*ARPU!K10*$D$8/12</f>
        <v>1740.6229828138792</v>
      </c>
      <c r="L17" s="287">
        <f>Members!L34*ARPU!L10*$D$8/12</f>
        <v>1898.6193309638945</v>
      </c>
    </row>
    <row r="18" spans="1:12" ht="15.75" customHeight="1" x14ac:dyDescent="0.2">
      <c r="A18" s="110" t="s">
        <v>714</v>
      </c>
      <c r="B18" s="286" t="s">
        <v>537</v>
      </c>
      <c r="C18" s="285">
        <v>0</v>
      </c>
      <c r="D18" s="285">
        <f>'P&amp;L'!E13*$D$9/365</f>
        <v>24.530794520547939</v>
      </c>
      <c r="E18" s="285">
        <f>'P&amp;L'!F13*$D$9/365</f>
        <v>30.018236054794507</v>
      </c>
      <c r="F18" s="285">
        <f>'P&amp;L'!G13*$D$9/365</f>
        <v>31.835138695890393</v>
      </c>
      <c r="G18" s="285">
        <f>'P&amp;L'!H13*$D$9/365</f>
        <v>32.879976748865737</v>
      </c>
      <c r="H18" s="285">
        <f>'P&amp;L'!I13*$D$9/365</f>
        <v>32.913463476898258</v>
      </c>
      <c r="I18" s="285">
        <f>'P&amp;L'!J13*$D$9/365</f>
        <v>33.192533152640728</v>
      </c>
      <c r="J18" s="285">
        <f>'P&amp;L'!K13*$D$9/365</f>
        <v>32.120348495935055</v>
      </c>
      <c r="K18" s="285">
        <f>'P&amp;L'!L13*$D$9/365</f>
        <v>31.306429070567255</v>
      </c>
      <c r="L18" s="285">
        <f>K18*1.05</f>
        <v>32.871750524095617</v>
      </c>
    </row>
    <row r="19" spans="1:12" ht="15.75" customHeight="1" x14ac:dyDescent="0.2">
      <c r="A19" s="27" t="s">
        <v>715</v>
      </c>
      <c r="B19" s="80" t="s">
        <v>537</v>
      </c>
      <c r="C19" s="287">
        <v>0</v>
      </c>
      <c r="D19" s="287">
        <f>'P&amp;L'!D14*$D$10/365</f>
        <v>10.284361643835615</v>
      </c>
      <c r="E19" s="287">
        <f>'P&amp;L'!E14*$D$10/365</f>
        <v>10.841163410958906</v>
      </c>
      <c r="F19" s="287">
        <f>'P&amp;L'!F14*$D$10/365</f>
        <v>15.392475602963508</v>
      </c>
      <c r="G19" s="287">
        <f>'P&amp;L'!G14*$D$10/365</f>
        <v>20.061992320734884</v>
      </c>
      <c r="H19" s="287">
        <f>'P&amp;L'!H14*$D$10/365</f>
        <v>24.369190636262921</v>
      </c>
      <c r="I19" s="287">
        <f>'P&amp;L'!I14*$D$10/365</f>
        <v>28.192208535254309</v>
      </c>
      <c r="J19" s="287">
        <f>'P&amp;L'!J14*$D$10/365</f>
        <v>31.517548792209745</v>
      </c>
      <c r="K19" s="287">
        <f>'P&amp;L'!K14*$D$10/365</f>
        <v>34.275286905626125</v>
      </c>
      <c r="L19" s="287">
        <f>'P&amp;L'!L14*$D$10/365</f>
        <v>36.408930443133933</v>
      </c>
    </row>
    <row r="20" spans="1:12" ht="15.75" customHeight="1" x14ac:dyDescent="0.2">
      <c r="A20" s="110" t="s">
        <v>716</v>
      </c>
      <c r="B20" s="286" t="s">
        <v>537</v>
      </c>
      <c r="C20" s="285">
        <v>0</v>
      </c>
      <c r="D20" s="285">
        <f>'P&amp;L'!D8*$D$11</f>
        <v>7.8203999999999985</v>
      </c>
      <c r="E20" s="285">
        <f>'P&amp;L'!E8*$D$11</f>
        <v>13.19008215</v>
      </c>
      <c r="F20" s="285">
        <f>'P&amp;L'!F8*$D$11</f>
        <v>19.278321159594</v>
      </c>
      <c r="G20" s="285">
        <f>'P&amp;L'!G8*$D$11</f>
        <v>25.888075949231126</v>
      </c>
      <c r="H20" s="285">
        <f>'P&amp;L'!H8*$D$11</f>
        <v>32.428792747735294</v>
      </c>
      <c r="I20" s="285">
        <f>'P&amp;L'!I8*$D$11</f>
        <v>38.726393982567075</v>
      </c>
      <c r="J20" s="285">
        <f>'P&amp;L'!J8*$D$11</f>
        <v>44.737409535608826</v>
      </c>
      <c r="K20" s="285">
        <f>'P&amp;L'!K8*$D$11</f>
        <v>50.329516117169398</v>
      </c>
      <c r="L20" s="285">
        <f>'P&amp;L'!L8*$D$11</f>
        <v>55.371915048932848</v>
      </c>
    </row>
    <row r="21" spans="1:12" ht="15.75" customHeight="1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22" customHeight="1" x14ac:dyDescent="0.2">
      <c r="A22" s="951" t="s">
        <v>717</v>
      </c>
      <c r="B22" s="946"/>
      <c r="C22" s="946"/>
      <c r="D22" s="946"/>
      <c r="E22" s="946"/>
      <c r="F22" s="946"/>
      <c r="G22" s="946"/>
      <c r="H22" s="946"/>
      <c r="I22" s="946"/>
      <c r="J22" s="946"/>
      <c r="K22" s="946"/>
      <c r="L22" s="946"/>
    </row>
    <row r="23" spans="1:12" ht="15.75" customHeight="1" x14ac:dyDescent="0.2">
      <c r="A23" s="27" t="s">
        <v>718</v>
      </c>
      <c r="B23" s="80" t="s">
        <v>537</v>
      </c>
      <c r="C23" s="287"/>
      <c r="D23" s="287">
        <f t="shared" ref="D23:L23" si="0">D17-C17</f>
        <v>123</v>
      </c>
      <c r="E23" s="287">
        <f t="shared" si="0"/>
        <v>183.04881</v>
      </c>
      <c r="F23" s="287">
        <f t="shared" si="0"/>
        <v>217.34232633959994</v>
      </c>
      <c r="G23" s="287">
        <f t="shared" si="0"/>
        <v>216.78772317935409</v>
      </c>
      <c r="H23" s="287">
        <f t="shared" si="0"/>
        <v>212.75643169220973</v>
      </c>
      <c r="I23" s="287">
        <f t="shared" si="0"/>
        <v>200.70095767914245</v>
      </c>
      <c r="J23" s="287">
        <f t="shared" si="0"/>
        <v>194.01238379326696</v>
      </c>
      <c r="K23" s="287">
        <f t="shared" si="0"/>
        <v>172.97435013030599</v>
      </c>
      <c r="L23" s="287">
        <f t="shared" si="0"/>
        <v>157.99634815001536</v>
      </c>
    </row>
    <row r="24" spans="1:12" ht="15.75" customHeight="1" x14ac:dyDescent="0.2">
      <c r="A24" s="110" t="s">
        <v>719</v>
      </c>
      <c r="B24" s="286" t="s">
        <v>537</v>
      </c>
      <c r="C24" s="285"/>
      <c r="D24" s="285">
        <f t="shared" ref="D24:L24" si="1">-(D18-C18)</f>
        <v>-24.530794520547939</v>
      </c>
      <c r="E24" s="285">
        <f t="shared" si="1"/>
        <v>-5.4874415342465674</v>
      </c>
      <c r="F24" s="285">
        <f t="shared" si="1"/>
        <v>-1.8169026410958864</v>
      </c>
      <c r="G24" s="285">
        <f t="shared" si="1"/>
        <v>-1.0448380529753436</v>
      </c>
      <c r="H24" s="285">
        <f t="shared" si="1"/>
        <v>-3.3486728032521285E-2</v>
      </c>
      <c r="I24" s="285">
        <f t="shared" si="1"/>
        <v>-0.27906967574246977</v>
      </c>
      <c r="J24" s="285">
        <f t="shared" si="1"/>
        <v>1.072184656705673</v>
      </c>
      <c r="K24" s="285">
        <f t="shared" si="1"/>
        <v>0.81391942536779993</v>
      </c>
      <c r="L24" s="285">
        <f t="shared" si="1"/>
        <v>-1.5653214535283624</v>
      </c>
    </row>
    <row r="25" spans="1:12" ht="15.75" customHeight="1" x14ac:dyDescent="0.2">
      <c r="A25" s="27" t="s">
        <v>720</v>
      </c>
      <c r="B25" s="80" t="s">
        <v>537</v>
      </c>
      <c r="C25" s="287"/>
      <c r="D25" s="287">
        <f t="shared" ref="D25:L25" si="2">D19-C19</f>
        <v>10.284361643835615</v>
      </c>
      <c r="E25" s="287">
        <f t="shared" si="2"/>
        <v>0.55680176712329121</v>
      </c>
      <c r="F25" s="287">
        <f t="shared" si="2"/>
        <v>4.5513121920046018</v>
      </c>
      <c r="G25" s="287">
        <f t="shared" si="2"/>
        <v>4.6695167177713763</v>
      </c>
      <c r="H25" s="287">
        <f t="shared" si="2"/>
        <v>4.3071983155280371</v>
      </c>
      <c r="I25" s="287">
        <f t="shared" si="2"/>
        <v>3.8230178989913881</v>
      </c>
      <c r="J25" s="287">
        <f t="shared" si="2"/>
        <v>3.3253402569554353</v>
      </c>
      <c r="K25" s="287">
        <f t="shared" si="2"/>
        <v>2.7577381134163801</v>
      </c>
      <c r="L25" s="287">
        <f t="shared" si="2"/>
        <v>2.1336435375078082</v>
      </c>
    </row>
    <row r="26" spans="1:12" ht="15.75" customHeight="1" thickBot="1" x14ac:dyDescent="0.25">
      <c r="A26" s="110" t="s">
        <v>721</v>
      </c>
      <c r="B26" s="286" t="s">
        <v>537</v>
      </c>
      <c r="C26" s="285"/>
      <c r="D26" s="285">
        <f t="shared" ref="D26:L26" si="3">-(D20-C20)</f>
        <v>-7.8203999999999985</v>
      </c>
      <c r="E26" s="285">
        <f t="shared" si="3"/>
        <v>-5.3696821500000018</v>
      </c>
      <c r="F26" s="285">
        <f t="shared" si="3"/>
        <v>-6.088239009594</v>
      </c>
      <c r="G26" s="285">
        <f t="shared" si="3"/>
        <v>-6.609754789637126</v>
      </c>
      <c r="H26" s="285">
        <f t="shared" si="3"/>
        <v>-6.5407167985041674</v>
      </c>
      <c r="I26" s="285">
        <f t="shared" si="3"/>
        <v>-6.2976012348317809</v>
      </c>
      <c r="J26" s="285">
        <f t="shared" si="3"/>
        <v>-6.0110155530417515</v>
      </c>
      <c r="K26" s="285">
        <f t="shared" si="3"/>
        <v>-5.5921065815605715</v>
      </c>
      <c r="L26" s="285">
        <f t="shared" si="3"/>
        <v>-5.0423989317634508</v>
      </c>
    </row>
    <row r="27" spans="1:12" ht="15.75" customHeight="1" x14ac:dyDescent="0.2">
      <c r="A27" s="588" t="s">
        <v>722</v>
      </c>
      <c r="B27" s="589" t="s">
        <v>537</v>
      </c>
      <c r="C27" s="565"/>
      <c r="D27" s="565">
        <f t="shared" ref="D27:L27" si="4">SUM(D23:D26)</f>
        <v>100.93316712328767</v>
      </c>
      <c r="E27" s="565">
        <f t="shared" si="4"/>
        <v>172.74848808287675</v>
      </c>
      <c r="F27" s="565">
        <f t="shared" si="4"/>
        <v>213.98849688091465</v>
      </c>
      <c r="G27" s="565">
        <f t="shared" si="4"/>
        <v>213.80264705451302</v>
      </c>
      <c r="H27" s="565">
        <f t="shared" si="4"/>
        <v>210.48942648120106</v>
      </c>
      <c r="I27" s="565">
        <f t="shared" si="4"/>
        <v>197.94730466755959</v>
      </c>
      <c r="J27" s="565">
        <f t="shared" si="4"/>
        <v>192.39889315388632</v>
      </c>
      <c r="K27" s="565">
        <f t="shared" si="4"/>
        <v>170.95390108752957</v>
      </c>
      <c r="L27" s="565">
        <f t="shared" si="4"/>
        <v>153.52227130223139</v>
      </c>
    </row>
    <row r="28" spans="1:12" ht="15.75" customHeight="1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 ht="22" customHeight="1" x14ac:dyDescent="0.2">
      <c r="A29" s="951" t="s">
        <v>723</v>
      </c>
      <c r="B29" s="946"/>
      <c r="C29" s="946"/>
      <c r="D29" s="946"/>
      <c r="E29" s="946"/>
      <c r="F29" s="946"/>
      <c r="G29" s="946"/>
      <c r="H29" s="946"/>
      <c r="I29" s="946"/>
      <c r="J29" s="946"/>
      <c r="K29" s="946"/>
      <c r="L29" s="946"/>
    </row>
    <row r="30" spans="1:12" ht="15.75" customHeight="1" x14ac:dyDescent="0.2">
      <c r="A30" s="27" t="s">
        <v>724</v>
      </c>
      <c r="B30" s="80" t="s">
        <v>537</v>
      </c>
      <c r="C30" s="287"/>
      <c r="D30" s="287">
        <f>$D$12</f>
        <v>75</v>
      </c>
      <c r="E30" s="287">
        <f t="shared" ref="E30:L30" si="5">D34</f>
        <v>63.840767123287705</v>
      </c>
      <c r="F30" s="287">
        <f t="shared" si="5"/>
        <v>729.51887555616463</v>
      </c>
      <c r="G30" s="287">
        <f t="shared" si="5"/>
        <v>840.48747893190318</v>
      </c>
      <c r="H30" s="287">
        <f t="shared" si="5"/>
        <v>1051.818267641924</v>
      </c>
      <c r="I30" s="287">
        <f t="shared" si="5"/>
        <v>1403.4730492525921</v>
      </c>
      <c r="J30" s="287">
        <f t="shared" si="5"/>
        <v>1828.4790505878041</v>
      </c>
      <c r="K30" s="287">
        <f t="shared" si="5"/>
        <v>2353.4127016617413</v>
      </c>
      <c r="L30" s="287">
        <f t="shared" si="5"/>
        <v>2993.7967197683793</v>
      </c>
    </row>
    <row r="31" spans="1:12" ht="15.75" customHeight="1" x14ac:dyDescent="0.2">
      <c r="A31" s="284" t="s">
        <v>725</v>
      </c>
      <c r="B31" s="286" t="s">
        <v>537</v>
      </c>
      <c r="C31" s="285"/>
      <c r="D31" s="587">
        <f>$D$14</f>
        <v>0</v>
      </c>
      <c r="E31" s="587">
        <f>$E$14</f>
        <v>575</v>
      </c>
      <c r="F31" s="285"/>
      <c r="G31" s="285"/>
      <c r="H31" s="285"/>
      <c r="I31" s="285"/>
      <c r="J31" s="285"/>
      <c r="K31" s="285"/>
      <c r="L31" s="285"/>
    </row>
    <row r="32" spans="1:12" ht="15.75" customHeight="1" x14ac:dyDescent="0.2">
      <c r="A32" s="30" t="s">
        <v>726</v>
      </c>
      <c r="B32" s="80" t="s">
        <v>537</v>
      </c>
      <c r="C32" s="287"/>
      <c r="D32" s="503">
        <f>FCF!D18</f>
        <v>-11.159232876712295</v>
      </c>
      <c r="E32" s="503">
        <f>FCF!E18</f>
        <v>90.678108432876854</v>
      </c>
      <c r="F32" s="503">
        <f>FCF!F18</f>
        <v>110.96860337573858</v>
      </c>
      <c r="G32" s="503">
        <f>FCF!G18</f>
        <v>211.33078871002073</v>
      </c>
      <c r="H32" s="503">
        <f>FCF!H18</f>
        <v>351.65478161066812</v>
      </c>
      <c r="I32" s="503">
        <f>FCF!I18</f>
        <v>425.00600133521209</v>
      </c>
      <c r="J32" s="503">
        <f>FCF!J18</f>
        <v>524.93365107393743</v>
      </c>
      <c r="K32" s="503">
        <f>FCF!K18</f>
        <v>640.38401810663788</v>
      </c>
      <c r="L32" s="503">
        <f>FCF!L18</f>
        <v>760.06186287088894</v>
      </c>
    </row>
    <row r="33" spans="1:12" ht="15.75" customHeight="1" thickBot="1" x14ac:dyDescent="0.25">
      <c r="A33" s="27"/>
      <c r="B33" s="27"/>
      <c r="C33" s="287"/>
      <c r="D33" s="287"/>
      <c r="E33" s="287"/>
      <c r="F33" s="287"/>
      <c r="G33" s="287"/>
      <c r="H33" s="287"/>
      <c r="I33" s="287"/>
      <c r="J33" s="287"/>
      <c r="K33" s="287"/>
      <c r="L33" s="287"/>
    </row>
    <row r="34" spans="1:12" ht="15.75" customHeight="1" thickBot="1" x14ac:dyDescent="0.25">
      <c r="A34" s="569" t="s">
        <v>727</v>
      </c>
      <c r="B34" s="590" t="s">
        <v>537</v>
      </c>
      <c r="C34" s="570"/>
      <c r="D34" s="570">
        <f>D30+D31+D32</f>
        <v>63.840767123287705</v>
      </c>
      <c r="E34" s="570">
        <f>E30+E31+E32</f>
        <v>729.51887555616463</v>
      </c>
      <c r="F34" s="570">
        <f t="shared" ref="F34:L34" si="6">F30+F32</f>
        <v>840.48747893190318</v>
      </c>
      <c r="G34" s="570">
        <f t="shared" si="6"/>
        <v>1051.818267641924</v>
      </c>
      <c r="H34" s="570">
        <f t="shared" si="6"/>
        <v>1403.4730492525921</v>
      </c>
      <c r="I34" s="570">
        <f t="shared" si="6"/>
        <v>1828.4790505878041</v>
      </c>
      <c r="J34" s="570">
        <f t="shared" si="6"/>
        <v>2353.4127016617413</v>
      </c>
      <c r="K34" s="570">
        <f t="shared" si="6"/>
        <v>2993.7967197683793</v>
      </c>
      <c r="L34" s="570">
        <f t="shared" si="6"/>
        <v>3753.8585826392682</v>
      </c>
    </row>
    <row r="35" spans="1:12" ht="15.75" customHeight="1" thickTop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>
      <c r="A41" s="408"/>
      <c r="B41" s="408"/>
      <c r="C41" s="408"/>
      <c r="D41" s="365"/>
      <c r="E41" s="365"/>
      <c r="F41" s="365"/>
      <c r="G41" s="365"/>
      <c r="H41" s="365"/>
      <c r="I41" s="365"/>
      <c r="J41" s="365"/>
      <c r="K41" s="365"/>
      <c r="L41" s="365"/>
    </row>
    <row r="42" spans="1:12" ht="15.75" customHeight="1" x14ac:dyDescent="0.2">
      <c r="A42" s="408"/>
      <c r="B42" s="408"/>
      <c r="C42" s="408"/>
      <c r="D42" s="365"/>
      <c r="E42" s="365"/>
      <c r="F42" s="408"/>
      <c r="G42" s="408"/>
      <c r="H42" s="408"/>
      <c r="I42" s="408"/>
      <c r="J42" s="408"/>
      <c r="K42" s="408"/>
      <c r="L42" s="408"/>
    </row>
    <row r="43" spans="1:12" ht="15.75" customHeight="1" x14ac:dyDescent="0.2">
      <c r="A43" s="408"/>
      <c r="B43" s="408"/>
      <c r="C43" s="408"/>
      <c r="D43" s="365"/>
      <c r="E43" s="365"/>
      <c r="F43" s="365"/>
      <c r="G43" s="365"/>
      <c r="H43" s="365"/>
      <c r="I43" s="365"/>
      <c r="J43" s="365"/>
      <c r="K43" s="365"/>
      <c r="L43" s="365"/>
    </row>
    <row r="44" spans="1:12" ht="15.75" customHeight="1" x14ac:dyDescent="0.2">
      <c r="A44" s="408"/>
      <c r="B44" s="408"/>
      <c r="C44" s="408"/>
      <c r="D44" s="408"/>
      <c r="E44" s="408"/>
      <c r="F44" s="408"/>
      <c r="G44" s="408"/>
      <c r="H44" s="408"/>
      <c r="I44" s="408"/>
      <c r="J44" s="408"/>
      <c r="K44" s="408"/>
      <c r="L44" s="408"/>
    </row>
    <row r="45" spans="1:12" ht="15.75" customHeight="1" x14ac:dyDescent="0.2">
      <c r="A45" s="447"/>
      <c r="B45" s="408"/>
      <c r="C45" s="408"/>
      <c r="D45" s="591"/>
      <c r="E45" s="591"/>
      <c r="F45" s="591"/>
      <c r="G45" s="591"/>
      <c r="H45" s="591"/>
      <c r="I45" s="591"/>
      <c r="J45" s="591"/>
      <c r="K45" s="591"/>
      <c r="L45" s="591"/>
    </row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</sheetData>
  <mergeCells count="7">
    <mergeCell ref="A29:L29"/>
    <mergeCell ref="A1:N1"/>
    <mergeCell ref="A2:N2"/>
    <mergeCell ref="A3:L3"/>
    <mergeCell ref="A7:L7"/>
    <mergeCell ref="A16:L16"/>
    <mergeCell ref="A22:L2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FB1E-221E-419A-9BFA-131F37C5155F}">
  <dimension ref="A1:N138"/>
  <sheetViews>
    <sheetView showGridLines="0" topLeftCell="A42" workbookViewId="0">
      <selection activeCell="E32" sqref="E32"/>
    </sheetView>
  </sheetViews>
  <sheetFormatPr baseColWidth="10" defaultColWidth="8.83203125" defaultRowHeight="15" x14ac:dyDescent="0.2"/>
  <cols>
    <col min="1" max="1" width="45.6640625" customWidth="1"/>
    <col min="2" max="2" width="21" customWidth="1"/>
    <col min="3" max="14" width="15.33203125" customWidth="1"/>
  </cols>
  <sheetData>
    <row r="1" spans="1:14" ht="21" x14ac:dyDescent="0.25">
      <c r="A1" s="721" t="s">
        <v>786</v>
      </c>
    </row>
    <row r="2" spans="1:14" x14ac:dyDescent="0.2">
      <c r="A2" s="722" t="s">
        <v>787</v>
      </c>
    </row>
    <row r="3" spans="1:14" x14ac:dyDescent="0.2">
      <c r="A3" s="722" t="s">
        <v>788</v>
      </c>
    </row>
    <row r="5" spans="1:14" ht="16" x14ac:dyDescent="0.2">
      <c r="A5" s="723" t="s">
        <v>789</v>
      </c>
    </row>
    <row r="6" spans="1:14" x14ac:dyDescent="0.2">
      <c r="A6" t="s">
        <v>790</v>
      </c>
    </row>
    <row r="7" spans="1:14" x14ac:dyDescent="0.2">
      <c r="A7" t="s">
        <v>791</v>
      </c>
    </row>
    <row r="8" spans="1:14" x14ac:dyDescent="0.2">
      <c r="A8" t="s">
        <v>792</v>
      </c>
    </row>
    <row r="9" spans="1:14" x14ac:dyDescent="0.2">
      <c r="A9" t="s">
        <v>793</v>
      </c>
    </row>
    <row r="10" spans="1:14" x14ac:dyDescent="0.2">
      <c r="A10" t="s">
        <v>794</v>
      </c>
    </row>
    <row r="13" spans="1:14" ht="16" x14ac:dyDescent="0.2">
      <c r="A13" s="723" t="s">
        <v>795</v>
      </c>
    </row>
    <row r="14" spans="1:14" x14ac:dyDescent="0.2">
      <c r="A14" s="722" t="s">
        <v>796</v>
      </c>
    </row>
    <row r="16" spans="1:14" x14ac:dyDescent="0.2">
      <c r="A16" s="726" t="s">
        <v>797</v>
      </c>
      <c r="B16" s="727" t="s">
        <v>798</v>
      </c>
      <c r="C16" s="728" t="s">
        <v>799</v>
      </c>
      <c r="D16" s="728" t="s">
        <v>800</v>
      </c>
      <c r="E16" s="728" t="s">
        <v>801</v>
      </c>
      <c r="F16" s="728" t="s">
        <v>802</v>
      </c>
      <c r="G16" s="728" t="s">
        <v>803</v>
      </c>
      <c r="H16" s="728" t="s">
        <v>804</v>
      </c>
      <c r="I16" s="728" t="s">
        <v>805</v>
      </c>
      <c r="J16" s="728" t="s">
        <v>806</v>
      </c>
      <c r="K16" s="728" t="s">
        <v>807</v>
      </c>
      <c r="L16" s="728" t="s">
        <v>808</v>
      </c>
      <c r="M16" s="729" t="s">
        <v>809</v>
      </c>
      <c r="N16" s="730" t="s">
        <v>810</v>
      </c>
    </row>
    <row r="17" spans="1:14" x14ac:dyDescent="0.2">
      <c r="A17" s="731" t="s">
        <v>811</v>
      </c>
      <c r="B17" s="732" t="s">
        <v>812</v>
      </c>
      <c r="C17" s="733">
        <v>1.0289999999999999</v>
      </c>
      <c r="D17" s="733">
        <v>1.0189999999999999</v>
      </c>
      <c r="E17" s="733">
        <v>0.216</v>
      </c>
      <c r="F17" s="734">
        <v>45250</v>
      </c>
      <c r="G17" s="734">
        <v>216</v>
      </c>
      <c r="H17" s="734">
        <v>2700</v>
      </c>
      <c r="I17" s="735">
        <f t="shared" ref="I17:I23" si="0">G17/F17</f>
        <v>4.7734806629834252E-3</v>
      </c>
      <c r="J17" s="736">
        <v>0.111</v>
      </c>
      <c r="K17" s="736">
        <v>0.21</v>
      </c>
      <c r="L17" s="737">
        <f>K17</f>
        <v>0.21</v>
      </c>
      <c r="M17" s="738">
        <f t="shared" ref="M17:M23" si="1">D17/(1+(1-L17)*I17)</f>
        <v>1.0151717369019899</v>
      </c>
      <c r="N17" s="739">
        <f t="shared" ref="N17:N23" si="2">C17/(1+(1-L17)*I17)</f>
        <v>1.0251341680786532</v>
      </c>
    </row>
    <row r="18" spans="1:14" x14ac:dyDescent="0.2">
      <c r="A18" s="731" t="s">
        <v>813</v>
      </c>
      <c r="B18" s="732" t="s">
        <v>814</v>
      </c>
      <c r="C18" s="733">
        <v>2.2829999999999999</v>
      </c>
      <c r="D18" s="733">
        <v>1.855</v>
      </c>
      <c r="E18" s="733">
        <v>0.185</v>
      </c>
      <c r="F18" s="734">
        <v>2200</v>
      </c>
      <c r="G18" s="734">
        <v>1950</v>
      </c>
      <c r="H18" s="734">
        <v>1180</v>
      </c>
      <c r="I18" s="735">
        <f t="shared" si="0"/>
        <v>0.88636363636363635</v>
      </c>
      <c r="J18" s="740" t="s">
        <v>815</v>
      </c>
      <c r="K18" s="736">
        <v>0.25</v>
      </c>
      <c r="L18" s="737">
        <f t="shared" ref="L18:L23" si="3">K18</f>
        <v>0.25</v>
      </c>
      <c r="M18" s="738">
        <f t="shared" si="1"/>
        <v>1.1142662116040956</v>
      </c>
      <c r="N18" s="739">
        <f t="shared" si="2"/>
        <v>1.371358361774744</v>
      </c>
    </row>
    <row r="19" spans="1:14" x14ac:dyDescent="0.2">
      <c r="A19" s="731" t="s">
        <v>816</v>
      </c>
      <c r="B19" s="732" t="s">
        <v>817</v>
      </c>
      <c r="C19" s="733">
        <v>1.014</v>
      </c>
      <c r="D19" s="733">
        <v>1.01</v>
      </c>
      <c r="E19" s="733">
        <v>0.13400000000000001</v>
      </c>
      <c r="F19" s="734">
        <v>86260</v>
      </c>
      <c r="G19" s="734">
        <v>549</v>
      </c>
      <c r="H19" s="734">
        <v>7260</v>
      </c>
      <c r="I19" s="735">
        <f t="shared" si="0"/>
        <v>6.3644794806399256E-3</v>
      </c>
      <c r="J19" s="736">
        <v>7.9000000000000001E-2</v>
      </c>
      <c r="K19" s="736">
        <v>0.25</v>
      </c>
      <c r="L19" s="737">
        <f t="shared" si="3"/>
        <v>0.25</v>
      </c>
      <c r="M19" s="738">
        <f t="shared" si="1"/>
        <v>1.0052018102784355</v>
      </c>
      <c r="N19" s="739">
        <f t="shared" si="2"/>
        <v>1.009182807546865</v>
      </c>
    </row>
    <row r="20" spans="1:14" x14ac:dyDescent="0.2">
      <c r="A20" s="731" t="s">
        <v>818</v>
      </c>
      <c r="B20" s="732" t="s">
        <v>819</v>
      </c>
      <c r="C20" s="733">
        <v>1.08</v>
      </c>
      <c r="D20" s="733">
        <v>1.054</v>
      </c>
      <c r="E20" s="733">
        <v>0.11899999999999999</v>
      </c>
      <c r="F20" s="734">
        <v>22950</v>
      </c>
      <c r="G20" s="734">
        <v>1380</v>
      </c>
      <c r="H20" s="734">
        <v>2420</v>
      </c>
      <c r="I20" s="735">
        <f t="shared" si="0"/>
        <v>6.0130718954248367E-2</v>
      </c>
      <c r="J20" s="736">
        <v>0.221</v>
      </c>
      <c r="K20" s="736">
        <v>0.25</v>
      </c>
      <c r="L20" s="737">
        <f t="shared" si="3"/>
        <v>0.25</v>
      </c>
      <c r="M20" s="738">
        <f t="shared" si="1"/>
        <v>1.0085178236397749</v>
      </c>
      <c r="N20" s="739">
        <f t="shared" si="2"/>
        <v>1.0333958724202628</v>
      </c>
    </row>
    <row r="21" spans="1:14" x14ac:dyDescent="0.2">
      <c r="A21" s="731" t="s">
        <v>820</v>
      </c>
      <c r="B21" s="732" t="s">
        <v>819</v>
      </c>
      <c r="C21" s="733">
        <v>0.96199999999999997</v>
      </c>
      <c r="D21" s="733">
        <v>0.97399999999999998</v>
      </c>
      <c r="E21" s="733">
        <v>0.18099999999999999</v>
      </c>
      <c r="F21" s="734">
        <v>30150</v>
      </c>
      <c r="G21" s="734">
        <v>843</v>
      </c>
      <c r="H21" s="734">
        <v>1660</v>
      </c>
      <c r="I21" s="735">
        <f t="shared" si="0"/>
        <v>2.7960199004975126E-2</v>
      </c>
      <c r="J21" s="736">
        <v>0.17899999999999999</v>
      </c>
      <c r="K21" s="736">
        <v>0.27</v>
      </c>
      <c r="L21" s="737">
        <f t="shared" si="3"/>
        <v>0.27</v>
      </c>
      <c r="M21" s="738">
        <f t="shared" si="1"/>
        <v>0.95451739763415966</v>
      </c>
      <c r="N21" s="739">
        <f t="shared" si="2"/>
        <v>0.94275742969616183</v>
      </c>
    </row>
    <row r="22" spans="1:14" x14ac:dyDescent="0.2">
      <c r="A22" s="731" t="s">
        <v>821</v>
      </c>
      <c r="B22" s="732" t="s">
        <v>819</v>
      </c>
      <c r="C22" s="733">
        <v>0.88500000000000001</v>
      </c>
      <c r="D22" s="733">
        <v>0.92400000000000004</v>
      </c>
      <c r="E22" s="733">
        <v>0.09</v>
      </c>
      <c r="F22" s="734">
        <v>9310</v>
      </c>
      <c r="G22" s="734">
        <v>559</v>
      </c>
      <c r="H22" s="734">
        <v>152</v>
      </c>
      <c r="I22" s="735">
        <f t="shared" si="0"/>
        <v>6.0042964554242753E-2</v>
      </c>
      <c r="J22" s="740" t="s">
        <v>815</v>
      </c>
      <c r="K22" s="736">
        <v>0.25</v>
      </c>
      <c r="L22" s="737">
        <f t="shared" si="3"/>
        <v>0.25</v>
      </c>
      <c r="M22" s="738">
        <f t="shared" si="1"/>
        <v>0.88418326181360329</v>
      </c>
      <c r="N22" s="739">
        <f t="shared" si="2"/>
        <v>0.84686383842536672</v>
      </c>
    </row>
    <row r="23" spans="1:14" x14ac:dyDescent="0.2">
      <c r="A23" s="741" t="s">
        <v>822</v>
      </c>
      <c r="B23" s="742" t="s">
        <v>819</v>
      </c>
      <c r="C23" s="743">
        <v>0.81599999999999995</v>
      </c>
      <c r="D23" s="743">
        <v>0.877</v>
      </c>
      <c r="E23" s="743">
        <v>5.7000000000000002E-2</v>
      </c>
      <c r="F23" s="744">
        <v>4090</v>
      </c>
      <c r="G23" s="744">
        <v>729</v>
      </c>
      <c r="H23" s="744">
        <v>550</v>
      </c>
      <c r="I23" s="745">
        <f t="shared" si="0"/>
        <v>0.178239608801956</v>
      </c>
      <c r="J23" s="746" t="s">
        <v>815</v>
      </c>
      <c r="K23" s="747">
        <v>0.25</v>
      </c>
      <c r="L23" s="737">
        <f t="shared" si="3"/>
        <v>0.25</v>
      </c>
      <c r="M23" s="748">
        <f t="shared" si="1"/>
        <v>0.77358710303553135</v>
      </c>
      <c r="N23" s="749">
        <f t="shared" si="2"/>
        <v>0.7197800183318056</v>
      </c>
    </row>
    <row r="24" spans="1:14" x14ac:dyDescent="0.2">
      <c r="A24" s="722" t="s">
        <v>823</v>
      </c>
    </row>
    <row r="27" spans="1:14" ht="16" x14ac:dyDescent="0.2">
      <c r="A27" s="723" t="s">
        <v>824</v>
      </c>
    </row>
    <row r="29" spans="1:14" ht="32" x14ac:dyDescent="0.2">
      <c r="A29" s="726" t="s">
        <v>798</v>
      </c>
      <c r="B29" s="727" t="s">
        <v>825</v>
      </c>
      <c r="C29" s="750" t="s">
        <v>826</v>
      </c>
      <c r="D29" s="751" t="s">
        <v>827</v>
      </c>
      <c r="E29" s="728" t="s">
        <v>828</v>
      </c>
      <c r="F29" s="728" t="s">
        <v>829</v>
      </c>
      <c r="G29" s="730" t="s">
        <v>830</v>
      </c>
    </row>
    <row r="30" spans="1:14" x14ac:dyDescent="0.2">
      <c r="A30" s="731" t="s">
        <v>812</v>
      </c>
      <c r="B30" s="732" t="s">
        <v>831</v>
      </c>
      <c r="C30" s="735">
        <f>MEDIAN(M17)</f>
        <v>1.0151717369019899</v>
      </c>
      <c r="D30" s="738">
        <f>MEDIAN(M17)</f>
        <v>1.0151717369019899</v>
      </c>
      <c r="E30" s="735">
        <f>MIN(M17)</f>
        <v>1.0151717369019899</v>
      </c>
      <c r="F30" s="735">
        <f>MAX(M17)</f>
        <v>1.0151717369019899</v>
      </c>
      <c r="G30" s="739">
        <f>F30-E30</f>
        <v>0</v>
      </c>
    </row>
    <row r="31" spans="1:14" x14ac:dyDescent="0.2">
      <c r="A31" s="731" t="s">
        <v>832</v>
      </c>
      <c r="B31" s="732" t="s">
        <v>833</v>
      </c>
      <c r="C31" s="735">
        <f>MEDIAN(M18:M19)</f>
        <v>1.0597340109412654</v>
      </c>
      <c r="D31" s="738">
        <f>MEDIAN(M19)</f>
        <v>1.0052018102784355</v>
      </c>
      <c r="E31" s="735">
        <f>MIN(M18:M19)</f>
        <v>1.0052018102784355</v>
      </c>
      <c r="F31" s="735">
        <f>MAX(M18:M19)</f>
        <v>1.1142662116040956</v>
      </c>
      <c r="G31" s="739">
        <f>F31-E31</f>
        <v>0.10906440132566009</v>
      </c>
    </row>
    <row r="32" spans="1:14" x14ac:dyDescent="0.2">
      <c r="A32" s="741" t="s">
        <v>819</v>
      </c>
      <c r="B32" s="742" t="s">
        <v>834</v>
      </c>
      <c r="C32" s="745">
        <f>MEDIAN(M20:M23)</f>
        <v>0.91935032972388142</v>
      </c>
      <c r="D32" s="748">
        <f>MEDIAN(M20:M23)</f>
        <v>0.91935032972388142</v>
      </c>
      <c r="E32" s="745">
        <f>MIN(M20:M23)</f>
        <v>0.77358710303553135</v>
      </c>
      <c r="F32" s="745">
        <f>MAX(M20:M23)</f>
        <v>1.0085178236397749</v>
      </c>
      <c r="G32" s="749">
        <f>F32-E32</f>
        <v>0.23493072060424358</v>
      </c>
    </row>
    <row r="33" spans="1:7" x14ac:dyDescent="0.2">
      <c r="A33" s="722" t="s">
        <v>835</v>
      </c>
    </row>
    <row r="34" spans="1:7" x14ac:dyDescent="0.2">
      <c r="A34" s="722" t="s">
        <v>836</v>
      </c>
    </row>
    <row r="35" spans="1:7" x14ac:dyDescent="0.2">
      <c r="A35" s="722" t="s">
        <v>837</v>
      </c>
    </row>
    <row r="37" spans="1:7" ht="16" x14ac:dyDescent="0.2">
      <c r="A37" s="723" t="s">
        <v>838</v>
      </c>
    </row>
    <row r="39" spans="1:7" ht="32" x14ac:dyDescent="0.2">
      <c r="A39" s="726" t="s">
        <v>798</v>
      </c>
      <c r="B39" s="728" t="s">
        <v>839</v>
      </c>
      <c r="C39" s="752" t="s">
        <v>840</v>
      </c>
      <c r="D39" s="728" t="s">
        <v>841</v>
      </c>
      <c r="E39" s="728" t="s">
        <v>842</v>
      </c>
      <c r="F39" s="728" t="s">
        <v>843</v>
      </c>
      <c r="G39" s="753" t="s">
        <v>844</v>
      </c>
    </row>
    <row r="40" spans="1:7" x14ac:dyDescent="0.2">
      <c r="A40" s="731" t="s">
        <v>812</v>
      </c>
      <c r="B40" s="735">
        <f>D30</f>
        <v>1.0151717369019899</v>
      </c>
      <c r="C40" s="732" t="s">
        <v>845</v>
      </c>
      <c r="D40" s="733">
        <v>0.83</v>
      </c>
      <c r="E40" s="740">
        <v>8</v>
      </c>
      <c r="F40" s="754">
        <f>B40-D40</f>
        <v>0.18517173690198996</v>
      </c>
      <c r="G40" s="755">
        <v>0.4</v>
      </c>
    </row>
    <row r="41" spans="1:7" x14ac:dyDescent="0.2">
      <c r="A41" s="731" t="s">
        <v>832</v>
      </c>
      <c r="B41" s="735">
        <f>D31</f>
        <v>1.0052018102784355</v>
      </c>
      <c r="C41" s="732" t="s">
        <v>846</v>
      </c>
      <c r="D41" s="733">
        <v>1.01</v>
      </c>
      <c r="E41" s="740">
        <v>77</v>
      </c>
      <c r="F41" s="754">
        <f>B41-D41</f>
        <v>-4.7981897215645386E-3</v>
      </c>
      <c r="G41" s="755">
        <v>0.43</v>
      </c>
    </row>
    <row r="42" spans="1:7" x14ac:dyDescent="0.2">
      <c r="A42" s="741" t="s">
        <v>819</v>
      </c>
      <c r="B42" s="745">
        <f>D32</f>
        <v>0.91935032972388142</v>
      </c>
      <c r="C42" s="742" t="s">
        <v>847</v>
      </c>
      <c r="D42" s="743">
        <v>0.99</v>
      </c>
      <c r="E42" s="746">
        <v>115</v>
      </c>
      <c r="F42" s="756">
        <f>B42-D42</f>
        <v>-7.064967027611857E-2</v>
      </c>
      <c r="G42" s="757">
        <v>0.39</v>
      </c>
    </row>
    <row r="43" spans="1:7" x14ac:dyDescent="0.2">
      <c r="A43" s="722" t="s">
        <v>848</v>
      </c>
    </row>
    <row r="46" spans="1:7" ht="16" x14ac:dyDescent="0.2">
      <c r="A46" s="723" t="s">
        <v>849</v>
      </c>
    </row>
    <row r="47" spans="1:7" x14ac:dyDescent="0.2">
      <c r="A47" s="722" t="s">
        <v>850</v>
      </c>
    </row>
    <row r="49" spans="1:11" ht="32" x14ac:dyDescent="0.2">
      <c r="A49" s="726" t="s">
        <v>851</v>
      </c>
      <c r="B49" s="728" t="s">
        <v>852</v>
      </c>
      <c r="C49" s="728" t="s">
        <v>853</v>
      </c>
      <c r="D49" s="728" t="s">
        <v>854</v>
      </c>
      <c r="E49" s="728" t="s">
        <v>855</v>
      </c>
      <c r="F49" s="728" t="s">
        <v>856</v>
      </c>
      <c r="G49" s="728" t="s">
        <v>857</v>
      </c>
      <c r="H49" s="729" t="s">
        <v>858</v>
      </c>
      <c r="I49" s="728" t="s">
        <v>859</v>
      </c>
      <c r="J49" s="728" t="s">
        <v>843</v>
      </c>
      <c r="K49" s="753" t="s">
        <v>860</v>
      </c>
    </row>
    <row r="50" spans="1:11" x14ac:dyDescent="0.2">
      <c r="A50" s="758" t="s">
        <v>861</v>
      </c>
      <c r="B50" s="759">
        <f>Assumptions!C85</f>
        <v>0.4</v>
      </c>
      <c r="C50" s="759">
        <f>Assumptions!C86</f>
        <v>0.4</v>
      </c>
      <c r="D50" s="759">
        <f>Assumptions!C87</f>
        <v>0.2</v>
      </c>
      <c r="E50" s="735">
        <f>$D$30</f>
        <v>1.0151717369019899</v>
      </c>
      <c r="F50" s="735">
        <f>$D$31</f>
        <v>1.0052018102784355</v>
      </c>
      <c r="G50" s="735">
        <f>$D$32</f>
        <v>0.91935032972388142</v>
      </c>
      <c r="H50" s="738">
        <f>B50*E50+C50*F50+D50*G50</f>
        <v>0.99201948481694646</v>
      </c>
      <c r="I50" s="760">
        <f>Assumptions!C71</f>
        <v>0.85</v>
      </c>
      <c r="J50" s="761">
        <f>H50-I50</f>
        <v>0.14201948481694648</v>
      </c>
      <c r="K50" s="739">
        <f>B50*$C$30+C50*$C$31+D50*$C$32</f>
        <v>1.0138323650820784</v>
      </c>
    </row>
    <row r="51" spans="1:11" x14ac:dyDescent="0.2">
      <c r="A51" s="758" t="s">
        <v>862</v>
      </c>
      <c r="B51" s="759">
        <f>Assumptions!D85</f>
        <v>0.2</v>
      </c>
      <c r="C51" s="759">
        <f>Assumptions!D86</f>
        <v>0.4</v>
      </c>
      <c r="D51" s="759">
        <f>Assumptions!D87</f>
        <v>0.4</v>
      </c>
      <c r="E51" s="735">
        <f>$D$30</f>
        <v>1.0151717369019899</v>
      </c>
      <c r="F51" s="735">
        <f>$D$31</f>
        <v>1.0052018102784355</v>
      </c>
      <c r="G51" s="735">
        <f>$D$32</f>
        <v>0.91935032972388142</v>
      </c>
      <c r="H51" s="738">
        <f>B51*E51+C51*F51+D51*G51</f>
        <v>0.9728552033813247</v>
      </c>
      <c r="I51" s="760">
        <f>Assumptions!D71</f>
        <v>0.83</v>
      </c>
      <c r="J51" s="761">
        <f>H51-I51</f>
        <v>0.14285520338132474</v>
      </c>
      <c r="K51" s="739">
        <f>B51*$C$30+C51*$C$31+D51*$C$32</f>
        <v>0.99466808364645676</v>
      </c>
    </row>
    <row r="52" spans="1:11" x14ac:dyDescent="0.2">
      <c r="A52" s="762" t="s">
        <v>863</v>
      </c>
      <c r="B52" s="763">
        <f>Assumptions!E85</f>
        <v>0.1</v>
      </c>
      <c r="C52" s="763">
        <f>Assumptions!E86</f>
        <v>0.3</v>
      </c>
      <c r="D52" s="763">
        <f>Assumptions!E87</f>
        <v>0.6</v>
      </c>
      <c r="E52" s="745">
        <f>$D$30</f>
        <v>1.0151717369019899</v>
      </c>
      <c r="F52" s="745">
        <f>$D$31</f>
        <v>1.0052018102784355</v>
      </c>
      <c r="G52" s="745">
        <f>$D$32</f>
        <v>0.91935032972388142</v>
      </c>
      <c r="H52" s="748">
        <f>B52*E52+C52*F52+D52*G52</f>
        <v>0.95468791460805846</v>
      </c>
      <c r="I52" s="764">
        <f>Assumptions!E71</f>
        <v>0.81</v>
      </c>
      <c r="J52" s="765">
        <f>H52-I52</f>
        <v>0.14468791460805841</v>
      </c>
      <c r="K52" s="749">
        <f>B52*$C$30+C52*$C$31+D52*$C$32</f>
        <v>0.97104757480690751</v>
      </c>
    </row>
    <row r="53" spans="1:11" x14ac:dyDescent="0.2">
      <c r="A53" s="722" t="s">
        <v>864</v>
      </c>
    </row>
    <row r="54" spans="1:11" x14ac:dyDescent="0.2">
      <c r="A54" s="722" t="s">
        <v>865</v>
      </c>
    </row>
    <row r="57" spans="1:11" ht="16" x14ac:dyDescent="0.2">
      <c r="A57" s="723" t="s">
        <v>866</v>
      </c>
    </row>
    <row r="58" spans="1:11" x14ac:dyDescent="0.2">
      <c r="A58" s="722" t="s">
        <v>867</v>
      </c>
    </row>
    <row r="60" spans="1:11" x14ac:dyDescent="0.2">
      <c r="A60" s="726" t="s">
        <v>868</v>
      </c>
      <c r="B60" s="766"/>
      <c r="C60" s="730" t="s">
        <v>869</v>
      </c>
    </row>
    <row r="61" spans="1:11" x14ac:dyDescent="0.2">
      <c r="A61" s="731" t="s">
        <v>870</v>
      </c>
      <c r="B61" s="732"/>
      <c r="C61" s="767">
        <v>4.4600000000000001E-2</v>
      </c>
    </row>
    <row r="62" spans="1:11" x14ac:dyDescent="0.2">
      <c r="A62" s="731" t="s">
        <v>871</v>
      </c>
      <c r="B62" s="732"/>
      <c r="C62" s="767">
        <v>4.5999999999999999E-2</v>
      </c>
    </row>
    <row r="63" spans="1:11" x14ac:dyDescent="0.2">
      <c r="A63" s="731" t="s">
        <v>872</v>
      </c>
      <c r="B63" s="732"/>
      <c r="C63" s="767">
        <v>4.53E-2</v>
      </c>
    </row>
    <row r="64" spans="1:11" x14ac:dyDescent="0.2">
      <c r="A64" s="731" t="s">
        <v>873</v>
      </c>
      <c r="B64" s="732"/>
      <c r="C64" s="767">
        <v>5.7000000000000002E-2</v>
      </c>
    </row>
    <row r="65" spans="1:5" x14ac:dyDescent="0.2">
      <c r="A65" s="731"/>
      <c r="B65" s="732"/>
      <c r="C65" s="768"/>
    </row>
    <row r="66" spans="1:5" x14ac:dyDescent="0.2">
      <c r="A66" s="762" t="s">
        <v>874</v>
      </c>
      <c r="B66" s="742"/>
      <c r="C66" s="769">
        <f>0.5*C62+0.3*C63+0.2*C64</f>
        <v>4.7989999999999998E-2</v>
      </c>
    </row>
    <row r="68" spans="1:5" x14ac:dyDescent="0.2">
      <c r="A68" s="726" t="s">
        <v>875</v>
      </c>
      <c r="B68" s="728" t="s">
        <v>876</v>
      </c>
      <c r="C68" s="728" t="s">
        <v>877</v>
      </c>
      <c r="D68" s="728" t="s">
        <v>878</v>
      </c>
      <c r="E68" s="770" t="s">
        <v>879</v>
      </c>
    </row>
    <row r="69" spans="1:5" x14ac:dyDescent="0.2">
      <c r="A69" s="731" t="s">
        <v>880</v>
      </c>
      <c r="B69" s="771">
        <v>0.35</v>
      </c>
      <c r="C69" s="772">
        <f>(1-B69)*$C$61</f>
        <v>2.8990000000000002E-2</v>
      </c>
      <c r="D69" s="772">
        <f>B69*$C$66</f>
        <v>1.6796499999999999E-2</v>
      </c>
      <c r="E69" s="773">
        <f>C69+D69</f>
        <v>4.5786500000000001E-2</v>
      </c>
    </row>
    <row r="70" spans="1:5" x14ac:dyDescent="0.2">
      <c r="A70" s="758" t="s">
        <v>881</v>
      </c>
      <c r="B70" s="774">
        <v>0.42</v>
      </c>
      <c r="C70" s="772">
        <f>(1-B70)*$C$61</f>
        <v>2.5868000000000002E-2</v>
      </c>
      <c r="D70" s="772">
        <f>B70*$C$66</f>
        <v>2.0155799999999998E-2</v>
      </c>
      <c r="E70" s="775">
        <f>C70+D70</f>
        <v>4.6023800000000004E-2</v>
      </c>
    </row>
    <row r="71" spans="1:5" x14ac:dyDescent="0.2">
      <c r="A71" s="741" t="s">
        <v>882</v>
      </c>
      <c r="B71" s="776">
        <v>0.5</v>
      </c>
      <c r="C71" s="777">
        <f>(1-B71)*$C$61</f>
        <v>2.23E-2</v>
      </c>
      <c r="D71" s="777">
        <f>B71*$C$66</f>
        <v>2.3994999999999999E-2</v>
      </c>
      <c r="E71" s="778">
        <f>C71+D71</f>
        <v>4.6295000000000003E-2</v>
      </c>
    </row>
    <row r="72" spans="1:5" x14ac:dyDescent="0.2">
      <c r="A72" s="722" t="s">
        <v>883</v>
      </c>
    </row>
    <row r="75" spans="1:5" ht="16" x14ac:dyDescent="0.2">
      <c r="A75" s="723" t="s">
        <v>884</v>
      </c>
    </row>
    <row r="76" spans="1:5" x14ac:dyDescent="0.2">
      <c r="A76" s="722" t="s">
        <v>885</v>
      </c>
    </row>
    <row r="78" spans="1:5" x14ac:dyDescent="0.2">
      <c r="A78" s="726" t="s">
        <v>886</v>
      </c>
      <c r="B78" s="766"/>
      <c r="C78" s="779"/>
    </row>
    <row r="79" spans="1:5" x14ac:dyDescent="0.2">
      <c r="A79" s="731" t="s">
        <v>887</v>
      </c>
      <c r="B79" s="732"/>
      <c r="C79" s="780">
        <f>Assumptions!D74-Assumptions!D73</f>
        <v>8.8449999999999987E-2</v>
      </c>
    </row>
    <row r="80" spans="1:5" x14ac:dyDescent="0.2">
      <c r="A80" s="731" t="s">
        <v>888</v>
      </c>
      <c r="B80" s="732"/>
      <c r="C80" s="780">
        <f>Assumptions!D81</f>
        <v>0.03</v>
      </c>
    </row>
    <row r="81" spans="1:6" x14ac:dyDescent="0.2">
      <c r="A81" s="741" t="s">
        <v>889</v>
      </c>
      <c r="B81" s="742"/>
      <c r="C81" s="778">
        <f>C79-C80</f>
        <v>5.8449999999999988E-2</v>
      </c>
    </row>
    <row r="83" spans="1:6" x14ac:dyDescent="0.2">
      <c r="A83" s="726" t="s">
        <v>890</v>
      </c>
      <c r="B83" s="728" t="s">
        <v>891</v>
      </c>
      <c r="C83" s="728" t="s">
        <v>892</v>
      </c>
      <c r="D83" s="728" t="s">
        <v>893</v>
      </c>
      <c r="E83" s="728" t="s">
        <v>894</v>
      </c>
      <c r="F83" s="770" t="s">
        <v>895</v>
      </c>
    </row>
    <row r="84" spans="1:6" x14ac:dyDescent="0.2">
      <c r="A84" s="731" t="s">
        <v>896</v>
      </c>
      <c r="B84" s="771">
        <v>0.15</v>
      </c>
      <c r="C84" s="781">
        <f>-B84</f>
        <v>-0.15</v>
      </c>
      <c r="D84" s="735">
        <f>1/(1-B84)</f>
        <v>1.1764705882352942</v>
      </c>
      <c r="E84" s="772">
        <f>$C$81*D84</f>
        <v>6.8764705882352936E-2</v>
      </c>
      <c r="F84" s="773">
        <f>E84-$C$81</f>
        <v>1.0314705882352948E-2</v>
      </c>
    </row>
    <row r="85" spans="1:6" x14ac:dyDescent="0.2">
      <c r="A85" s="758" t="s">
        <v>897</v>
      </c>
      <c r="B85" s="774">
        <v>0.25</v>
      </c>
      <c r="C85" s="781">
        <f>-B85</f>
        <v>-0.25</v>
      </c>
      <c r="D85" s="735">
        <f>1/(1-B85)</f>
        <v>1.3333333333333333</v>
      </c>
      <c r="E85" s="772">
        <f>$C$81*D85</f>
        <v>7.7933333333333313E-2</v>
      </c>
      <c r="F85" s="775">
        <f>E85-$C$81</f>
        <v>1.9483333333333325E-2</v>
      </c>
    </row>
    <row r="86" spans="1:6" x14ac:dyDescent="0.2">
      <c r="A86" s="741" t="s">
        <v>898</v>
      </c>
      <c r="B86" s="776">
        <v>0.35</v>
      </c>
      <c r="C86" s="782">
        <f>-B86</f>
        <v>-0.35</v>
      </c>
      <c r="D86" s="745">
        <f>1/(1-B86)</f>
        <v>1.5384615384615383</v>
      </c>
      <c r="E86" s="777">
        <f>$C$81*D86</f>
        <v>8.9923076923076897E-2</v>
      </c>
      <c r="F86" s="778">
        <f>E86-$C$81</f>
        <v>3.1473076923076909E-2</v>
      </c>
    </row>
    <row r="88" spans="1:6" x14ac:dyDescent="0.2">
      <c r="A88" s="726" t="s">
        <v>899</v>
      </c>
      <c r="B88" s="728" t="s">
        <v>55</v>
      </c>
      <c r="C88" s="729" t="s">
        <v>52</v>
      </c>
      <c r="D88" s="730" t="s">
        <v>56</v>
      </c>
    </row>
    <row r="89" spans="1:6" x14ac:dyDescent="0.2">
      <c r="A89" s="731" t="s">
        <v>900</v>
      </c>
      <c r="B89" s="736">
        <v>2.5000000000000001E-2</v>
      </c>
      <c r="C89" s="783">
        <v>0.02</v>
      </c>
      <c r="D89" s="784">
        <v>1.4999999999999999E-2</v>
      </c>
    </row>
    <row r="90" spans="1:6" x14ac:dyDescent="0.2">
      <c r="A90" s="741" t="s">
        <v>901</v>
      </c>
      <c r="B90" s="785">
        <f>Assumptions!C73</f>
        <v>0.03</v>
      </c>
      <c r="C90" s="785">
        <f>Assumptions!D73</f>
        <v>0.02</v>
      </c>
      <c r="D90" s="786">
        <f>Assumptions!E73</f>
        <v>0.01</v>
      </c>
    </row>
    <row r="91" spans="1:6" x14ac:dyDescent="0.2">
      <c r="A91" s="722" t="s">
        <v>902</v>
      </c>
    </row>
    <row r="92" spans="1:6" x14ac:dyDescent="0.2">
      <c r="A92" s="722" t="s">
        <v>903</v>
      </c>
    </row>
    <row r="95" spans="1:6" ht="16" x14ac:dyDescent="0.2">
      <c r="A95" s="723" t="s">
        <v>904</v>
      </c>
    </row>
    <row r="96" spans="1:6" x14ac:dyDescent="0.2">
      <c r="A96" s="722" t="s">
        <v>905</v>
      </c>
    </row>
    <row r="98" spans="1:8" ht="32" x14ac:dyDescent="0.2">
      <c r="A98" s="726" t="s">
        <v>906</v>
      </c>
      <c r="B98" s="750" t="s">
        <v>907</v>
      </c>
      <c r="C98" s="728"/>
      <c r="D98" s="728"/>
      <c r="E98" s="729" t="s">
        <v>908</v>
      </c>
      <c r="F98" s="729"/>
      <c r="G98" s="729"/>
      <c r="H98" s="730" t="s">
        <v>909</v>
      </c>
    </row>
    <row r="99" spans="1:8" x14ac:dyDescent="0.2">
      <c r="A99" s="758"/>
      <c r="B99" s="787" t="s">
        <v>55</v>
      </c>
      <c r="C99" s="787" t="s">
        <v>52</v>
      </c>
      <c r="D99" s="787" t="s">
        <v>56</v>
      </c>
      <c r="E99" s="788" t="s">
        <v>55</v>
      </c>
      <c r="F99" s="788" t="s">
        <v>52</v>
      </c>
      <c r="G99" s="788" t="s">
        <v>56</v>
      </c>
      <c r="H99" s="768"/>
    </row>
    <row r="100" spans="1:8" x14ac:dyDescent="0.2">
      <c r="A100" s="731" t="s">
        <v>910</v>
      </c>
      <c r="B100" s="789">
        <f>Assumptions!C69</f>
        <v>4.2999999999999997E-2</v>
      </c>
      <c r="C100" s="789">
        <f>Assumptions!D69</f>
        <v>4.2999999999999997E-2</v>
      </c>
      <c r="D100" s="789">
        <f>Assumptions!E69</f>
        <v>4.2999999999999997E-2</v>
      </c>
      <c r="E100" s="789">
        <f>Assumptions!C69</f>
        <v>4.2999999999999997E-2</v>
      </c>
      <c r="F100" s="789">
        <f>Assumptions!D69</f>
        <v>4.2999999999999997E-2</v>
      </c>
      <c r="G100" s="789">
        <f>Assumptions!E69</f>
        <v>4.2999999999999997E-2</v>
      </c>
      <c r="H100" s="790">
        <f>F100-C100</f>
        <v>0</v>
      </c>
    </row>
    <row r="101" spans="1:8" x14ac:dyDescent="0.2">
      <c r="A101" s="731" t="s">
        <v>249</v>
      </c>
      <c r="B101" s="789">
        <f>Assumptions!C70</f>
        <v>4.4999999999999998E-2</v>
      </c>
      <c r="C101" s="789">
        <f>Assumptions!D70</f>
        <v>4.4999999999999998E-2</v>
      </c>
      <c r="D101" s="789">
        <f>Assumptions!E70</f>
        <v>4.4999999999999998E-2</v>
      </c>
      <c r="E101" s="772">
        <f>$E$70</f>
        <v>4.6023800000000004E-2</v>
      </c>
      <c r="F101" s="772">
        <f>$E$70</f>
        <v>4.6023800000000004E-2</v>
      </c>
      <c r="G101" s="772">
        <f>$E$70</f>
        <v>4.6023800000000004E-2</v>
      </c>
      <c r="H101" s="790">
        <f>F101-C101</f>
        <v>1.0238000000000053E-3</v>
      </c>
    </row>
    <row r="102" spans="1:8" x14ac:dyDescent="0.2">
      <c r="A102" s="731" t="s">
        <v>911</v>
      </c>
      <c r="B102" s="760">
        <f>Assumptions!C71</f>
        <v>0.85</v>
      </c>
      <c r="C102" s="760">
        <f>Assumptions!D71</f>
        <v>0.83</v>
      </c>
      <c r="D102" s="760">
        <f>Assumptions!E71</f>
        <v>0.81</v>
      </c>
      <c r="E102" s="735">
        <f>$H$50</f>
        <v>0.99201948481694646</v>
      </c>
      <c r="F102" s="735">
        <f>$H$51</f>
        <v>0.9728552033813247</v>
      </c>
      <c r="G102" s="735">
        <f>$H$52</f>
        <v>0.95468791460805846</v>
      </c>
      <c r="H102" s="791">
        <f>F102-C102</f>
        <v>0.14285520338132474</v>
      </c>
    </row>
    <row r="103" spans="1:8" x14ac:dyDescent="0.2">
      <c r="A103" s="731" t="s">
        <v>912</v>
      </c>
      <c r="B103" s="789">
        <f>Assumptions!C72</f>
        <v>8.0999999999999996E-3</v>
      </c>
      <c r="C103" s="789">
        <f>Assumptions!D72</f>
        <v>8.0999999999999996E-3</v>
      </c>
      <c r="D103" s="789">
        <f>Assumptions!E72</f>
        <v>8.0999999999999996E-3</v>
      </c>
      <c r="E103" s="789">
        <f>Assumptions!C72</f>
        <v>8.0999999999999996E-3</v>
      </c>
      <c r="F103" s="789">
        <f>Assumptions!D72</f>
        <v>8.0999999999999996E-3</v>
      </c>
      <c r="G103" s="789">
        <f>Assumptions!E72</f>
        <v>8.0999999999999996E-3</v>
      </c>
      <c r="H103" s="790">
        <f>F103-C103</f>
        <v>0</v>
      </c>
    </row>
    <row r="104" spans="1:8" x14ac:dyDescent="0.2">
      <c r="A104" s="731" t="s">
        <v>913</v>
      </c>
      <c r="B104" s="789">
        <f>Assumptions!C73</f>
        <v>0.03</v>
      </c>
      <c r="C104" s="789">
        <f>Assumptions!D73</f>
        <v>0.02</v>
      </c>
      <c r="D104" s="789">
        <f>Assumptions!E73</f>
        <v>0.01</v>
      </c>
      <c r="E104" s="772">
        <f>$B$89</f>
        <v>2.5000000000000001E-2</v>
      </c>
      <c r="F104" s="772">
        <f>$C$89</f>
        <v>0.02</v>
      </c>
      <c r="G104" s="772">
        <f>$D$89</f>
        <v>1.4999999999999999E-2</v>
      </c>
      <c r="H104" s="790">
        <f>F104-C104</f>
        <v>0</v>
      </c>
    </row>
    <row r="105" spans="1:8" x14ac:dyDescent="0.2">
      <c r="A105" s="731"/>
      <c r="B105" s="732"/>
      <c r="C105" s="732"/>
      <c r="D105" s="732"/>
      <c r="E105" s="732"/>
      <c r="F105" s="732"/>
      <c r="G105" s="732"/>
      <c r="H105" s="768"/>
    </row>
    <row r="106" spans="1:8" x14ac:dyDescent="0.2">
      <c r="A106" s="762" t="s">
        <v>914</v>
      </c>
      <c r="B106" s="792">
        <f t="shared" ref="B106:G106" si="4">B100+B101*B102+B103+B104</f>
        <v>0.11934999999999998</v>
      </c>
      <c r="C106" s="792">
        <f t="shared" si="4"/>
        <v>0.10844999999999999</v>
      </c>
      <c r="D106" s="792">
        <f t="shared" si="4"/>
        <v>9.7549999999999984E-2</v>
      </c>
      <c r="E106" s="793">
        <f t="shared" si="4"/>
        <v>0.12175650636531818</v>
      </c>
      <c r="F106" s="793">
        <f t="shared" si="4"/>
        <v>0.11587449330938142</v>
      </c>
      <c r="G106" s="793">
        <f t="shared" si="4"/>
        <v>0.11003836564433836</v>
      </c>
      <c r="H106" s="794">
        <f>F106-C106</f>
        <v>7.4244933093814275E-3</v>
      </c>
    </row>
    <row r="108" spans="1:8" x14ac:dyDescent="0.2">
      <c r="A108" s="726" t="s">
        <v>915</v>
      </c>
      <c r="B108" s="766"/>
      <c r="C108" s="730" t="s">
        <v>916</v>
      </c>
    </row>
    <row r="109" spans="1:8" x14ac:dyDescent="0.2">
      <c r="A109" s="731" t="s">
        <v>917</v>
      </c>
      <c r="B109" s="732"/>
      <c r="C109" s="790">
        <f>(F102-C102)*F101</f>
        <v>6.5747393093814142E-3</v>
      </c>
    </row>
    <row r="110" spans="1:8" x14ac:dyDescent="0.2">
      <c r="A110" s="731" t="s">
        <v>918</v>
      </c>
      <c r="B110" s="732"/>
      <c r="C110" s="790">
        <f>(F101-C101)*C102</f>
        <v>8.4975400000000432E-4</v>
      </c>
    </row>
    <row r="111" spans="1:8" x14ac:dyDescent="0.2">
      <c r="A111" s="731" t="s">
        <v>919</v>
      </c>
      <c r="B111" s="732"/>
      <c r="C111" s="790">
        <f>F104-C104</f>
        <v>0</v>
      </c>
    </row>
    <row r="112" spans="1:8" x14ac:dyDescent="0.2">
      <c r="A112" s="762" t="s">
        <v>920</v>
      </c>
      <c r="B112" s="742"/>
      <c r="C112" s="794">
        <f>SUM(C109:C111)</f>
        <v>7.4244933093814188E-3</v>
      </c>
    </row>
    <row r="114" spans="1:7" x14ac:dyDescent="0.2">
      <c r="A114" s="722" t="s">
        <v>921</v>
      </c>
    </row>
    <row r="115" spans="1:7" x14ac:dyDescent="0.2">
      <c r="A115" s="724" t="s">
        <v>922</v>
      </c>
    </row>
    <row r="118" spans="1:7" ht="16" x14ac:dyDescent="0.2">
      <c r="A118" s="723" t="s">
        <v>923</v>
      </c>
    </row>
    <row r="120" spans="1:7" x14ac:dyDescent="0.2">
      <c r="A120" s="795" t="s">
        <v>532</v>
      </c>
      <c r="B120" s="727" t="s">
        <v>924</v>
      </c>
      <c r="C120" s="766"/>
      <c r="D120" s="727" t="s">
        <v>925</v>
      </c>
      <c r="E120" s="766"/>
      <c r="F120" s="766"/>
      <c r="G120" s="779"/>
    </row>
    <row r="121" spans="1:7" x14ac:dyDescent="0.2">
      <c r="A121" s="796">
        <v>1</v>
      </c>
      <c r="B121" s="992" t="s">
        <v>926</v>
      </c>
      <c r="C121" s="992"/>
      <c r="D121" s="992" t="s">
        <v>927</v>
      </c>
      <c r="E121" s="992"/>
      <c r="F121" s="992"/>
      <c r="G121" s="993"/>
    </row>
    <row r="122" spans="1:7" x14ac:dyDescent="0.2">
      <c r="A122" s="796">
        <v>2</v>
      </c>
      <c r="B122" s="992" t="s">
        <v>928</v>
      </c>
      <c r="C122" s="992"/>
      <c r="D122" s="992" t="s">
        <v>929</v>
      </c>
      <c r="E122" s="992"/>
      <c r="F122" s="992"/>
      <c r="G122" s="993"/>
    </row>
    <row r="123" spans="1:7" x14ac:dyDescent="0.2">
      <c r="A123" s="796">
        <v>3</v>
      </c>
      <c r="B123" s="992" t="s">
        <v>930</v>
      </c>
      <c r="C123" s="992"/>
      <c r="D123" s="992" t="s">
        <v>931</v>
      </c>
      <c r="E123" s="992"/>
      <c r="F123" s="992"/>
      <c r="G123" s="993"/>
    </row>
    <row r="124" spans="1:7" x14ac:dyDescent="0.2">
      <c r="A124" s="796">
        <v>4</v>
      </c>
      <c r="B124" s="992" t="s">
        <v>932</v>
      </c>
      <c r="C124" s="992"/>
      <c r="D124" s="992" t="s">
        <v>933</v>
      </c>
      <c r="E124" s="992"/>
      <c r="F124" s="992"/>
      <c r="G124" s="993"/>
    </row>
    <row r="125" spans="1:7" x14ac:dyDescent="0.2">
      <c r="A125" s="796">
        <v>5</v>
      </c>
      <c r="B125" s="992" t="s">
        <v>934</v>
      </c>
      <c r="C125" s="992"/>
      <c r="D125" s="992" t="s">
        <v>935</v>
      </c>
      <c r="E125" s="992"/>
      <c r="F125" s="992"/>
      <c r="G125" s="993"/>
    </row>
    <row r="126" spans="1:7" x14ac:dyDescent="0.2">
      <c r="A126" s="796">
        <v>6</v>
      </c>
      <c r="B126" s="992" t="s">
        <v>936</v>
      </c>
      <c r="C126" s="992"/>
      <c r="D126" s="992" t="s">
        <v>937</v>
      </c>
      <c r="E126" s="992"/>
      <c r="F126" s="992"/>
      <c r="G126" s="993"/>
    </row>
    <row r="127" spans="1:7" x14ac:dyDescent="0.2">
      <c r="A127" s="796">
        <v>7</v>
      </c>
      <c r="B127" s="992" t="s">
        <v>938</v>
      </c>
      <c r="C127" s="992"/>
      <c r="D127" s="992" t="s">
        <v>939</v>
      </c>
      <c r="E127" s="992"/>
      <c r="F127" s="992"/>
      <c r="G127" s="993"/>
    </row>
    <row r="128" spans="1:7" x14ac:dyDescent="0.2">
      <c r="A128" s="796">
        <v>8</v>
      </c>
      <c r="B128" s="992" t="s">
        <v>940</v>
      </c>
      <c r="C128" s="992"/>
      <c r="D128" s="992" t="s">
        <v>941</v>
      </c>
      <c r="E128" s="992"/>
      <c r="F128" s="992"/>
      <c r="G128" s="993"/>
    </row>
    <row r="129" spans="1:7" x14ac:dyDescent="0.2">
      <c r="A129" s="796">
        <v>9</v>
      </c>
      <c r="B129" s="992" t="s">
        <v>942</v>
      </c>
      <c r="C129" s="992"/>
      <c r="D129" s="992" t="s">
        <v>943</v>
      </c>
      <c r="E129" s="992"/>
      <c r="F129" s="992"/>
      <c r="G129" s="993"/>
    </row>
    <row r="130" spans="1:7" x14ac:dyDescent="0.2">
      <c r="A130" s="797">
        <v>10</v>
      </c>
      <c r="B130" s="994" t="s">
        <v>944</v>
      </c>
      <c r="C130" s="994"/>
      <c r="D130" s="994" t="s">
        <v>945</v>
      </c>
      <c r="E130" s="994"/>
      <c r="F130" s="994"/>
      <c r="G130" s="995"/>
    </row>
    <row r="132" spans="1:7" x14ac:dyDescent="0.2">
      <c r="A132" s="725" t="s">
        <v>946</v>
      </c>
    </row>
    <row r="133" spans="1:7" x14ac:dyDescent="0.2">
      <c r="A133" t="s">
        <v>947</v>
      </c>
    </row>
    <row r="134" spans="1:7" x14ac:dyDescent="0.2">
      <c r="A134" t="s">
        <v>948</v>
      </c>
    </row>
    <row r="135" spans="1:7" x14ac:dyDescent="0.2">
      <c r="A135" t="s">
        <v>949</v>
      </c>
    </row>
    <row r="136" spans="1:7" x14ac:dyDescent="0.2">
      <c r="A136" t="s">
        <v>950</v>
      </c>
    </row>
    <row r="137" spans="1:7" x14ac:dyDescent="0.2">
      <c r="A137" t="s">
        <v>951</v>
      </c>
    </row>
    <row r="138" spans="1:7" x14ac:dyDescent="0.2">
      <c r="A138" t="s">
        <v>952</v>
      </c>
    </row>
  </sheetData>
  <mergeCells count="20">
    <mergeCell ref="B130:C130"/>
    <mergeCell ref="D130:G130"/>
    <mergeCell ref="B127:C127"/>
    <mergeCell ref="D127:G127"/>
    <mergeCell ref="B128:C128"/>
    <mergeCell ref="D128:G128"/>
    <mergeCell ref="B129:C129"/>
    <mergeCell ref="D129:G129"/>
    <mergeCell ref="B124:C124"/>
    <mergeCell ref="D124:G124"/>
    <mergeCell ref="B125:C125"/>
    <mergeCell ref="D125:G125"/>
    <mergeCell ref="B126:C126"/>
    <mergeCell ref="D126:G126"/>
    <mergeCell ref="B121:C121"/>
    <mergeCell ref="D121:G121"/>
    <mergeCell ref="B122:C122"/>
    <mergeCell ref="D122:G122"/>
    <mergeCell ref="B123:C123"/>
    <mergeCell ref="D123:G123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M74"/>
  <sheetViews>
    <sheetView showGridLines="0" topLeftCell="A25" zoomScaleNormal="100" workbookViewId="0">
      <selection activeCell="C63" sqref="C63"/>
    </sheetView>
  </sheetViews>
  <sheetFormatPr baseColWidth="10" defaultColWidth="8.83203125" defaultRowHeight="15" x14ac:dyDescent="0.2"/>
  <cols>
    <col min="1" max="1" width="46.6640625" customWidth="1"/>
    <col min="2" max="2" width="8.33203125" customWidth="1"/>
    <col min="3" max="11" width="12.5" customWidth="1"/>
    <col min="12" max="13" width="36.6640625" customWidth="1"/>
  </cols>
  <sheetData>
    <row r="1" spans="1:13" ht="28" customHeight="1" x14ac:dyDescent="0.25">
      <c r="A1" s="987" t="s">
        <v>728</v>
      </c>
      <c r="B1" s="988"/>
      <c r="C1" s="988"/>
      <c r="D1" s="988"/>
      <c r="E1" s="988"/>
      <c r="F1" s="988"/>
      <c r="G1" s="988"/>
      <c r="H1" s="988"/>
      <c r="I1" s="988"/>
      <c r="J1" s="988"/>
      <c r="K1" s="988"/>
      <c r="L1" s="988"/>
      <c r="M1" s="988"/>
    </row>
    <row r="2" spans="1:13" ht="15.75" customHeight="1" x14ac:dyDescent="0.2">
      <c r="A2" s="989" t="s">
        <v>729</v>
      </c>
      <c r="B2" s="990"/>
      <c r="C2" s="990"/>
      <c r="D2" s="990"/>
      <c r="E2" s="990"/>
      <c r="F2" s="990"/>
      <c r="G2" s="990"/>
      <c r="H2" s="990"/>
      <c r="I2" s="990"/>
      <c r="J2" s="990"/>
      <c r="K2" s="990"/>
      <c r="L2" s="990"/>
      <c r="M2" s="990"/>
    </row>
    <row r="3" spans="1:13" ht="15.75" customHeight="1" x14ac:dyDescent="0.2">
      <c r="A3" s="976" t="s">
        <v>730</v>
      </c>
      <c r="B3" s="991"/>
      <c r="C3" s="991"/>
      <c r="D3" s="991"/>
      <c r="E3" s="991"/>
      <c r="F3" s="991"/>
      <c r="G3" s="991"/>
      <c r="H3" s="991"/>
      <c r="I3" s="991"/>
      <c r="J3" s="991"/>
      <c r="K3" s="991"/>
      <c r="L3" s="991"/>
      <c r="M3" s="991"/>
    </row>
    <row r="4" spans="1:13" ht="15.75" customHeight="1" x14ac:dyDescent="0.2"/>
    <row r="5" spans="1:13" ht="15.75" customHeight="1" x14ac:dyDescent="0.2">
      <c r="A5" s="366"/>
      <c r="B5" s="366" t="s">
        <v>495</v>
      </c>
      <c r="C5" s="366" t="s">
        <v>605</v>
      </c>
      <c r="D5" s="366" t="s">
        <v>606</v>
      </c>
      <c r="E5" s="366" t="s">
        <v>607</v>
      </c>
      <c r="F5" s="366" t="s">
        <v>608</v>
      </c>
      <c r="G5" s="366" t="s">
        <v>609</v>
      </c>
      <c r="H5" s="366" t="s">
        <v>610</v>
      </c>
      <c r="I5" s="366" t="s">
        <v>611</v>
      </c>
      <c r="J5" s="366" t="s">
        <v>612</v>
      </c>
      <c r="K5" s="366" t="s">
        <v>613</v>
      </c>
      <c r="L5" s="49"/>
    </row>
    <row r="6" spans="1:13" ht="15.75" customHeight="1" x14ac:dyDescent="0.2"/>
    <row r="7" spans="1:13" ht="22" customHeight="1" x14ac:dyDescent="0.2">
      <c r="A7" s="927" t="s">
        <v>731</v>
      </c>
      <c r="B7" s="985"/>
      <c r="C7" s="985"/>
      <c r="D7" s="985"/>
      <c r="E7" s="985"/>
      <c r="F7" s="985"/>
      <c r="G7" s="985"/>
      <c r="H7" s="985"/>
      <c r="I7" s="985"/>
      <c r="J7" s="985"/>
      <c r="K7" s="985"/>
      <c r="L7" s="985"/>
      <c r="M7" s="985"/>
    </row>
    <row r="8" spans="1:13" ht="15.75" customHeight="1" x14ac:dyDescent="0.2">
      <c r="A8" s="38" t="s">
        <v>732</v>
      </c>
      <c r="B8" s="368" t="s">
        <v>537</v>
      </c>
      <c r="C8" s="91">
        <f>'P&amp;L'!D8</f>
        <v>521.3599999999999</v>
      </c>
      <c r="D8" s="91">
        <f>'P&amp;L'!E8</f>
        <v>879.33881000000008</v>
      </c>
      <c r="E8" s="91">
        <f>'P&amp;L'!F8</f>
        <v>1285.2214106396</v>
      </c>
      <c r="F8" s="91">
        <f>'P&amp;L'!G8</f>
        <v>1725.8717299487419</v>
      </c>
      <c r="G8" s="91">
        <f>'P&amp;L'!H8</f>
        <v>2161.9195165156862</v>
      </c>
      <c r="H8" s="91">
        <f>'P&amp;L'!I8</f>
        <v>2581.7595988378052</v>
      </c>
      <c r="I8" s="91">
        <f>'P&amp;L'!J8</f>
        <v>2982.4939690405886</v>
      </c>
      <c r="J8" s="91">
        <f>'P&amp;L'!K8</f>
        <v>3355.3010744779599</v>
      </c>
      <c r="K8" s="91">
        <f>'P&amp;L'!L8</f>
        <v>3691.4610032621899</v>
      </c>
      <c r="L8" s="414"/>
      <c r="M8" s="408" t="s">
        <v>733</v>
      </c>
    </row>
    <row r="9" spans="1:13" ht="15.75" customHeight="1" x14ac:dyDescent="0.2">
      <c r="A9" s="369" t="s">
        <v>693</v>
      </c>
      <c r="B9" s="370" t="s">
        <v>537</v>
      </c>
      <c r="C9" s="371">
        <f>FCF!D18</f>
        <v>-11.159232876712295</v>
      </c>
      <c r="D9" s="371">
        <f>FCF!E18</f>
        <v>90.678108432876854</v>
      </c>
      <c r="E9" s="371">
        <f>FCF!F18</f>
        <v>110.96860337573858</v>
      </c>
      <c r="F9" s="371">
        <f>FCF!G18</f>
        <v>211.33078871002073</v>
      </c>
      <c r="G9" s="371">
        <f>FCF!H18</f>
        <v>351.65478161066812</v>
      </c>
      <c r="H9" s="371">
        <f>FCF!I18</f>
        <v>425.00600133521209</v>
      </c>
      <c r="I9" s="371">
        <f>FCF!J18</f>
        <v>524.93365107393743</v>
      </c>
      <c r="J9" s="371">
        <f>FCF!K18</f>
        <v>640.38401810663788</v>
      </c>
      <c r="K9" s="371">
        <f>FCF!L18</f>
        <v>760.06186287088894</v>
      </c>
      <c r="L9" s="409"/>
      <c r="M9" s="409" t="s">
        <v>734</v>
      </c>
    </row>
    <row r="10" spans="1:13" ht="15.75" customHeight="1" x14ac:dyDescent="0.2">
      <c r="A10" s="38" t="s">
        <v>696</v>
      </c>
      <c r="B10" s="368" t="s">
        <v>508</v>
      </c>
      <c r="C10" s="367">
        <f t="shared" ref="C10:K10" si="0">IFERROR(C9/C8,0)</f>
        <v>-2.1404083314240249E-2</v>
      </c>
      <c r="D10" s="367">
        <f t="shared" si="0"/>
        <v>0.10312078507359052</v>
      </c>
      <c r="E10" s="367">
        <f t="shared" si="0"/>
        <v>8.6342012712435467E-2</v>
      </c>
      <c r="F10" s="367">
        <f t="shared" si="0"/>
        <v>0.12244872260367648</v>
      </c>
      <c r="G10" s="367">
        <f t="shared" si="0"/>
        <v>0.16265859062941515</v>
      </c>
      <c r="H10" s="367">
        <f t="shared" si="0"/>
        <v>0.1646187358135634</v>
      </c>
      <c r="I10" s="367">
        <f t="shared" si="0"/>
        <v>0.17600493295978015</v>
      </c>
      <c r="J10" s="367">
        <f t="shared" si="0"/>
        <v>0.19085739368598184</v>
      </c>
      <c r="K10" s="367">
        <f t="shared" si="0"/>
        <v>0.20589730250413396</v>
      </c>
      <c r="L10" s="408"/>
      <c r="M10" s="408"/>
    </row>
    <row r="11" spans="1:13" ht="15.75" customHeight="1" x14ac:dyDescent="0.2">
      <c r="A11" s="3"/>
      <c r="B11" s="368"/>
      <c r="C11" s="13"/>
      <c r="D11" s="13"/>
      <c r="E11" s="13"/>
      <c r="F11" s="13"/>
      <c r="G11" s="13"/>
      <c r="H11" s="13"/>
      <c r="I11" s="13"/>
      <c r="J11" s="13"/>
      <c r="K11" s="13"/>
      <c r="L11" s="408"/>
      <c r="M11" s="408"/>
    </row>
    <row r="12" spans="1:13" ht="15.75" customHeight="1" x14ac:dyDescent="0.2">
      <c r="A12" s="38" t="s">
        <v>735</v>
      </c>
      <c r="B12" s="368" t="s">
        <v>508</v>
      </c>
      <c r="C12" s="45" t="s">
        <v>542</v>
      </c>
      <c r="D12" s="46">
        <f>Assumptions!$F$75</f>
        <v>0.11587449330938142</v>
      </c>
      <c r="E12" s="46">
        <f>Assumptions!$F$75</f>
        <v>0.11587449330938142</v>
      </c>
      <c r="F12" s="46">
        <f>Assumptions!$F$75</f>
        <v>0.11587449330938142</v>
      </c>
      <c r="G12" s="46">
        <f>Assumptions!$F$75</f>
        <v>0.11587449330938142</v>
      </c>
      <c r="H12" s="46">
        <f>Assumptions!$F$75</f>
        <v>0.11587449330938142</v>
      </c>
      <c r="I12" s="46">
        <f>Assumptions!$F$75</f>
        <v>0.11587449330938142</v>
      </c>
      <c r="J12" s="46">
        <f>Assumptions!$F$75</f>
        <v>0.11587449330938142</v>
      </c>
      <c r="K12" s="46">
        <f>Assumptions!$F$75</f>
        <v>0.11587449330938142</v>
      </c>
      <c r="L12" s="408"/>
      <c r="M12" s="408" t="s">
        <v>736</v>
      </c>
    </row>
    <row r="13" spans="1:13" ht="15.75" customHeight="1" x14ac:dyDescent="0.2">
      <c r="A13" s="38" t="s">
        <v>737</v>
      </c>
      <c r="B13" s="368" t="s">
        <v>738</v>
      </c>
      <c r="C13" s="45" t="s">
        <v>542</v>
      </c>
      <c r="D13" s="9">
        <v>0.5</v>
      </c>
      <c r="E13" s="9">
        <v>1.5</v>
      </c>
      <c r="F13" s="9">
        <v>2.5</v>
      </c>
      <c r="G13" s="9">
        <v>3.5</v>
      </c>
      <c r="H13" s="9">
        <v>4.5</v>
      </c>
      <c r="I13" s="9">
        <v>5.5</v>
      </c>
      <c r="J13" s="9">
        <v>6.5</v>
      </c>
      <c r="K13" s="9">
        <v>7.5</v>
      </c>
      <c r="L13" s="408"/>
      <c r="M13" s="408" t="s">
        <v>739</v>
      </c>
    </row>
    <row r="14" spans="1:13" ht="15.75" customHeight="1" x14ac:dyDescent="0.2">
      <c r="A14" s="372" t="s">
        <v>740</v>
      </c>
      <c r="B14" s="370" t="s">
        <v>172</v>
      </c>
      <c r="C14" s="373" t="s">
        <v>542</v>
      </c>
      <c r="D14" s="374">
        <f t="shared" ref="D14:K14" si="1">1/(1+D12)^D13</f>
        <v>0.94665628962265203</v>
      </c>
      <c r="E14" s="374">
        <f t="shared" si="1"/>
        <v>0.84835373090671329</v>
      </c>
      <c r="F14" s="374">
        <f t="shared" si="1"/>
        <v>0.76025909364656763</v>
      </c>
      <c r="G14" s="374">
        <f t="shared" si="1"/>
        <v>0.68131236819639562</v>
      </c>
      <c r="H14" s="374">
        <f t="shared" si="1"/>
        <v>0.61056361829349448</v>
      </c>
      <c r="I14" s="374">
        <f t="shared" si="1"/>
        <v>0.54716155083241325</v>
      </c>
      <c r="J14" s="374">
        <f t="shared" si="1"/>
        <v>0.49034327257510862</v>
      </c>
      <c r="K14" s="374">
        <f t="shared" si="1"/>
        <v>0.43942511054346567</v>
      </c>
      <c r="L14" s="410"/>
      <c r="M14" s="409"/>
    </row>
    <row r="15" spans="1:13" ht="15.75" customHeight="1" x14ac:dyDescent="0.2">
      <c r="A15" s="1" t="s">
        <v>741</v>
      </c>
      <c r="B15" s="368" t="s">
        <v>537</v>
      </c>
      <c r="C15" s="45" t="s">
        <v>542</v>
      </c>
      <c r="D15" s="82">
        <f t="shared" ref="D15:K15" si="2">D9*D14</f>
        <v>85.841001679067716</v>
      </c>
      <c r="E15" s="82">
        <f t="shared" si="2"/>
        <v>94.140628687315129</v>
      </c>
      <c r="F15" s="82">
        <f t="shared" si="2"/>
        <v>160.66615388429466</v>
      </c>
      <c r="G15" s="82">
        <f t="shared" si="2"/>
        <v>239.5867520467506</v>
      </c>
      <c r="H15" s="82">
        <f t="shared" si="2"/>
        <v>259.49320197167685</v>
      </c>
      <c r="I15" s="82">
        <f t="shared" si="2"/>
        <v>287.22351060573646</v>
      </c>
      <c r="J15" s="82">
        <f t="shared" si="2"/>
        <v>314.00799514320641</v>
      </c>
      <c r="K15" s="82">
        <f t="shared" si="2"/>
        <v>333.99026811191283</v>
      </c>
      <c r="L15" s="408"/>
      <c r="M15" s="411" t="s">
        <v>742</v>
      </c>
    </row>
    <row r="16" spans="1:13" ht="15.75" customHeight="1" x14ac:dyDescent="0.2">
      <c r="L16" s="408"/>
      <c r="M16" s="408"/>
    </row>
    <row r="17" spans="1:13" ht="15.75" customHeight="1" x14ac:dyDescent="0.2">
      <c r="A17" s="927" t="s">
        <v>743</v>
      </c>
      <c r="B17" s="985"/>
      <c r="C17" s="985"/>
      <c r="D17" s="985"/>
      <c r="E17" s="985"/>
      <c r="F17" s="985"/>
      <c r="G17" s="985"/>
      <c r="H17" s="985"/>
      <c r="I17" s="985"/>
      <c r="J17" s="985"/>
      <c r="K17" s="985"/>
      <c r="L17" s="986"/>
      <c r="M17" s="986"/>
    </row>
    <row r="18" spans="1:13" ht="15.75" customHeight="1" x14ac:dyDescent="0.2">
      <c r="A18" s="3" t="s">
        <v>744</v>
      </c>
      <c r="B18" s="368" t="s">
        <v>537</v>
      </c>
      <c r="C18" s="91">
        <f>K8</f>
        <v>3691.4610032621899</v>
      </c>
      <c r="D18" s="14"/>
      <c r="E18" s="14"/>
      <c r="F18" s="14"/>
      <c r="G18" s="14"/>
      <c r="H18" s="14"/>
      <c r="I18" s="14"/>
      <c r="J18" s="14"/>
      <c r="K18" s="14"/>
      <c r="L18" s="408"/>
      <c r="M18" s="408"/>
    </row>
    <row r="19" spans="1:13" ht="15.75" customHeight="1" x14ac:dyDescent="0.2">
      <c r="A19" s="255" t="s">
        <v>745</v>
      </c>
      <c r="B19" s="370" t="s">
        <v>537</v>
      </c>
      <c r="C19" s="371">
        <f>'P&amp;L'!L32</f>
        <v>1249.0437755265084</v>
      </c>
      <c r="D19" s="380"/>
      <c r="E19" s="380"/>
      <c r="F19" s="380"/>
      <c r="G19" s="380"/>
      <c r="H19" s="380"/>
      <c r="I19" s="380"/>
      <c r="J19" s="380"/>
      <c r="K19" s="380"/>
      <c r="L19" s="409"/>
      <c r="M19" s="409"/>
    </row>
    <row r="20" spans="1:13" ht="15.75" customHeight="1" x14ac:dyDescent="0.2">
      <c r="A20" s="3" t="s">
        <v>746</v>
      </c>
      <c r="B20" s="368" t="s">
        <v>537</v>
      </c>
      <c r="C20" s="91">
        <f>K9</f>
        <v>760.06186287088894</v>
      </c>
      <c r="D20" s="14"/>
      <c r="E20" s="14"/>
      <c r="F20" s="14"/>
      <c r="G20" s="14"/>
      <c r="H20" s="14"/>
      <c r="I20" s="14"/>
      <c r="J20" s="14"/>
      <c r="K20" s="14"/>
      <c r="L20" s="408"/>
      <c r="M20" s="408"/>
    </row>
    <row r="21" spans="1:13" ht="15.75" customHeight="1" x14ac:dyDescent="0.2">
      <c r="A21" s="255" t="s">
        <v>747</v>
      </c>
      <c r="B21" s="370" t="s">
        <v>172</v>
      </c>
      <c r="C21" s="381">
        <f>Assumptions!$F$79</f>
        <v>3.5</v>
      </c>
      <c r="D21" s="382"/>
      <c r="E21" s="382"/>
      <c r="F21" s="382"/>
      <c r="G21" s="382"/>
      <c r="H21" s="382"/>
      <c r="I21" s="382"/>
      <c r="J21" s="382"/>
      <c r="K21" s="382"/>
      <c r="L21" s="410" t="s">
        <v>748</v>
      </c>
      <c r="M21" s="409"/>
    </row>
    <row r="22" spans="1:13" ht="22" customHeight="1" x14ac:dyDescent="0.2">
      <c r="A22" s="1" t="s">
        <v>749</v>
      </c>
      <c r="B22" s="377" t="s">
        <v>537</v>
      </c>
      <c r="C22" s="82">
        <f>C18*C21</f>
        <v>12920.113511417665</v>
      </c>
      <c r="D22" s="378"/>
      <c r="E22" s="378"/>
      <c r="F22" s="378"/>
      <c r="G22" s="378"/>
      <c r="H22" s="378"/>
      <c r="I22" s="378"/>
      <c r="J22" s="378"/>
      <c r="K22" s="378"/>
      <c r="L22" s="447"/>
      <c r="M22" s="447"/>
    </row>
    <row r="23" spans="1:13" ht="15.75" customHeight="1" x14ac:dyDescent="0.2">
      <c r="A23" s="369" t="s">
        <v>750</v>
      </c>
      <c r="B23" s="370" t="s">
        <v>537</v>
      </c>
      <c r="C23" s="383">
        <f>C20*(1+Assumptions!$F$81)/(D12-Assumptions!$F$81)</f>
        <v>9116.3707474416169</v>
      </c>
      <c r="D23" s="384"/>
      <c r="E23" s="384"/>
      <c r="F23" s="384"/>
      <c r="G23" s="384"/>
      <c r="H23" s="384"/>
      <c r="I23" s="384"/>
      <c r="J23" s="384"/>
      <c r="K23" s="384"/>
      <c r="L23" s="410" t="s">
        <v>751</v>
      </c>
      <c r="M23" s="409"/>
    </row>
    <row r="24" spans="1:13" ht="15.75" customHeight="1" x14ac:dyDescent="0.2">
      <c r="A24" s="38" t="s">
        <v>752</v>
      </c>
      <c r="B24" s="368" t="s">
        <v>508</v>
      </c>
      <c r="C24" s="375">
        <f>ABS(C22-C23)/((C22+C23)/2)</f>
        <v>0.34522228857326348</v>
      </c>
      <c r="D24" s="10"/>
      <c r="E24" s="10"/>
      <c r="F24" s="10"/>
      <c r="G24" s="10"/>
      <c r="H24" s="10"/>
      <c r="I24" s="10"/>
      <c r="J24" s="10"/>
      <c r="K24" s="10"/>
      <c r="L24" s="414" t="s">
        <v>753</v>
      </c>
      <c r="M24" s="408"/>
    </row>
    <row r="25" spans="1:13" ht="15.75" customHeight="1" x14ac:dyDescent="0.2">
      <c r="A25" s="1" t="s">
        <v>754</v>
      </c>
      <c r="B25" s="377" t="s">
        <v>537</v>
      </c>
      <c r="C25" s="376">
        <f>(C23+C22) / 2</f>
        <v>11018.24212942964</v>
      </c>
      <c r="D25" s="379"/>
      <c r="E25" s="379"/>
      <c r="F25" s="379"/>
      <c r="G25" s="379"/>
      <c r="H25" s="379"/>
      <c r="I25" s="379"/>
      <c r="J25" s="379"/>
      <c r="K25" s="379"/>
      <c r="L25" s="447"/>
      <c r="M25" s="447"/>
    </row>
    <row r="26" spans="1:13" ht="15.75" customHeight="1" x14ac:dyDescent="0.2">
      <c r="A26" s="369" t="s">
        <v>755</v>
      </c>
      <c r="B26" s="370" t="s">
        <v>537</v>
      </c>
      <c r="C26" s="383">
        <f>C25*K14</f>
        <v>4841.6922657192899</v>
      </c>
      <c r="D26" s="384"/>
      <c r="E26" s="384"/>
      <c r="F26" s="384"/>
      <c r="G26" s="384"/>
      <c r="H26" s="384"/>
      <c r="I26" s="384"/>
      <c r="J26" s="384"/>
      <c r="K26" s="384"/>
      <c r="L26" s="409"/>
      <c r="M26" s="409"/>
    </row>
    <row r="27" spans="1:13" ht="15.75" customHeight="1" x14ac:dyDescent="0.2">
      <c r="A27" s="38" t="s">
        <v>756</v>
      </c>
      <c r="B27" s="368" t="s">
        <v>508</v>
      </c>
      <c r="C27" s="375">
        <f>C26/(C26+SUM(D15:K15))</f>
        <v>0.73174465662142729</v>
      </c>
      <c r="D27" s="10"/>
      <c r="E27" s="10"/>
      <c r="F27" s="10"/>
      <c r="G27" s="10"/>
      <c r="H27" s="10"/>
      <c r="I27" s="10"/>
      <c r="J27" s="10"/>
      <c r="K27" s="10"/>
      <c r="L27" s="414" t="s">
        <v>757</v>
      </c>
      <c r="M27" s="408"/>
    </row>
    <row r="28" spans="1:13" ht="15.75" customHeight="1" x14ac:dyDescent="0.2">
      <c r="L28" s="408"/>
      <c r="M28" s="408"/>
    </row>
    <row r="29" spans="1:13" ht="15.75" customHeight="1" thickBot="1" x14ac:dyDescent="0.25">
      <c r="A29" s="927" t="s">
        <v>758</v>
      </c>
      <c r="B29" s="985"/>
      <c r="C29" s="985"/>
      <c r="D29" s="985"/>
      <c r="E29" s="985"/>
      <c r="F29" s="985"/>
      <c r="G29" s="985"/>
      <c r="H29" s="985"/>
      <c r="I29" s="985"/>
      <c r="J29" s="985"/>
      <c r="K29" s="985"/>
      <c r="L29" s="986"/>
      <c r="M29" s="986"/>
    </row>
    <row r="30" spans="1:13" ht="15.75" customHeight="1" x14ac:dyDescent="0.2">
      <c r="A30" s="391" t="s">
        <v>759</v>
      </c>
      <c r="B30" s="392" t="s">
        <v>537</v>
      </c>
      <c r="C30" s="393">
        <f>SUM(D15:K15)</f>
        <v>1774.9495121299608</v>
      </c>
      <c r="D30" s="394"/>
      <c r="E30" s="394"/>
      <c r="F30" s="394"/>
      <c r="G30" s="394"/>
      <c r="H30" s="394"/>
      <c r="I30" s="394"/>
      <c r="J30" s="394"/>
      <c r="K30" s="394"/>
      <c r="L30" s="412"/>
      <c r="M30" s="412"/>
    </row>
    <row r="31" spans="1:13" ht="15.75" customHeight="1" x14ac:dyDescent="0.2">
      <c r="A31" s="3" t="s">
        <v>755</v>
      </c>
      <c r="B31" s="7" t="s">
        <v>537</v>
      </c>
      <c r="C31" s="390">
        <f>C26</f>
        <v>4841.6922657192899</v>
      </c>
      <c r="D31" s="13"/>
      <c r="E31" s="13"/>
      <c r="F31" s="13"/>
      <c r="G31" s="13"/>
      <c r="H31" s="13"/>
      <c r="I31" s="13"/>
      <c r="J31" s="13"/>
      <c r="K31" s="13"/>
      <c r="L31" s="408"/>
      <c r="M31" s="408"/>
    </row>
    <row r="32" spans="1:13" ht="15.75" customHeight="1" thickBot="1" x14ac:dyDescent="0.25">
      <c r="A32" s="395" t="s">
        <v>760</v>
      </c>
      <c r="B32" s="396" t="s">
        <v>537</v>
      </c>
      <c r="C32" s="397">
        <f>C30+C31</f>
        <v>6616.6417778492505</v>
      </c>
      <c r="D32" s="398"/>
      <c r="E32" s="398"/>
      <c r="F32" s="398"/>
      <c r="G32" s="398"/>
      <c r="H32" s="398"/>
      <c r="I32" s="398"/>
      <c r="J32" s="398"/>
      <c r="K32" s="398"/>
      <c r="L32" s="413"/>
      <c r="M32" s="413"/>
    </row>
    <row r="33" spans="1:13" ht="15.75" customHeight="1" x14ac:dyDescent="0.2">
      <c r="L33" s="408"/>
      <c r="M33" s="408"/>
    </row>
    <row r="34" spans="1:13" ht="22" customHeight="1" thickBot="1" x14ac:dyDescent="0.25">
      <c r="A34" s="927" t="s">
        <v>761</v>
      </c>
      <c r="B34" s="985"/>
      <c r="C34" s="985"/>
      <c r="D34" s="985"/>
      <c r="E34" s="985"/>
      <c r="F34" s="985"/>
      <c r="G34" s="985"/>
      <c r="H34" s="985"/>
      <c r="I34" s="985"/>
      <c r="J34" s="985"/>
      <c r="K34" s="985"/>
      <c r="L34" s="986"/>
      <c r="M34" s="986"/>
    </row>
    <row r="35" spans="1:13" ht="15.75" customHeight="1" x14ac:dyDescent="0.2">
      <c r="A35" s="391" t="s">
        <v>762</v>
      </c>
      <c r="B35" s="392" t="s">
        <v>537</v>
      </c>
      <c r="C35" s="399">
        <f>C32</f>
        <v>6616.6417778492505</v>
      </c>
      <c r="D35" s="394"/>
      <c r="E35" s="394"/>
      <c r="F35" s="394"/>
      <c r="G35" s="394"/>
      <c r="H35" s="394"/>
      <c r="I35" s="394"/>
      <c r="J35" s="394"/>
      <c r="K35" s="394"/>
      <c r="L35" s="412"/>
      <c r="M35" s="412"/>
    </row>
    <row r="36" spans="1:13" ht="15.75" customHeight="1" x14ac:dyDescent="0.2">
      <c r="A36" s="3" t="s">
        <v>763</v>
      </c>
      <c r="B36" s="7" t="s">
        <v>537</v>
      </c>
      <c r="C36" s="91">
        <f>-Assumptions!$F$62</f>
        <v>-10</v>
      </c>
      <c r="D36" s="8"/>
      <c r="E36" s="8"/>
      <c r="F36" s="8"/>
      <c r="G36" s="8"/>
      <c r="H36" s="8"/>
      <c r="I36" s="8"/>
      <c r="J36" s="8"/>
      <c r="K36" s="8"/>
      <c r="L36" s="414" t="s">
        <v>764</v>
      </c>
      <c r="M36" s="408"/>
    </row>
    <row r="37" spans="1:13" ht="15.75" customHeight="1" x14ac:dyDescent="0.2">
      <c r="A37" s="3" t="s">
        <v>765</v>
      </c>
      <c r="B37" s="7" t="s">
        <v>537</v>
      </c>
      <c r="C37" s="91">
        <f>'WC &amp; Cash'!E34</f>
        <v>729.51887555616463</v>
      </c>
      <c r="D37" s="8"/>
      <c r="E37" s="8"/>
      <c r="F37" s="8"/>
      <c r="G37" s="8"/>
      <c r="H37" s="8"/>
      <c r="I37" s="8"/>
      <c r="J37" s="8"/>
      <c r="K37" s="8"/>
      <c r="L37" s="414" t="s">
        <v>766</v>
      </c>
      <c r="M37" s="408"/>
    </row>
    <row r="38" spans="1:13" ht="15.75" customHeight="1" x14ac:dyDescent="0.2">
      <c r="A38" s="385" t="s">
        <v>767</v>
      </c>
      <c r="B38" s="388" t="s">
        <v>537</v>
      </c>
      <c r="C38" s="386">
        <f>C35+C36+C37</f>
        <v>7336.1606534054154</v>
      </c>
      <c r="D38" s="389"/>
      <c r="E38" s="389"/>
      <c r="F38" s="389"/>
      <c r="G38" s="389"/>
      <c r="H38" s="389"/>
      <c r="I38" s="389"/>
      <c r="J38" s="389"/>
      <c r="K38" s="389"/>
      <c r="L38" s="415"/>
      <c r="M38" s="415"/>
    </row>
    <row r="39" spans="1:13" ht="22" customHeight="1" x14ac:dyDescent="0.2">
      <c r="A39" s="3" t="s">
        <v>768</v>
      </c>
      <c r="B39" s="7" t="s">
        <v>502</v>
      </c>
      <c r="C39" s="14">
        <f>Assumptions!$F$55</f>
        <v>410</v>
      </c>
      <c r="D39" s="2"/>
      <c r="E39" s="2"/>
      <c r="F39" s="2"/>
      <c r="G39" s="2"/>
      <c r="H39" s="2"/>
      <c r="I39" s="2"/>
      <c r="J39" s="2"/>
      <c r="K39" s="2"/>
      <c r="L39" s="414" t="s">
        <v>769</v>
      </c>
      <c r="M39" s="408"/>
    </row>
    <row r="40" spans="1:13" ht="15.75" customHeight="1" thickBot="1" x14ac:dyDescent="0.25">
      <c r="A40" s="395" t="s">
        <v>770</v>
      </c>
      <c r="B40" s="396" t="s">
        <v>771</v>
      </c>
      <c r="C40" s="400">
        <f>C38/C39</f>
        <v>17.893074764403451</v>
      </c>
      <c r="D40" s="401"/>
      <c r="E40" s="401"/>
      <c r="F40" s="401"/>
      <c r="G40" s="401"/>
      <c r="H40" s="401"/>
      <c r="I40" s="401"/>
      <c r="J40" s="401"/>
      <c r="K40" s="401"/>
      <c r="L40" s="413"/>
      <c r="M40" s="413"/>
    </row>
    <row r="41" spans="1:13" ht="15.75" customHeight="1" x14ac:dyDescent="0.2">
      <c r="L41" s="408"/>
      <c r="M41" s="408"/>
    </row>
    <row r="42" spans="1:13" ht="15.75" customHeight="1" x14ac:dyDescent="0.2">
      <c r="A42" s="927" t="s">
        <v>772</v>
      </c>
      <c r="B42" s="985"/>
      <c r="C42" s="985"/>
      <c r="D42" s="985"/>
      <c r="E42" s="985"/>
      <c r="F42" s="985"/>
      <c r="G42" s="985"/>
      <c r="H42" s="985"/>
      <c r="I42" s="985"/>
      <c r="J42" s="985"/>
      <c r="K42" s="985"/>
      <c r="L42" s="986"/>
      <c r="M42" s="986"/>
    </row>
    <row r="43" spans="1:13" ht="15.75" customHeight="1" x14ac:dyDescent="0.2">
      <c r="A43" s="403" t="s">
        <v>773</v>
      </c>
      <c r="B43" s="403" t="s">
        <v>537</v>
      </c>
      <c r="C43" s="404">
        <f>RealOptions!B31</f>
        <v>164.15584362704715</v>
      </c>
      <c r="D43" s="405"/>
      <c r="E43" s="405"/>
      <c r="F43" s="405"/>
      <c r="G43" s="405"/>
      <c r="H43" s="405"/>
      <c r="I43" s="405"/>
      <c r="J43" s="405"/>
      <c r="K43" s="405"/>
      <c r="L43" s="414" t="s">
        <v>774</v>
      </c>
      <c r="M43" s="408"/>
    </row>
    <row r="44" spans="1:13" ht="15.75" customHeight="1" x14ac:dyDescent="0.2">
      <c r="A44" s="403" t="s">
        <v>775</v>
      </c>
      <c r="B44" s="403" t="s">
        <v>537</v>
      </c>
      <c r="C44" s="404">
        <f>RealOptions!D31</f>
        <v>2609.123613364764</v>
      </c>
      <c r="D44" s="405"/>
      <c r="E44" s="405"/>
      <c r="F44" s="405"/>
      <c r="G44" s="405"/>
      <c r="H44" s="405"/>
      <c r="I44" s="405"/>
      <c r="J44" s="405"/>
      <c r="K44" s="405"/>
      <c r="L44" s="408"/>
      <c r="M44" s="408"/>
    </row>
    <row r="45" spans="1:13" ht="15.75" customHeight="1" x14ac:dyDescent="0.2">
      <c r="A45" s="1" t="s">
        <v>776</v>
      </c>
      <c r="B45" s="7" t="s">
        <v>537</v>
      </c>
      <c r="C45" s="92">
        <f>RealOptions!B36</f>
        <v>940.08677436003336</v>
      </c>
      <c r="D45" s="13"/>
      <c r="E45" s="13"/>
      <c r="F45" s="13"/>
      <c r="G45" s="13"/>
      <c r="H45" s="13"/>
      <c r="I45" s="13"/>
      <c r="J45" s="13"/>
      <c r="K45" s="13"/>
      <c r="L45" s="408"/>
      <c r="M45" s="408"/>
    </row>
    <row r="46" spans="1:13" ht="15.75" customHeight="1" x14ac:dyDescent="0.2">
      <c r="A46" s="1" t="s">
        <v>777</v>
      </c>
      <c r="B46" s="402" t="s">
        <v>537</v>
      </c>
      <c r="C46" s="82">
        <f>C45</f>
        <v>940.08677436003336</v>
      </c>
      <c r="D46" s="378"/>
      <c r="E46" s="378"/>
      <c r="F46" s="378"/>
      <c r="G46" s="378"/>
      <c r="H46" s="378"/>
      <c r="I46" s="378"/>
      <c r="J46" s="378"/>
      <c r="K46" s="378"/>
      <c r="L46" s="447"/>
      <c r="M46" s="447"/>
    </row>
    <row r="47" spans="1:13" ht="22" customHeight="1" x14ac:dyDescent="0.2">
      <c r="A47" s="385" t="s">
        <v>778</v>
      </c>
      <c r="B47" s="388" t="s">
        <v>537</v>
      </c>
      <c r="C47" s="386">
        <f>C32+C46</f>
        <v>7556.7285522092843</v>
      </c>
      <c r="D47" s="389"/>
      <c r="E47" s="389"/>
      <c r="F47" s="389"/>
      <c r="G47" s="389"/>
      <c r="H47" s="389"/>
      <c r="I47" s="389"/>
      <c r="J47" s="389"/>
      <c r="K47" s="389"/>
      <c r="L47" s="415"/>
      <c r="M47" s="415"/>
    </row>
    <row r="48" spans="1:13" ht="15.75" customHeight="1" x14ac:dyDescent="0.2">
      <c r="L48" s="408"/>
      <c r="M48" s="408"/>
    </row>
    <row r="49" spans="1:13" ht="15.75" customHeight="1" x14ac:dyDescent="0.2">
      <c r="A49" s="927" t="s">
        <v>779</v>
      </c>
      <c r="B49" s="985"/>
      <c r="C49" s="985"/>
      <c r="D49" s="985"/>
      <c r="E49" s="985"/>
      <c r="F49" s="985"/>
      <c r="G49" s="985"/>
      <c r="H49" s="985"/>
      <c r="I49" s="985"/>
      <c r="J49" s="985"/>
      <c r="K49" s="985"/>
      <c r="L49" s="986"/>
      <c r="M49" s="986"/>
    </row>
    <row r="50" spans="1:13" x14ac:dyDescent="0.2">
      <c r="A50" s="1" t="s">
        <v>780</v>
      </c>
      <c r="B50" s="377" t="s">
        <v>537</v>
      </c>
      <c r="C50" s="82">
        <f>C38</f>
        <v>7336.1606534054154</v>
      </c>
      <c r="D50" s="378"/>
      <c r="E50" s="378"/>
      <c r="F50" s="378"/>
      <c r="G50" s="378"/>
      <c r="H50" s="378"/>
      <c r="I50" s="378"/>
      <c r="J50" s="378"/>
      <c r="K50" s="378"/>
      <c r="L50" s="447"/>
      <c r="M50" s="447"/>
    </row>
    <row r="51" spans="1:13" x14ac:dyDescent="0.2">
      <c r="A51" s="1" t="s">
        <v>781</v>
      </c>
      <c r="B51" s="377" t="s">
        <v>537</v>
      </c>
      <c r="C51" s="82">
        <f>C38+C46</f>
        <v>8276.2474277654492</v>
      </c>
      <c r="D51" s="378"/>
      <c r="E51" s="378"/>
      <c r="F51" s="378"/>
      <c r="G51" s="378"/>
      <c r="H51" s="378"/>
      <c r="I51" s="378"/>
      <c r="J51" s="378"/>
      <c r="K51" s="378"/>
      <c r="L51" s="447"/>
      <c r="M51" s="447"/>
    </row>
    <row r="52" spans="1:13" x14ac:dyDescent="0.2">
      <c r="A52" s="3" t="s">
        <v>38</v>
      </c>
      <c r="B52" s="368" t="s">
        <v>537</v>
      </c>
      <c r="C52" s="81">
        <v>10100</v>
      </c>
      <c r="D52" s="8"/>
      <c r="E52" s="8"/>
      <c r="F52" s="8"/>
      <c r="G52" s="8"/>
      <c r="H52" s="8"/>
      <c r="I52" s="8"/>
      <c r="J52" s="8"/>
      <c r="K52" s="8"/>
      <c r="L52" s="414"/>
      <c r="M52" s="408"/>
    </row>
    <row r="53" spans="1:13" x14ac:dyDescent="0.2">
      <c r="A53" s="1" t="s">
        <v>782</v>
      </c>
      <c r="B53" s="368" t="s">
        <v>508</v>
      </c>
      <c r="C53" s="83">
        <f>C50/C52-1</f>
        <v>-0.27364746005886975</v>
      </c>
      <c r="D53" s="10"/>
      <c r="E53" s="10"/>
      <c r="F53" s="10"/>
      <c r="G53" s="10"/>
      <c r="H53" s="10"/>
      <c r="I53" s="10"/>
      <c r="J53" s="10"/>
      <c r="K53" s="10"/>
      <c r="L53" s="408"/>
      <c r="M53" s="408" t="s">
        <v>783</v>
      </c>
    </row>
    <row r="54" spans="1:13" ht="22" customHeight="1" x14ac:dyDescent="0.2">
      <c r="A54" s="31" t="s">
        <v>784</v>
      </c>
      <c r="B54" s="80" t="s">
        <v>508</v>
      </c>
      <c r="C54" s="406">
        <f>C51/C52-1</f>
        <v>-0.18056956160738125</v>
      </c>
      <c r="D54" s="27"/>
      <c r="E54" s="27"/>
      <c r="F54" s="27"/>
      <c r="G54" s="27"/>
      <c r="H54" s="27"/>
      <c r="I54" s="27"/>
      <c r="J54" s="27"/>
      <c r="K54" s="27"/>
      <c r="L54" s="408"/>
      <c r="M54" s="408" t="s">
        <v>785</v>
      </c>
    </row>
    <row r="56" spans="1:13" x14ac:dyDescent="0.2">
      <c r="A56" s="1189" t="s">
        <v>1732</v>
      </c>
      <c r="B56" s="1189"/>
      <c r="C56" s="1189"/>
      <c r="D56" s="1189"/>
      <c r="E56" s="1189"/>
      <c r="F56" s="1189"/>
    </row>
    <row r="57" spans="1:13" x14ac:dyDescent="0.2">
      <c r="A57" s="914" t="s">
        <v>1733</v>
      </c>
    </row>
    <row r="59" spans="1:13" ht="32" x14ac:dyDescent="0.2">
      <c r="A59" s="1030" t="s">
        <v>851</v>
      </c>
      <c r="B59" s="1218" t="s">
        <v>1734</v>
      </c>
      <c r="C59" s="1218" t="s">
        <v>1735</v>
      </c>
      <c r="D59" s="1218" t="s">
        <v>1736</v>
      </c>
      <c r="E59" s="1218" t="s">
        <v>1737</v>
      </c>
      <c r="F59" s="1218" t="s">
        <v>1738</v>
      </c>
    </row>
    <row r="60" spans="1:13" x14ac:dyDescent="0.2">
      <c r="A60" t="s">
        <v>1739</v>
      </c>
      <c r="B60" s="1241">
        <v>2055.85</v>
      </c>
      <c r="C60" s="1241">
        <v>2504.21</v>
      </c>
      <c r="D60" s="1241">
        <v>2657.5</v>
      </c>
      <c r="E60" s="1241">
        <v>153.29</v>
      </c>
      <c r="F60" s="1242">
        <f>D60/$C$52-1</f>
        <v>-0.73688118811881187</v>
      </c>
    </row>
    <row r="61" spans="1:13" x14ac:dyDescent="0.2">
      <c r="A61" t="s">
        <v>52</v>
      </c>
      <c r="B61" s="1241">
        <v>6616.64</v>
      </c>
      <c r="C61" s="1241">
        <v>7336.16</v>
      </c>
      <c r="D61" s="1241">
        <v>8276.25</v>
      </c>
      <c r="E61" s="1241">
        <v>940.09</v>
      </c>
      <c r="F61" s="1242">
        <f>D61/$C$52-1</f>
        <v>-0.18056930693069306</v>
      </c>
    </row>
    <row r="62" spans="1:13" x14ac:dyDescent="0.2">
      <c r="A62" t="s">
        <v>56</v>
      </c>
      <c r="B62" s="1241">
        <v>18877.82</v>
      </c>
      <c r="C62" s="1241">
        <v>19882</v>
      </c>
      <c r="D62" s="1241">
        <v>22596.33</v>
      </c>
      <c r="E62" s="1241">
        <v>2714.32</v>
      </c>
      <c r="F62" s="1242">
        <f>D62/$C$52-1</f>
        <v>1.2372603960396042</v>
      </c>
    </row>
    <row r="63" spans="1:13" x14ac:dyDescent="0.2">
      <c r="A63" s="90" t="s">
        <v>1740</v>
      </c>
      <c r="B63" s="1243">
        <v>7236.6</v>
      </c>
      <c r="C63" s="1243">
        <v>7961.86</v>
      </c>
      <c r="D63" s="1243">
        <v>8901.9500000000007</v>
      </c>
      <c r="E63" s="1243">
        <v>940.09</v>
      </c>
      <c r="F63" s="1244">
        <f>D63/$C$52-1</f>
        <v>-0.11861881188118806</v>
      </c>
    </row>
    <row r="65" spans="1:6" x14ac:dyDescent="0.2">
      <c r="A65" s="1034" t="s">
        <v>1741</v>
      </c>
      <c r="B65" s="1166">
        <f>0.2*B60+0.5*B61+0.3*B62</f>
        <v>9382.8359999999993</v>
      </c>
      <c r="C65" s="1166">
        <f>0.2*C60+0.5*C61+0.3*C62</f>
        <v>10133.521999999999</v>
      </c>
      <c r="D65" s="1166">
        <f>0.2*D60+0.5*D61+0.3*D62</f>
        <v>11448.524000000001</v>
      </c>
      <c r="E65" s="1166">
        <f>0.2*E60+0.5*E61+0.3*E62</f>
        <v>1314.999</v>
      </c>
      <c r="F65" s="1167">
        <f>D65/$C$52-1</f>
        <v>0.1335172277227723</v>
      </c>
    </row>
    <row r="67" spans="1:6" x14ac:dyDescent="0.2">
      <c r="A67" s="1168" t="s">
        <v>1742</v>
      </c>
    </row>
    <row r="68" spans="1:6" x14ac:dyDescent="0.2">
      <c r="A68" t="s">
        <v>1743</v>
      </c>
      <c r="B68" s="41">
        <f>B65-B63</f>
        <v>2146.235999999999</v>
      </c>
      <c r="C68" s="41">
        <f>C65-C63</f>
        <v>2171.6619999999994</v>
      </c>
      <c r="D68" s="41">
        <f>D65-D63</f>
        <v>2546.5740000000005</v>
      </c>
    </row>
    <row r="69" spans="1:6" x14ac:dyDescent="0.2">
      <c r="A69" t="s">
        <v>1744</v>
      </c>
      <c r="B69" s="416">
        <f>B65/B63-1</f>
        <v>0.29658071470027347</v>
      </c>
      <c r="C69" s="416">
        <f>C65/C63-1</f>
        <v>0.27275812435787605</v>
      </c>
      <c r="D69" s="416">
        <f>D65/D63-1</f>
        <v>0.28606923202219736</v>
      </c>
    </row>
    <row r="70" spans="1:6" x14ac:dyDescent="0.2">
      <c r="A70" s="1035" t="s">
        <v>1745</v>
      </c>
    </row>
    <row r="71" spans="1:6" x14ac:dyDescent="0.2">
      <c r="A71" s="1169" t="s">
        <v>1746</v>
      </c>
    </row>
    <row r="72" spans="1:6" x14ac:dyDescent="0.2">
      <c r="A72" s="1169" t="s">
        <v>1747</v>
      </c>
    </row>
    <row r="73" spans="1:6" x14ac:dyDescent="0.2">
      <c r="A73" s="1169" t="s">
        <v>1748</v>
      </c>
    </row>
    <row r="74" spans="1:6" x14ac:dyDescent="0.2">
      <c r="A74" s="1169" t="s">
        <v>1749</v>
      </c>
    </row>
  </sheetData>
  <mergeCells count="10">
    <mergeCell ref="A56:F56"/>
    <mergeCell ref="A29:M29"/>
    <mergeCell ref="A34:M34"/>
    <mergeCell ref="A42:M42"/>
    <mergeCell ref="A49:M49"/>
    <mergeCell ref="A1:M1"/>
    <mergeCell ref="A2:M2"/>
    <mergeCell ref="A3:M3"/>
    <mergeCell ref="A7:M7"/>
    <mergeCell ref="A17:M17"/>
  </mergeCells>
  <pageMargins left="0.75" right="0.75" top="1" bottom="1" header="0.5" footer="0.5"/>
  <pageSetup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F109"/>
  <sheetViews>
    <sheetView showGridLines="0" topLeftCell="A77" zoomScaleNormal="100" workbookViewId="0">
      <selection activeCell="A91" sqref="A91"/>
    </sheetView>
  </sheetViews>
  <sheetFormatPr baseColWidth="10" defaultColWidth="8.83203125" defaultRowHeight="15" x14ac:dyDescent="0.2"/>
  <cols>
    <col min="1" max="1" width="60" customWidth="1"/>
    <col min="2" max="4" width="18.33203125" customWidth="1"/>
    <col min="5" max="5" width="16" customWidth="1"/>
  </cols>
  <sheetData>
    <row r="1" spans="1:4" ht="28" customHeight="1" x14ac:dyDescent="0.25">
      <c r="A1" s="997" t="s">
        <v>953</v>
      </c>
      <c r="B1" s="998"/>
      <c r="C1" s="998"/>
      <c r="D1" s="998"/>
    </row>
    <row r="2" spans="1:4" ht="36" customHeight="1" x14ac:dyDescent="0.2">
      <c r="A2" s="999" t="s">
        <v>954</v>
      </c>
      <c r="B2" s="938"/>
      <c r="C2" s="938"/>
      <c r="D2" s="938"/>
    </row>
    <row r="4" spans="1:4" ht="22" customHeight="1" x14ac:dyDescent="0.2">
      <c r="A4" s="933" t="s">
        <v>955</v>
      </c>
      <c r="B4" s="996"/>
      <c r="C4" s="996"/>
      <c r="D4" s="996"/>
    </row>
    <row r="5" spans="1:4" x14ac:dyDescent="0.2">
      <c r="A5" t="s">
        <v>956</v>
      </c>
    </row>
    <row r="6" spans="1:4" x14ac:dyDescent="0.2">
      <c r="B6" s="164" t="s">
        <v>55</v>
      </c>
      <c r="C6" s="164" t="s">
        <v>52</v>
      </c>
      <c r="D6" s="164" t="s">
        <v>56</v>
      </c>
    </row>
    <row r="7" spans="1:4" x14ac:dyDescent="0.2">
      <c r="A7" t="s">
        <v>957</v>
      </c>
      <c r="B7" s="416">
        <f>Assumptions!$C$157</f>
        <v>0.15</v>
      </c>
      <c r="C7" s="416">
        <f>Assumptions!$D$157</f>
        <v>0.2</v>
      </c>
      <c r="D7" s="416">
        <f>Assumptions!$E$157</f>
        <v>0.25</v>
      </c>
    </row>
    <row r="8" spans="1:4" x14ac:dyDescent="0.2">
      <c r="A8" t="s">
        <v>958</v>
      </c>
      <c r="B8" s="416">
        <f>1-B7</f>
        <v>0.85</v>
      </c>
      <c r="C8" s="416">
        <f>1-C7</f>
        <v>0.8</v>
      </c>
      <c r="D8" s="416">
        <f>1-D7</f>
        <v>0.75</v>
      </c>
    </row>
    <row r="10" spans="1:4" ht="22" customHeight="1" x14ac:dyDescent="0.2">
      <c r="A10" s="933" t="s">
        <v>959</v>
      </c>
      <c r="B10" s="996"/>
      <c r="C10" s="996"/>
      <c r="D10" s="996"/>
    </row>
    <row r="11" spans="1:4" ht="20" customHeight="1" x14ac:dyDescent="0.2">
      <c r="A11" s="84" t="s">
        <v>960</v>
      </c>
    </row>
    <row r="13" spans="1:4" x14ac:dyDescent="0.2">
      <c r="A13" s="79" t="s">
        <v>961</v>
      </c>
      <c r="B13" s="109">
        <f>Assumptions!C178</f>
        <v>7.4999192533200016</v>
      </c>
      <c r="C13" s="109">
        <f>Assumptions!D178</f>
        <v>10.924108107214609</v>
      </c>
      <c r="D13" s="109">
        <f>Assumptions!E178</f>
        <v>16.671983392968752</v>
      </c>
    </row>
    <row r="14" spans="1:4" x14ac:dyDescent="0.2">
      <c r="A14" t="s">
        <v>962</v>
      </c>
      <c r="B14" s="416">
        <f>Assumptions!$C$158</f>
        <v>0.3</v>
      </c>
      <c r="C14" s="416">
        <f>Assumptions!$D$158</f>
        <v>0.4</v>
      </c>
      <c r="D14" s="416">
        <f>Assumptions!$E$158</f>
        <v>0.45</v>
      </c>
    </row>
    <row r="15" spans="1:4" x14ac:dyDescent="0.2">
      <c r="A15" s="48" t="s">
        <v>963</v>
      </c>
      <c r="B15" s="85">
        <f>B13*B14</f>
        <v>2.2499757759960004</v>
      </c>
      <c r="C15" s="85">
        <f>C13*C14</f>
        <v>4.3696432428858438</v>
      </c>
      <c r="D15" s="85">
        <f>D13*D14</f>
        <v>7.5023925268359388</v>
      </c>
    </row>
    <row r="17" spans="1:4" x14ac:dyDescent="0.2">
      <c r="A17" s="79" t="s">
        <v>964</v>
      </c>
      <c r="B17" s="419">
        <f>Assumptions!$C$159</f>
        <v>200</v>
      </c>
      <c r="C17" s="419">
        <f>Assumptions!$D$159</f>
        <v>300</v>
      </c>
      <c r="D17" s="419">
        <f>Assumptions!$E$159</f>
        <v>350</v>
      </c>
    </row>
    <row r="18" spans="1:4" x14ac:dyDescent="0.2">
      <c r="A18" s="48" t="s">
        <v>965</v>
      </c>
      <c r="B18" s="36">
        <f>B15*B17</f>
        <v>449.9951551992001</v>
      </c>
      <c r="C18" s="36">
        <f>C15*C17</f>
        <v>1310.8929728657531</v>
      </c>
      <c r="D18" s="36">
        <f>D15*D17</f>
        <v>2625.8373843925788</v>
      </c>
    </row>
    <row r="20" spans="1:4" x14ac:dyDescent="0.2">
      <c r="A20" t="s">
        <v>966</v>
      </c>
      <c r="B20" s="93">
        <f>Assumptions!$C$160</f>
        <v>5</v>
      </c>
      <c r="C20" s="93">
        <f>Assumptions!$D$160</f>
        <v>6</v>
      </c>
      <c r="D20" s="93">
        <f>Assumptions!$E$160</f>
        <v>6</v>
      </c>
    </row>
    <row r="21" spans="1:4" x14ac:dyDescent="0.2">
      <c r="A21" s="48" t="s">
        <v>967</v>
      </c>
      <c r="B21" s="36">
        <f>B18*B20</f>
        <v>2249.9757759960003</v>
      </c>
      <c r="C21" s="36">
        <f>C18*C20</f>
        <v>7865.3578371945187</v>
      </c>
      <c r="D21" s="36">
        <f>D18*D20</f>
        <v>15755.024306355474</v>
      </c>
    </row>
    <row r="24" spans="1:4" ht="22" customHeight="1" x14ac:dyDescent="0.2">
      <c r="A24" s="933" t="s">
        <v>968</v>
      </c>
      <c r="B24" s="996"/>
      <c r="C24" s="996"/>
      <c r="D24" s="996"/>
    </row>
    <row r="25" spans="1:4" x14ac:dyDescent="0.2">
      <c r="A25" s="79" t="s">
        <v>969</v>
      </c>
      <c r="B25" s="420">
        <f>Assumptions!$C$161</f>
        <v>7</v>
      </c>
      <c r="C25" s="420">
        <f>Assumptions!$D$161</f>
        <v>5</v>
      </c>
      <c r="D25" s="420">
        <f>Assumptions!$E$161</f>
        <v>4</v>
      </c>
    </row>
    <row r="26" spans="1:4" x14ac:dyDescent="0.2">
      <c r="A26" t="s">
        <v>735</v>
      </c>
      <c r="B26" s="417">
        <f>Assumptions!$F$74</f>
        <v>0.10844999999999999</v>
      </c>
      <c r="C26" s="417">
        <f>Assumptions!$F$74</f>
        <v>0.10844999999999999</v>
      </c>
      <c r="D26" s="417">
        <f>Assumptions!$F$74</f>
        <v>0.10844999999999999</v>
      </c>
    </row>
    <row r="27" spans="1:4" x14ac:dyDescent="0.2">
      <c r="A27" t="s">
        <v>970</v>
      </c>
      <c r="B27" s="418">
        <f>1/(1+B26)^B25</f>
        <v>0.48639292143602458</v>
      </c>
      <c r="C27" s="418">
        <f>1/(1+C26)^C25</f>
        <v>0.5976122090176581</v>
      </c>
      <c r="D27" s="418">
        <f>1/(1+D26)^D25</f>
        <v>0.66242325308562311</v>
      </c>
    </row>
    <row r="28" spans="1:4" x14ac:dyDescent="0.2">
      <c r="A28" s="530" t="s">
        <v>971</v>
      </c>
      <c r="B28" s="37">
        <f>B21*B27</f>
        <v>1094.3722908469811</v>
      </c>
      <c r="C28" s="37">
        <f>C21*C27</f>
        <v>4700.4338718001663</v>
      </c>
      <c r="D28" s="37">
        <f>D21*D27</f>
        <v>10436.494453459056</v>
      </c>
    </row>
    <row r="30" spans="1:4" x14ac:dyDescent="0.2">
      <c r="A30" s="79" t="s">
        <v>972</v>
      </c>
      <c r="B30" s="421">
        <f>B7</f>
        <v>0.15</v>
      </c>
      <c r="C30" s="421">
        <f>C7</f>
        <v>0.2</v>
      </c>
      <c r="D30" s="421">
        <f>D7</f>
        <v>0.25</v>
      </c>
    </row>
    <row r="31" spans="1:4" x14ac:dyDescent="0.2">
      <c r="A31" s="87" t="s">
        <v>973</v>
      </c>
      <c r="B31" s="88">
        <f>B28*B30</f>
        <v>164.15584362704715</v>
      </c>
      <c r="C31" s="88">
        <f>C28*C30</f>
        <v>940.08677436003336</v>
      </c>
      <c r="D31" s="88">
        <f>D28*D30</f>
        <v>2609.123613364764</v>
      </c>
    </row>
    <row r="32" spans="1:4" x14ac:dyDescent="0.2">
      <c r="A32" s="87" t="s">
        <v>974</v>
      </c>
      <c r="B32" s="89">
        <f>B31/1000</f>
        <v>0.16415584362704716</v>
      </c>
      <c r="C32" s="89">
        <f>C31/1000</f>
        <v>0.94008677436003341</v>
      </c>
      <c r="D32" s="89">
        <f>D31/1000</f>
        <v>2.6091236133647642</v>
      </c>
    </row>
    <row r="34" spans="1:4" ht="22" customHeight="1" x14ac:dyDescent="0.2">
      <c r="A34" s="933" t="s">
        <v>975</v>
      </c>
      <c r="B34" s="996"/>
      <c r="C34" s="996"/>
      <c r="D34" s="996"/>
    </row>
    <row r="35" spans="1:4" x14ac:dyDescent="0.2">
      <c r="A35" s="387" t="s">
        <v>976</v>
      </c>
      <c r="B35" s="90" t="str">
        <f>Assumptions!$B$3</f>
        <v>Base</v>
      </c>
    </row>
    <row r="36" spans="1:4" x14ac:dyDescent="0.2">
      <c r="A36" s="90" t="s">
        <v>977</v>
      </c>
      <c r="B36" s="88">
        <f>IF($B$35="Bear",B31,IF($B$35="Bull",D31,C31))</f>
        <v>940.08677436003336</v>
      </c>
    </row>
    <row r="37" spans="1:4" x14ac:dyDescent="0.2">
      <c r="A37" s="90" t="s">
        <v>978</v>
      </c>
      <c r="B37" s="89">
        <f>B36/1000</f>
        <v>0.94008677436003341</v>
      </c>
    </row>
    <row r="38" spans="1:4" x14ac:dyDescent="0.2">
      <c r="A38" s="1034" t="s">
        <v>1865</v>
      </c>
      <c r="B38" s="1256">
        <f>Assumptions!$C$2*B31+Assumptions!$E$2*C31+Assumptions!$G$2*D31</f>
        <v>1285.6116399148552</v>
      </c>
      <c r="C38" s="411" t="s">
        <v>1867</v>
      </c>
    </row>
    <row r="39" spans="1:4" x14ac:dyDescent="0.2">
      <c r="A39" s="1034" t="s">
        <v>1866</v>
      </c>
      <c r="B39" s="1257">
        <f>B38/1000</f>
        <v>1.2856116399148552</v>
      </c>
    </row>
    <row r="40" spans="1:4" ht="22" customHeight="1" x14ac:dyDescent="0.2">
      <c r="A40" s="933" t="s">
        <v>979</v>
      </c>
      <c r="B40" s="996"/>
      <c r="C40" s="996"/>
      <c r="D40" s="996"/>
    </row>
    <row r="41" spans="1:4" x14ac:dyDescent="0.2">
      <c r="A41" s="422" t="s">
        <v>980</v>
      </c>
      <c r="B41" s="27"/>
      <c r="C41" s="27"/>
      <c r="D41" s="27"/>
    </row>
    <row r="42" spans="1:4" x14ac:dyDescent="0.2">
      <c r="A42" s="246"/>
      <c r="B42" s="27"/>
      <c r="C42" s="27"/>
      <c r="D42" s="27"/>
    </row>
    <row r="43" spans="1:4" x14ac:dyDescent="0.2">
      <c r="A43" s="245" t="s">
        <v>981</v>
      </c>
      <c r="B43" s="27"/>
      <c r="C43" s="27"/>
      <c r="D43" s="27"/>
    </row>
    <row r="44" spans="1:4" x14ac:dyDescent="0.2">
      <c r="A44" s="246" t="s">
        <v>982</v>
      </c>
      <c r="B44" s="27"/>
      <c r="C44" s="27"/>
      <c r="D44" s="27"/>
    </row>
    <row r="45" spans="1:4" x14ac:dyDescent="0.2">
      <c r="A45" s="246" t="s">
        <v>983</v>
      </c>
      <c r="B45" s="27"/>
      <c r="C45" s="27"/>
      <c r="D45" s="27"/>
    </row>
    <row r="46" spans="1:4" x14ac:dyDescent="0.2">
      <c r="A46" s="246" t="s">
        <v>984</v>
      </c>
      <c r="B46" s="27"/>
      <c r="C46" s="27"/>
      <c r="D46" s="27"/>
    </row>
    <row r="47" spans="1:4" x14ac:dyDescent="0.2">
      <c r="A47" s="246" t="s">
        <v>985</v>
      </c>
      <c r="B47" s="27"/>
      <c r="C47" s="27"/>
      <c r="D47" s="27"/>
    </row>
    <row r="48" spans="1:4" x14ac:dyDescent="0.2">
      <c r="A48" s="246" t="s">
        <v>986</v>
      </c>
      <c r="B48" s="27"/>
      <c r="C48" s="27"/>
      <c r="D48" s="27"/>
    </row>
    <row r="49" spans="1:4" x14ac:dyDescent="0.2">
      <c r="A49" s="246"/>
      <c r="B49" s="27"/>
      <c r="C49" s="27"/>
      <c r="D49" s="27"/>
    </row>
    <row r="50" spans="1:4" x14ac:dyDescent="0.2">
      <c r="A50" s="245" t="s">
        <v>987</v>
      </c>
      <c r="B50" s="27"/>
      <c r="C50" s="27"/>
      <c r="D50" s="27"/>
    </row>
    <row r="51" spans="1:4" x14ac:dyDescent="0.2">
      <c r="A51" s="246" t="s">
        <v>988</v>
      </c>
      <c r="B51" s="27"/>
      <c r="C51" s="27"/>
      <c r="D51" s="27"/>
    </row>
    <row r="52" spans="1:4" x14ac:dyDescent="0.2">
      <c r="A52" s="246" t="s">
        <v>989</v>
      </c>
      <c r="B52" s="27"/>
      <c r="C52" s="27"/>
      <c r="D52" s="27"/>
    </row>
    <row r="53" spans="1:4" x14ac:dyDescent="0.2">
      <c r="A53" s="246" t="s">
        <v>990</v>
      </c>
      <c r="B53" s="27"/>
      <c r="C53" s="27"/>
      <c r="D53" s="27"/>
    </row>
    <row r="54" spans="1:4" x14ac:dyDescent="0.2">
      <c r="A54" s="246"/>
      <c r="B54" s="27"/>
      <c r="C54" s="27"/>
      <c r="D54" s="27"/>
    </row>
    <row r="55" spans="1:4" x14ac:dyDescent="0.2">
      <c r="A55" s="245" t="s">
        <v>991</v>
      </c>
      <c r="B55" s="27"/>
      <c r="C55" s="27"/>
      <c r="D55" s="27"/>
    </row>
    <row r="56" spans="1:4" x14ac:dyDescent="0.2">
      <c r="A56" s="246" t="s">
        <v>992</v>
      </c>
      <c r="B56" s="27"/>
      <c r="C56" s="27"/>
      <c r="D56" s="27"/>
    </row>
    <row r="57" spans="1:4" x14ac:dyDescent="0.2">
      <c r="A57" s="246" t="s">
        <v>993</v>
      </c>
      <c r="B57" s="27"/>
      <c r="C57" s="27"/>
      <c r="D57" s="27"/>
    </row>
    <row r="58" spans="1:4" x14ac:dyDescent="0.2">
      <c r="A58" s="246" t="s">
        <v>994</v>
      </c>
      <c r="B58" s="27"/>
      <c r="C58" s="27"/>
      <c r="D58" s="27"/>
    </row>
    <row r="59" spans="1:4" x14ac:dyDescent="0.2">
      <c r="A59" s="246"/>
      <c r="B59" s="27"/>
      <c r="C59" s="27"/>
      <c r="D59" s="27"/>
    </row>
    <row r="60" spans="1:4" x14ac:dyDescent="0.2">
      <c r="A60" s="245" t="s">
        <v>995</v>
      </c>
      <c r="B60" s="27"/>
      <c r="C60" s="27"/>
      <c r="D60" s="27"/>
    </row>
    <row r="61" spans="1:4" x14ac:dyDescent="0.2">
      <c r="A61" s="246" t="s">
        <v>996</v>
      </c>
      <c r="B61" s="27"/>
      <c r="C61" s="27"/>
      <c r="D61" s="27"/>
    </row>
    <row r="62" spans="1:4" x14ac:dyDescent="0.2">
      <c r="A62" s="246" t="s">
        <v>997</v>
      </c>
      <c r="B62" s="27"/>
      <c r="C62" s="27"/>
      <c r="D62" s="27"/>
    </row>
    <row r="63" spans="1:4" x14ac:dyDescent="0.2">
      <c r="A63" s="246"/>
      <c r="B63" s="27"/>
      <c r="C63" s="27"/>
      <c r="D63" s="27"/>
    </row>
    <row r="64" spans="1:4" x14ac:dyDescent="0.2">
      <c r="A64" s="245" t="s">
        <v>998</v>
      </c>
      <c r="B64" s="27"/>
      <c r="C64" s="27"/>
      <c r="D64" s="27"/>
    </row>
    <row r="65" spans="1:4" x14ac:dyDescent="0.2">
      <c r="A65" s="246" t="s">
        <v>999</v>
      </c>
      <c r="B65" s="27"/>
      <c r="C65" s="27"/>
      <c r="D65" s="27"/>
    </row>
    <row r="66" spans="1:4" x14ac:dyDescent="0.2">
      <c r="A66" s="246" t="s">
        <v>1000</v>
      </c>
      <c r="B66" s="27"/>
      <c r="C66" s="27"/>
      <c r="D66" s="27"/>
    </row>
    <row r="67" spans="1:4" x14ac:dyDescent="0.2">
      <c r="A67" s="246" t="s">
        <v>1001</v>
      </c>
      <c r="B67" s="27"/>
      <c r="C67" s="27"/>
      <c r="D67" s="27"/>
    </row>
    <row r="68" spans="1:4" x14ac:dyDescent="0.2">
      <c r="A68" s="1264" t="s">
        <v>1885</v>
      </c>
    </row>
    <row r="70" spans="1:4" ht="22" customHeight="1" x14ac:dyDescent="0.2">
      <c r="A70" s="933" t="s">
        <v>1002</v>
      </c>
      <c r="B70" s="996"/>
      <c r="C70" s="996"/>
      <c r="D70" s="996"/>
    </row>
    <row r="71" spans="1:4" x14ac:dyDescent="0.2">
      <c r="A71" s="422" t="s">
        <v>1003</v>
      </c>
      <c r="B71" s="27"/>
      <c r="C71" s="27"/>
      <c r="D71" s="27"/>
    </row>
    <row r="72" spans="1:4" x14ac:dyDescent="0.2">
      <c r="A72" s="246"/>
      <c r="B72" s="27"/>
      <c r="C72" s="27"/>
      <c r="D72" s="27"/>
    </row>
    <row r="73" spans="1:4" x14ac:dyDescent="0.2">
      <c r="A73" s="246" t="s">
        <v>1004</v>
      </c>
      <c r="B73" s="27"/>
      <c r="C73" s="27"/>
      <c r="D73" s="27"/>
    </row>
    <row r="74" spans="1:4" x14ac:dyDescent="0.2">
      <c r="A74" s="246" t="s">
        <v>1005</v>
      </c>
      <c r="B74" s="27"/>
      <c r="C74" s="27"/>
      <c r="D74" s="27"/>
    </row>
    <row r="75" spans="1:4" x14ac:dyDescent="0.2">
      <c r="A75" s="246" t="s">
        <v>1006</v>
      </c>
      <c r="B75" s="27"/>
      <c r="C75" s="27"/>
      <c r="D75" s="27"/>
    </row>
    <row r="76" spans="1:4" x14ac:dyDescent="0.2">
      <c r="A76" s="246" t="s">
        <v>1007</v>
      </c>
      <c r="B76" s="27"/>
      <c r="C76" s="27"/>
      <c r="D76" s="27"/>
    </row>
    <row r="77" spans="1:4" x14ac:dyDescent="0.2">
      <c r="A77" s="246"/>
      <c r="B77" s="27"/>
      <c r="C77" s="27"/>
      <c r="D77" s="27"/>
    </row>
    <row r="78" spans="1:4" x14ac:dyDescent="0.2">
      <c r="A78" s="246" t="s">
        <v>1008</v>
      </c>
      <c r="B78" s="27"/>
      <c r="C78" s="27"/>
      <c r="D78" s="27"/>
    </row>
    <row r="80" spans="1:4" ht="16" x14ac:dyDescent="0.2">
      <c r="A80" s="1265" t="s">
        <v>1886</v>
      </c>
    </row>
    <row r="81" spans="1:6" x14ac:dyDescent="0.2">
      <c r="A81" s="1258" t="s">
        <v>1887</v>
      </c>
    </row>
    <row r="83" spans="1:6" x14ac:dyDescent="0.2">
      <c r="A83" s="909" t="s">
        <v>1888</v>
      </c>
    </row>
    <row r="84" spans="1:6" ht="135" x14ac:dyDescent="0.2">
      <c r="A84" s="1266" t="s">
        <v>1889</v>
      </c>
      <c r="B84" s="1255" t="s">
        <v>1868</v>
      </c>
      <c r="C84" s="1255" t="s">
        <v>1869</v>
      </c>
      <c r="D84" s="1255" t="s">
        <v>1870</v>
      </c>
      <c r="E84" s="1255" t="s">
        <v>1871</v>
      </c>
    </row>
    <row r="85" spans="1:6" x14ac:dyDescent="0.2">
      <c r="A85" s="35" t="s">
        <v>55</v>
      </c>
      <c r="B85" s="1248">
        <f>B31</f>
        <v>164.15584362704715</v>
      </c>
      <c r="C85" s="1260">
        <f>Assumptions!$C$2</f>
        <v>0.2</v>
      </c>
      <c r="D85" s="1248">
        <f>B85*C85</f>
        <v>32.831168725409434</v>
      </c>
      <c r="E85" s="416">
        <f>D85/$D$88</f>
        <v>2.5537392246684863E-2</v>
      </c>
    </row>
    <row r="86" spans="1:6" x14ac:dyDescent="0.2">
      <c r="A86" s="35" t="s">
        <v>1890</v>
      </c>
      <c r="B86" s="1248">
        <f>C31</f>
        <v>940.08677436003336</v>
      </c>
      <c r="C86" s="1260">
        <f>Assumptions!$E$2</f>
        <v>0.5</v>
      </c>
      <c r="D86" s="1248">
        <f>B86*C86</f>
        <v>470.04338718001668</v>
      </c>
      <c r="E86" s="416">
        <f>D86/$D$88</f>
        <v>0.3656184905195376</v>
      </c>
    </row>
    <row r="87" spans="1:6" x14ac:dyDescent="0.2">
      <c r="A87" s="31" t="s">
        <v>1891</v>
      </c>
      <c r="B87" s="1248">
        <f>D31</f>
        <v>2609.123613364764</v>
      </c>
      <c r="C87" s="1260">
        <f>Assumptions!$G$2</f>
        <v>0.3</v>
      </c>
      <c r="D87" s="1248">
        <f>B87*C87</f>
        <v>782.73708400942917</v>
      </c>
      <c r="E87" s="416">
        <f>D87/$D$88</f>
        <v>0.60884411723377763</v>
      </c>
    </row>
    <row r="88" spans="1:6" x14ac:dyDescent="0.2">
      <c r="A88" s="90" t="s">
        <v>1872</v>
      </c>
      <c r="B88" s="387"/>
      <c r="C88" s="1261">
        <f>SUM(C85:C87)</f>
        <v>1</v>
      </c>
      <c r="D88" s="88">
        <f>SUM(D85:D87)</f>
        <v>1285.6116399148552</v>
      </c>
      <c r="E88" s="1159">
        <f>SUM(E85:E87)</f>
        <v>1</v>
      </c>
    </row>
    <row r="89" spans="1:6" x14ac:dyDescent="0.2">
      <c r="A89" s="35" t="s">
        <v>1892</v>
      </c>
    </row>
    <row r="90" spans="1:6" x14ac:dyDescent="0.2">
      <c r="A90" s="31" t="s">
        <v>1893</v>
      </c>
    </row>
    <row r="91" spans="1:6" ht="16" x14ac:dyDescent="0.2">
      <c r="A91" s="1259" t="s">
        <v>1873</v>
      </c>
    </row>
    <row r="92" spans="1:6" x14ac:dyDescent="0.2">
      <c r="A92" s="818" t="s">
        <v>1874</v>
      </c>
    </row>
    <row r="94" spans="1:6" x14ac:dyDescent="0.2">
      <c r="A94" s="1030" t="s">
        <v>1806</v>
      </c>
      <c r="B94" s="1262">
        <v>0.1</v>
      </c>
      <c r="C94" s="1262">
        <v>0.2</v>
      </c>
      <c r="D94" s="1263">
        <v>0.3</v>
      </c>
      <c r="E94" s="1262">
        <v>0.4</v>
      </c>
      <c r="F94" s="1262">
        <v>0.5</v>
      </c>
    </row>
    <row r="95" spans="1:6" x14ac:dyDescent="0.2">
      <c r="A95" s="1262">
        <v>0.1</v>
      </c>
      <c r="B95" s="1240">
        <f>IF($A95+B$94&gt;=1,NA(),$A95*$B$31+(1-$A95-B$94)*$C$31+B$94*$D$31)</f>
        <v>1029.3973651872079</v>
      </c>
      <c r="C95" s="1240">
        <f>IF($A95+C$94&gt;=1,NA(),$A95*$B$31+(1-$A95-C$94)*$C$31+C$94*$D$31)</f>
        <v>1196.3010490876809</v>
      </c>
      <c r="D95" s="1240">
        <f>IF($A95+D$94&gt;=1,NA(),$A95*$B$31+(1-$A95-D$94)*$C$31+D$94*$D$31)</f>
        <v>1363.2047329881539</v>
      </c>
      <c r="E95" s="1240">
        <f>IF($A95+E$94&gt;=1,NA(),$A95*$B$31+(1-$A95-E$94)*$C$31+E$94*$D$31)</f>
        <v>1530.1084168886271</v>
      </c>
      <c r="F95" s="1240">
        <f>IF($A95+F$94&gt;=1,NA(),$A95*$B$31+(1-$A95-F$94)*$C$31+F$94*$D$31)</f>
        <v>1697.0121007891</v>
      </c>
    </row>
    <row r="96" spans="1:6" x14ac:dyDescent="0.2">
      <c r="A96" s="1262">
        <v>0.15</v>
      </c>
      <c r="B96" s="1240">
        <f>IF($A96+B$94&gt;=1,NA(),$A96*$B$31+(1-$A96-B$94)*$C$31+B$94*$D$31)</f>
        <v>990.60081865055849</v>
      </c>
      <c r="C96" s="1240">
        <f>IF($A96+C$94&gt;=1,NA(),$A96*$B$31+(1-$A96-C$94)*$C$31+C$94*$D$31)</f>
        <v>1157.5045025510317</v>
      </c>
      <c r="D96" s="1240">
        <f>IF($A96+D$94&gt;=1,NA(),$A96*$B$31+(1-$A96-D$94)*$C$31+D$94*$D$31)</f>
        <v>1324.4081864515047</v>
      </c>
      <c r="E96" s="1240">
        <f>IF($A96+E$94&gt;=1,NA(),$A96*$B$31+(1-$A96-E$94)*$C$31+E$94*$D$31)</f>
        <v>1491.3118703519776</v>
      </c>
      <c r="F96" s="1240">
        <f>IF($A96+F$94&gt;=1,NA(),$A96*$B$31+(1-$A96-F$94)*$C$31+F$94*$D$31)</f>
        <v>1658.2155542524506</v>
      </c>
    </row>
    <row r="97" spans="1:6" x14ac:dyDescent="0.2">
      <c r="A97" s="1263">
        <v>0.2</v>
      </c>
      <c r="B97" s="1240">
        <f>IF($A97+B$94&gt;=1,NA(),$A97*$B$31+(1-$A97-B$94)*$C$31+B$94*$D$31)</f>
        <v>951.80427211390929</v>
      </c>
      <c r="C97" s="1240">
        <f>IF($A97+C$94&gt;=1,NA(),$A97*$B$31+(1-$A97-C$94)*$C$31+C$94*$D$31)</f>
        <v>1118.7079560143823</v>
      </c>
      <c r="D97" s="1246">
        <f>IF($A97+D$94&gt;=1,NA(),$A97*$B$31+(1-$A97-D$94)*$C$31+D$94*$D$31)</f>
        <v>1285.6116399148552</v>
      </c>
      <c r="E97" s="1240">
        <f>IF($A97+E$94&gt;=1,NA(),$A97*$B$31+(1-$A97-E$94)*$C$31+E$94*$D$31)</f>
        <v>1452.5153238153284</v>
      </c>
      <c r="F97" s="1240">
        <f>IF($A97+F$94&gt;=1,NA(),$A97*$B$31+(1-$A97-F$94)*$C$31+F$94*$D$31)</f>
        <v>1619.4190077158014</v>
      </c>
    </row>
    <row r="98" spans="1:6" x14ac:dyDescent="0.2">
      <c r="A98" s="1262">
        <v>0.25</v>
      </c>
      <c r="B98" s="1240">
        <f>IF($A98+B$94&gt;=1,NA(),$A98*$B$31+(1-$A98-B$94)*$C$31+B$94*$D$31)</f>
        <v>913.00772557725986</v>
      </c>
      <c r="C98" s="1240">
        <f>IF($A98+C$94&gt;=1,NA(),$A98*$B$31+(1-$A98-C$94)*$C$31+C$94*$D$31)</f>
        <v>1079.9114094777328</v>
      </c>
      <c r="D98" s="1240">
        <f>IF($A98+D$94&gt;=1,NA(),$A98*$B$31+(1-$A98-D$94)*$C$31+D$94*$D$31)</f>
        <v>1246.815093378206</v>
      </c>
      <c r="E98" s="1240">
        <f>IF($A98+E$94&gt;=1,NA(),$A98*$B$31+(1-$A98-E$94)*$C$31+E$94*$D$31)</f>
        <v>1413.7187772786792</v>
      </c>
      <c r="F98" s="1240">
        <f>IF($A98+F$94&gt;=1,NA(),$A98*$B$31+(1-$A98-F$94)*$C$31+F$94*$D$31)</f>
        <v>1580.6224611791522</v>
      </c>
    </row>
    <row r="99" spans="1:6" x14ac:dyDescent="0.2">
      <c r="A99" s="1262">
        <v>0.3</v>
      </c>
      <c r="B99" s="1240">
        <f>IF($A99+B$94&gt;=1,NA(),$A99*$B$31+(1-$A99-B$94)*$C$31+B$94*$D$31)</f>
        <v>874.21117904061043</v>
      </c>
      <c r="C99" s="1240">
        <f>IF($A99+C$94&gt;=1,NA(),$A99*$B$31+(1-$A99-C$94)*$C$31+C$94*$D$31)</f>
        <v>1041.1148629410836</v>
      </c>
      <c r="D99" s="1240">
        <f>IF($A99+D$94&gt;=1,NA(),$A99*$B$31+(1-$A99-D$94)*$C$31+D$94*$D$31)</f>
        <v>1208.0185468415566</v>
      </c>
      <c r="E99" s="1240">
        <f>IF($A99+E$94&gt;=1,NA(),$A99*$B$31+(1-$A99-E$94)*$C$31+E$94*$D$31)</f>
        <v>1374.9222307420296</v>
      </c>
      <c r="F99" s="1240">
        <f>IF($A99+F$94&gt;=1,NA(),$A99*$B$31+(1-$A99-F$94)*$C$31+F$94*$D$31)</f>
        <v>1541.8259146425028</v>
      </c>
    </row>
    <row r="101" spans="1:6" x14ac:dyDescent="0.2">
      <c r="A101" s="909" t="s">
        <v>1875</v>
      </c>
    </row>
    <row r="102" spans="1:6" x14ac:dyDescent="0.2">
      <c r="A102" s="35" t="s">
        <v>1876</v>
      </c>
      <c r="B102" s="1245">
        <f>B99</f>
        <v>874.21117904061043</v>
      </c>
      <c r="C102" s="408" t="s">
        <v>1877</v>
      </c>
    </row>
    <row r="103" spans="1:6" x14ac:dyDescent="0.2">
      <c r="A103" s="35" t="s">
        <v>1878</v>
      </c>
      <c r="B103" s="1245">
        <f>F95</f>
        <v>1697.0121007891</v>
      </c>
      <c r="C103" s="408" t="s">
        <v>1879</v>
      </c>
    </row>
    <row r="104" spans="1:6" x14ac:dyDescent="0.2">
      <c r="A104" s="35" t="s">
        <v>1880</v>
      </c>
      <c r="B104" s="1245">
        <f>B103-B102</f>
        <v>822.8009217484896</v>
      </c>
      <c r="C104" s="408" t="str">
        <f>"Total swing across reasonable bounds = $"&amp;TEXT(B104/1000,"0.00")&amp;"B"</f>
        <v>Total swing across reasonable bounds = $0.82B</v>
      </c>
    </row>
    <row r="105" spans="1:6" x14ac:dyDescent="0.2">
      <c r="A105" s="35" t="s">
        <v>1881</v>
      </c>
      <c r="B105" s="1245">
        <f>(F97-B97)/4</f>
        <v>166.90368390047303</v>
      </c>
      <c r="C105" s="408" t="s">
        <v>1882</v>
      </c>
    </row>
    <row r="106" spans="1:6" x14ac:dyDescent="0.2">
      <c r="A106" s="35" t="s">
        <v>1883</v>
      </c>
      <c r="B106" s="1245">
        <f>(D95-D99)/4</f>
        <v>38.796546536649316</v>
      </c>
      <c r="C106" s="408" t="s">
        <v>1884</v>
      </c>
    </row>
    <row r="108" spans="1:6" x14ac:dyDescent="0.2">
      <c r="A108" s="909" t="s">
        <v>1102</v>
      </c>
    </row>
    <row r="109" spans="1:6" x14ac:dyDescent="0.2">
      <c r="A109" s="718" t="str">
        <f>"At 20/50/30 base weights, scenario-weighted option value is $"&amp;TEXT(D97/1000,"0.00")&amp;"B (yellow center) — "&amp;TEXT(D97/C31-1,"+0%;-0%")&amp;" vs Base DCF active scenario ($"&amp;TEXT(C31/1000,"0.00")&amp;"B). Across the full grid, option value spans $"&amp;TEXT(B102/1000,"0.00")&amp;"B (max-bear: 30% Bear / 10% Bull) to $"&amp;TEXT(B103/1000,"0.00")&amp;"B (max-bull: 10% Bear / 50% Bull) — a $"&amp;TEXT(B104/1000,"0.00")&amp;"B range. P_Bull is the dominant lever ($"&amp;TEXT(B105,"#,##0")&amp;"M per 10pp shift — 4x larger than P_Bear at $"&amp;TEXT(B106,"#,##0")&amp;"M). Under any plausible weighting where P_Bull ≥ 20% AND P_Bear ≤ 25%, option value sits comfortably ABOVE Base DCF $"&amp;TEXT(C31,"#,##0")&amp;"M. Only the extreme bearish corner (30%/10%, $"&amp;TEXT(B102,"#,##0")&amp;"M) drops below — and that scenario implies probabilities materially out of line with management's stated ambition."</f>
        <v>At 20/50/30 base weights, scenario-weighted option value is $1.29B (yellow center) — +37% vs Base DCF active scenario ($0.94B). Across the full grid, option value spans $0.87B (max-bear: 30% Bear / 10% Bull) to $1.70B (max-bull: 10% Bear / 50% Bull) — a $0.82B range. P_Bull is the dominant lever ($167M per 10pp shift — 4x larger than P_Bear at $39M). Under any plausible weighting where P_Bull ≥ 20% AND P_Bear ≤ 25%, option value sits comfortably ABOVE Base DCF $940M. Only the extreme bearish corner (30%/10%, $874M) drops below — and that scenario implies probabilities materially out of line with management's stated ambition.</v>
      </c>
    </row>
  </sheetData>
  <mergeCells count="8">
    <mergeCell ref="A24:D24"/>
    <mergeCell ref="A34:D34"/>
    <mergeCell ref="A40:D40"/>
    <mergeCell ref="A70:D70"/>
    <mergeCell ref="A1:D1"/>
    <mergeCell ref="A2:D2"/>
    <mergeCell ref="A4:D4"/>
    <mergeCell ref="A10:D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136"/>
  <sheetViews>
    <sheetView showGridLines="0" topLeftCell="A62" workbookViewId="0">
      <selection activeCell="C123" sqref="C123"/>
    </sheetView>
  </sheetViews>
  <sheetFormatPr baseColWidth="10" defaultColWidth="8.83203125" defaultRowHeight="15" x14ac:dyDescent="0.2"/>
  <cols>
    <col min="1" max="1" width="53.33203125" customWidth="1"/>
    <col min="2" max="6" width="15.83203125" customWidth="1"/>
    <col min="7" max="8" width="12.5" customWidth="1"/>
    <col min="9" max="9" width="15" customWidth="1"/>
    <col min="10" max="10" width="63.33203125" customWidth="1"/>
    <col min="11" max="14" width="12.5" customWidth="1"/>
  </cols>
  <sheetData>
    <row r="1" spans="1:6" ht="28" customHeight="1" x14ac:dyDescent="0.2">
      <c r="A1" s="1019" t="s">
        <v>1009</v>
      </c>
      <c r="B1" s="1019"/>
      <c r="C1" s="1019"/>
      <c r="D1" s="1019"/>
      <c r="E1" s="1019"/>
      <c r="F1" s="1019"/>
    </row>
    <row r="2" spans="1:6" ht="36" customHeight="1" x14ac:dyDescent="0.2">
      <c r="A2" s="999" t="s">
        <v>1010</v>
      </c>
      <c r="B2" s="999"/>
      <c r="C2" s="999"/>
      <c r="D2" s="999"/>
      <c r="E2" s="999"/>
      <c r="F2" s="999"/>
    </row>
    <row r="4" spans="1:6" ht="22" customHeight="1" x14ac:dyDescent="0.2">
      <c r="A4" s="1000" t="s">
        <v>1011</v>
      </c>
      <c r="B4" s="1000"/>
      <c r="C4" s="1000"/>
      <c r="D4" s="1000"/>
      <c r="E4" s="1000"/>
      <c r="F4" s="1000"/>
    </row>
    <row r="6" spans="1:6" x14ac:dyDescent="0.2">
      <c r="A6" s="100" t="s">
        <v>1012</v>
      </c>
      <c r="B6" s="103">
        <f>'Revenue Build'!D20</f>
        <v>521.3599999999999</v>
      </c>
    </row>
    <row r="7" spans="1:6" x14ac:dyDescent="0.2">
      <c r="A7" s="101" t="s">
        <v>1013</v>
      </c>
      <c r="B7" s="104">
        <v>1100</v>
      </c>
    </row>
    <row r="8" spans="1:6" x14ac:dyDescent="0.2">
      <c r="A8" s="101" t="s">
        <v>1014</v>
      </c>
      <c r="B8" s="105">
        <f>'P&amp;L'!E16</f>
        <v>0.75</v>
      </c>
    </row>
    <row r="9" spans="1:6" x14ac:dyDescent="0.2">
      <c r="A9" s="101" t="s">
        <v>1015</v>
      </c>
      <c r="B9" s="106">
        <f>B6*B8</f>
        <v>391.01999999999992</v>
      </c>
    </row>
    <row r="10" spans="1:6" x14ac:dyDescent="0.2">
      <c r="A10" s="101" t="s">
        <v>1016</v>
      </c>
      <c r="B10" s="106">
        <f>B7*B8</f>
        <v>825</v>
      </c>
    </row>
    <row r="11" spans="1:6" x14ac:dyDescent="0.2">
      <c r="A11" s="101" t="s">
        <v>1017</v>
      </c>
      <c r="B11" s="107">
        <v>1.03</v>
      </c>
    </row>
    <row r="12" spans="1:6" x14ac:dyDescent="0.2">
      <c r="A12" s="101" t="s">
        <v>1018</v>
      </c>
      <c r="B12" s="107">
        <v>0.7</v>
      </c>
    </row>
    <row r="13" spans="1:6" x14ac:dyDescent="0.2">
      <c r="A13" s="102" t="s">
        <v>1019</v>
      </c>
      <c r="B13" s="108">
        <v>1100</v>
      </c>
    </row>
    <row r="15" spans="1:6" ht="22" customHeight="1" x14ac:dyDescent="0.2">
      <c r="A15" s="1000" t="s">
        <v>1020</v>
      </c>
      <c r="B15" s="1000"/>
      <c r="C15" s="1000"/>
      <c r="D15" s="1000"/>
      <c r="E15" s="1000"/>
      <c r="F15" s="1000"/>
    </row>
    <row r="16" spans="1:6" ht="30" customHeight="1" x14ac:dyDescent="0.2">
      <c r="A16" s="999" t="s">
        <v>1021</v>
      </c>
      <c r="B16" s="999"/>
      <c r="C16" s="999"/>
      <c r="D16" s="999"/>
      <c r="E16" s="999"/>
      <c r="F16" s="999"/>
    </row>
    <row r="17" spans="1:10" ht="16" thickBot="1" x14ac:dyDescent="0.25"/>
    <row r="18" spans="1:10" ht="22" customHeight="1" x14ac:dyDescent="0.2">
      <c r="A18" s="114" t="s">
        <v>797</v>
      </c>
      <c r="B18" s="115" t="s">
        <v>1022</v>
      </c>
      <c r="C18" s="116" t="s">
        <v>58</v>
      </c>
      <c r="D18" s="115" t="s">
        <v>1023</v>
      </c>
      <c r="E18" s="116" t="s">
        <v>1024</v>
      </c>
      <c r="F18" s="116" t="s">
        <v>1025</v>
      </c>
      <c r="G18" s="116" t="s">
        <v>1026</v>
      </c>
      <c r="H18" s="116" t="s">
        <v>642</v>
      </c>
      <c r="I18" s="116" t="s">
        <v>1027</v>
      </c>
      <c r="J18" s="117" t="s">
        <v>60</v>
      </c>
    </row>
    <row r="19" spans="1:10" x14ac:dyDescent="0.2">
      <c r="A19" s="112" t="s">
        <v>1028</v>
      </c>
      <c r="B19" s="110" t="s">
        <v>1029</v>
      </c>
      <c r="C19" s="129" t="s">
        <v>1030</v>
      </c>
      <c r="D19" s="110" t="s">
        <v>1031</v>
      </c>
      <c r="E19" s="135">
        <v>1.22</v>
      </c>
      <c r="F19" s="136">
        <v>2.9</v>
      </c>
      <c r="G19" s="137">
        <v>-0.05</v>
      </c>
      <c r="H19" s="137">
        <v>0.42</v>
      </c>
      <c r="I19" s="138">
        <f t="shared" ref="I19:I29" si="0">IFERROR(E19/(G19*100),"n/m")</f>
        <v>-0.24399999999999999</v>
      </c>
      <c r="J19" s="158" t="s">
        <v>1032</v>
      </c>
    </row>
    <row r="20" spans="1:10" x14ac:dyDescent="0.2">
      <c r="A20" s="113" t="s">
        <v>1033</v>
      </c>
      <c r="B20" s="27" t="s">
        <v>1034</v>
      </c>
      <c r="C20" s="130" t="s">
        <v>1030</v>
      </c>
      <c r="D20" s="27" t="s">
        <v>1031</v>
      </c>
      <c r="E20" s="139">
        <v>1.07</v>
      </c>
      <c r="F20" s="140">
        <v>2.4</v>
      </c>
      <c r="G20" s="141">
        <v>-0.02</v>
      </c>
      <c r="H20" s="141">
        <v>0.45</v>
      </c>
      <c r="I20" s="142">
        <f t="shared" si="0"/>
        <v>-0.53500000000000003</v>
      </c>
      <c r="J20" s="159" t="s">
        <v>1035</v>
      </c>
    </row>
    <row r="21" spans="1:10" x14ac:dyDescent="0.2">
      <c r="A21" s="121" t="s">
        <v>1036</v>
      </c>
      <c r="B21" s="122" t="s">
        <v>1037</v>
      </c>
      <c r="C21" s="131" t="s">
        <v>1030</v>
      </c>
      <c r="D21" s="122" t="s">
        <v>1031</v>
      </c>
      <c r="E21" s="143">
        <v>0.4</v>
      </c>
      <c r="F21" s="144">
        <v>1.2</v>
      </c>
      <c r="G21" s="145">
        <v>-0.08</v>
      </c>
      <c r="H21" s="145">
        <v>0.33</v>
      </c>
      <c r="I21" s="146">
        <f t="shared" si="0"/>
        <v>-0.05</v>
      </c>
      <c r="J21" s="160" t="s">
        <v>1038</v>
      </c>
    </row>
    <row r="22" spans="1:10" x14ac:dyDescent="0.2">
      <c r="A22" s="113" t="s">
        <v>1039</v>
      </c>
      <c r="B22" s="27" t="s">
        <v>1040</v>
      </c>
      <c r="C22" s="130" t="s">
        <v>1041</v>
      </c>
      <c r="D22" s="27" t="s">
        <v>1042</v>
      </c>
      <c r="E22" s="139">
        <v>3.66</v>
      </c>
      <c r="F22" s="140">
        <v>11.4</v>
      </c>
      <c r="G22" s="141">
        <v>0.13</v>
      </c>
      <c r="H22" s="141">
        <v>0.32</v>
      </c>
      <c r="I22" s="142">
        <f t="shared" si="0"/>
        <v>0.28153846153846157</v>
      </c>
      <c r="J22" s="159" t="s">
        <v>1043</v>
      </c>
    </row>
    <row r="23" spans="1:10" x14ac:dyDescent="0.2">
      <c r="A23" s="121" t="s">
        <v>1044</v>
      </c>
      <c r="B23" s="122" t="s">
        <v>1045</v>
      </c>
      <c r="C23" s="131" t="s">
        <v>1041</v>
      </c>
      <c r="D23" s="122" t="s">
        <v>1042</v>
      </c>
      <c r="E23" s="143">
        <v>3.02</v>
      </c>
      <c r="F23" s="144">
        <v>6.9</v>
      </c>
      <c r="G23" s="145">
        <v>0.12</v>
      </c>
      <c r="H23" s="145">
        <v>0.44</v>
      </c>
      <c r="I23" s="146">
        <f t="shared" si="0"/>
        <v>0.25166666666666665</v>
      </c>
      <c r="J23" s="160" t="s">
        <v>1046</v>
      </c>
    </row>
    <row r="24" spans="1:10" x14ac:dyDescent="0.2">
      <c r="A24" s="113" t="s">
        <v>1047</v>
      </c>
      <c r="B24" s="27" t="s">
        <v>1048</v>
      </c>
      <c r="C24" s="130" t="s">
        <v>1041</v>
      </c>
      <c r="D24" s="27" t="s">
        <v>1049</v>
      </c>
      <c r="E24" s="139">
        <v>4.24</v>
      </c>
      <c r="F24" s="140">
        <v>7.1</v>
      </c>
      <c r="G24" s="141">
        <v>0.11</v>
      </c>
      <c r="H24" s="141">
        <v>0.6</v>
      </c>
      <c r="I24" s="142">
        <f t="shared" si="0"/>
        <v>0.38545454545454549</v>
      </c>
      <c r="J24" s="159" t="s">
        <v>1050</v>
      </c>
    </row>
    <row r="25" spans="1:10" x14ac:dyDescent="0.2">
      <c r="A25" s="112" t="s">
        <v>1051</v>
      </c>
      <c r="B25" s="110" t="s">
        <v>1052</v>
      </c>
      <c r="C25" s="129" t="s">
        <v>1041</v>
      </c>
      <c r="D25" s="110" t="s">
        <v>1049</v>
      </c>
      <c r="E25" s="135">
        <v>4.6500000000000004</v>
      </c>
      <c r="F25" s="136">
        <v>6.5</v>
      </c>
      <c r="G25" s="137">
        <v>0.18</v>
      </c>
      <c r="H25" s="137">
        <v>0.7</v>
      </c>
      <c r="I25" s="138">
        <f t="shared" si="0"/>
        <v>0.25833333333333336</v>
      </c>
      <c r="J25" s="158" t="s">
        <v>1053</v>
      </c>
    </row>
    <row r="26" spans="1:10" x14ac:dyDescent="0.2">
      <c r="A26" s="113" t="s">
        <v>1054</v>
      </c>
      <c r="B26" s="27" t="s">
        <v>1055</v>
      </c>
      <c r="C26" s="130" t="s">
        <v>1030</v>
      </c>
      <c r="D26" s="27" t="s">
        <v>1049</v>
      </c>
      <c r="E26" s="139">
        <v>5.23</v>
      </c>
      <c r="F26" s="140">
        <v>8.9</v>
      </c>
      <c r="G26" s="141">
        <v>0.08</v>
      </c>
      <c r="H26" s="141">
        <v>0.59</v>
      </c>
      <c r="I26" s="142">
        <f t="shared" si="0"/>
        <v>0.65375000000000005</v>
      </c>
      <c r="J26" s="159" t="s">
        <v>1056</v>
      </c>
    </row>
    <row r="27" spans="1:10" x14ac:dyDescent="0.2">
      <c r="A27" s="112" t="s">
        <v>1057</v>
      </c>
      <c r="B27" s="110" t="s">
        <v>1058</v>
      </c>
      <c r="C27" s="129" t="s">
        <v>1030</v>
      </c>
      <c r="D27" s="110" t="s">
        <v>1049</v>
      </c>
      <c r="E27" s="135">
        <v>5.96</v>
      </c>
      <c r="F27" s="136">
        <v>9.5</v>
      </c>
      <c r="G27" s="137">
        <v>0.1</v>
      </c>
      <c r="H27" s="137">
        <v>0.63</v>
      </c>
      <c r="I27" s="138">
        <f t="shared" si="0"/>
        <v>0.59599999999999997</v>
      </c>
      <c r="J27" s="158" t="s">
        <v>1059</v>
      </c>
    </row>
    <row r="28" spans="1:10" x14ac:dyDescent="0.2">
      <c r="A28" s="123" t="s">
        <v>1060</v>
      </c>
      <c r="B28" s="124" t="s">
        <v>831</v>
      </c>
      <c r="C28" s="132" t="s">
        <v>1041</v>
      </c>
      <c r="D28" s="125" t="s">
        <v>1061</v>
      </c>
      <c r="E28" s="147">
        <v>5.25</v>
      </c>
      <c r="F28" s="148">
        <v>9.8000000000000007</v>
      </c>
      <c r="G28" s="149">
        <v>0.06</v>
      </c>
      <c r="H28" s="149">
        <v>0.59</v>
      </c>
      <c r="I28" s="150">
        <f t="shared" si="0"/>
        <v>0.875</v>
      </c>
      <c r="J28" s="161" t="s">
        <v>1062</v>
      </c>
    </row>
    <row r="29" spans="1:10" x14ac:dyDescent="0.2">
      <c r="A29" s="126" t="s">
        <v>1063</v>
      </c>
      <c r="B29" s="127" t="s">
        <v>1064</v>
      </c>
      <c r="C29" s="133" t="s">
        <v>1065</v>
      </c>
      <c r="D29" s="128" t="s">
        <v>1066</v>
      </c>
      <c r="E29" s="151">
        <v>13</v>
      </c>
      <c r="F29" s="152">
        <v>26</v>
      </c>
      <c r="G29" s="153">
        <v>1.29</v>
      </c>
      <c r="H29" s="153">
        <v>0.5</v>
      </c>
      <c r="I29" s="154">
        <f t="shared" si="0"/>
        <v>0.10077519379844961</v>
      </c>
      <c r="J29" s="162" t="s">
        <v>1067</v>
      </c>
    </row>
    <row r="30" spans="1:10" x14ac:dyDescent="0.2">
      <c r="A30" s="113" t="s">
        <v>1068</v>
      </c>
      <c r="B30" s="27" t="s">
        <v>1069</v>
      </c>
      <c r="C30" s="130" t="s">
        <v>1070</v>
      </c>
      <c r="D30" s="111" t="s">
        <v>1071</v>
      </c>
      <c r="E30" s="139">
        <v>2.2000000000000002</v>
      </c>
      <c r="F30" s="155"/>
      <c r="G30" s="155"/>
      <c r="H30" s="155"/>
      <c r="I30" s="155"/>
      <c r="J30" s="159" t="s">
        <v>1072</v>
      </c>
    </row>
    <row r="31" spans="1:10" ht="16" thickBot="1" x14ac:dyDescent="0.25">
      <c r="A31" s="118" t="s">
        <v>1073</v>
      </c>
      <c r="B31" s="119" t="s">
        <v>1069</v>
      </c>
      <c r="C31" s="134" t="s">
        <v>1070</v>
      </c>
      <c r="D31" s="120" t="s">
        <v>1071</v>
      </c>
      <c r="E31" s="156">
        <v>1.5</v>
      </c>
      <c r="F31" s="157"/>
      <c r="G31" s="157"/>
      <c r="H31" s="157"/>
      <c r="I31" s="157"/>
      <c r="J31" s="163" t="s">
        <v>1074</v>
      </c>
    </row>
    <row r="33" spans="1:6" ht="22" customHeight="1" x14ac:dyDescent="0.2">
      <c r="A33" s="1000" t="s">
        <v>1075</v>
      </c>
      <c r="B33" s="1000"/>
      <c r="C33" s="1000"/>
      <c r="D33" s="1000"/>
      <c r="E33" s="1000"/>
      <c r="F33" s="1000"/>
    </row>
    <row r="34" spans="1:6" ht="30" customHeight="1" x14ac:dyDescent="0.2">
      <c r="A34" s="999" t="s">
        <v>1076</v>
      </c>
      <c r="B34" s="999"/>
      <c r="C34" s="999"/>
      <c r="D34" s="999"/>
      <c r="E34" s="999"/>
      <c r="F34" s="999"/>
    </row>
    <row r="35" spans="1:6" ht="16" thickBot="1" x14ac:dyDescent="0.25"/>
    <row r="36" spans="1:6" ht="22" customHeight="1" thickBot="1" x14ac:dyDescent="0.25">
      <c r="A36" s="1007" t="s">
        <v>1077</v>
      </c>
      <c r="B36" s="1008"/>
      <c r="C36" s="1008"/>
      <c r="D36" s="1009"/>
    </row>
    <row r="37" spans="1:6" ht="30" customHeight="1" x14ac:dyDescent="0.2">
      <c r="A37" s="1010" t="s">
        <v>1078</v>
      </c>
      <c r="B37" s="1011"/>
      <c r="C37" s="1011"/>
      <c r="D37" s="1012"/>
    </row>
    <row r="38" spans="1:6" x14ac:dyDescent="0.2">
      <c r="A38" s="113"/>
      <c r="B38" s="167" t="s">
        <v>226</v>
      </c>
      <c r="C38" s="167" t="s">
        <v>65</v>
      </c>
      <c r="D38" s="173" t="s">
        <v>1079</v>
      </c>
    </row>
    <row r="39" spans="1:6" x14ac:dyDescent="0.2">
      <c r="A39" s="113" t="s">
        <v>1024</v>
      </c>
      <c r="B39" s="168">
        <f>MIN(E19:E21)</f>
        <v>0.4</v>
      </c>
      <c r="C39" s="168">
        <f>MAX(E19:E21)</f>
        <v>1.22</v>
      </c>
      <c r="D39" s="174">
        <f>MEDIAN(E19:E21)</f>
        <v>1.07</v>
      </c>
    </row>
    <row r="40" spans="1:6" x14ac:dyDescent="0.2">
      <c r="A40" s="113" t="s">
        <v>1025</v>
      </c>
      <c r="B40" s="169">
        <f>MIN(F19:F21)</f>
        <v>1.2</v>
      </c>
      <c r="C40" s="169">
        <f>MAX(F19:F21)</f>
        <v>2.9</v>
      </c>
      <c r="D40" s="175">
        <f>MEDIAN(F19:F21)</f>
        <v>2.4</v>
      </c>
    </row>
    <row r="41" spans="1:6" x14ac:dyDescent="0.2">
      <c r="A41" s="180" t="s">
        <v>1080</v>
      </c>
      <c r="B41" s="181"/>
      <c r="C41" s="181"/>
      <c r="D41" s="182"/>
    </row>
    <row r="42" spans="1:6" x14ac:dyDescent="0.2">
      <c r="A42" s="113" t="s">
        <v>1081</v>
      </c>
      <c r="B42" s="170">
        <f>B39*$B$6</f>
        <v>208.54399999999998</v>
      </c>
      <c r="C42" s="170">
        <f>C39*$B$6</f>
        <v>636.05919999999992</v>
      </c>
      <c r="D42" s="176">
        <f>D39*$B$6</f>
        <v>557.85519999999997</v>
      </c>
    </row>
    <row r="43" spans="1:6" x14ac:dyDescent="0.2">
      <c r="A43" s="113" t="s">
        <v>1082</v>
      </c>
      <c r="B43" s="170">
        <f>B39*$B$7</f>
        <v>440</v>
      </c>
      <c r="C43" s="170">
        <f>C39*$B$7</f>
        <v>1342</v>
      </c>
      <c r="D43" s="176">
        <f>D39*$B$7</f>
        <v>1177</v>
      </c>
    </row>
    <row r="44" spans="1:6" x14ac:dyDescent="0.2">
      <c r="A44" s="113" t="s">
        <v>1083</v>
      </c>
      <c r="B44" s="170">
        <f>B40*$B$9</f>
        <v>469.22399999999988</v>
      </c>
      <c r="C44" s="170">
        <f>C40*$B$9</f>
        <v>1133.9579999999999</v>
      </c>
      <c r="D44" s="176">
        <f>D40*$B$9</f>
        <v>938.44799999999975</v>
      </c>
    </row>
    <row r="45" spans="1:6" ht="16" thickBot="1" x14ac:dyDescent="0.25">
      <c r="A45" s="177" t="s">
        <v>1084</v>
      </c>
      <c r="B45" s="178">
        <f>B40*$B$10</f>
        <v>990</v>
      </c>
      <c r="C45" s="178">
        <f>C40*$B$10</f>
        <v>2392.5</v>
      </c>
      <c r="D45" s="179">
        <f>D40*$B$10</f>
        <v>1980</v>
      </c>
    </row>
    <row r="46" spans="1:6" ht="16" thickBot="1" x14ac:dyDescent="0.25">
      <c r="B46" s="165"/>
      <c r="C46" s="165"/>
      <c r="D46" s="166"/>
    </row>
    <row r="47" spans="1:6" ht="22" customHeight="1" thickBot="1" x14ac:dyDescent="0.25">
      <c r="A47" s="1013" t="s">
        <v>1085</v>
      </c>
      <c r="B47" s="1014"/>
      <c r="C47" s="1014"/>
      <c r="D47" s="1015"/>
    </row>
    <row r="48" spans="1:6" ht="30" customHeight="1" x14ac:dyDescent="0.2">
      <c r="A48" s="1010" t="s">
        <v>1086</v>
      </c>
      <c r="B48" s="1011"/>
      <c r="C48" s="1011"/>
      <c r="D48" s="1012"/>
    </row>
    <row r="49" spans="1:4" x14ac:dyDescent="0.2">
      <c r="A49" s="113"/>
      <c r="B49" s="167" t="s">
        <v>226</v>
      </c>
      <c r="C49" s="167" t="s">
        <v>65</v>
      </c>
      <c r="D49" s="173" t="s">
        <v>1079</v>
      </c>
    </row>
    <row r="50" spans="1:4" x14ac:dyDescent="0.2">
      <c r="A50" s="113" t="s">
        <v>1024</v>
      </c>
      <c r="B50" s="168">
        <f>MIN(E22:E23)</f>
        <v>3.02</v>
      </c>
      <c r="C50" s="168">
        <f>MAX(E22:E23)</f>
        <v>3.66</v>
      </c>
      <c r="D50" s="174">
        <f>MEDIAN(E22:E23)</f>
        <v>3.34</v>
      </c>
    </row>
    <row r="51" spans="1:4" x14ac:dyDescent="0.2">
      <c r="A51" s="113" t="s">
        <v>1025</v>
      </c>
      <c r="B51" s="169">
        <f>MIN(F22:F23)</f>
        <v>6.9</v>
      </c>
      <c r="C51" s="169">
        <f>MAX(F22:F23)</f>
        <v>11.4</v>
      </c>
      <c r="D51" s="175">
        <f>MEDIAN(F22:F23)</f>
        <v>9.15</v>
      </c>
    </row>
    <row r="52" spans="1:4" x14ac:dyDescent="0.2">
      <c r="A52" s="180" t="s">
        <v>1080</v>
      </c>
      <c r="B52" s="181"/>
      <c r="C52" s="181"/>
      <c r="D52" s="182"/>
    </row>
    <row r="53" spans="1:4" x14ac:dyDescent="0.2">
      <c r="A53" s="113" t="s">
        <v>1081</v>
      </c>
      <c r="B53" s="170">
        <f>B50*$B$6</f>
        <v>1574.5071999999998</v>
      </c>
      <c r="C53" s="170">
        <f>C50*$B$6</f>
        <v>1908.1775999999998</v>
      </c>
      <c r="D53" s="176">
        <f>D50*$B$6</f>
        <v>1741.3423999999995</v>
      </c>
    </row>
    <row r="54" spans="1:4" x14ac:dyDescent="0.2">
      <c r="A54" s="113" t="s">
        <v>1082</v>
      </c>
      <c r="B54" s="170">
        <f>B50*$B$7</f>
        <v>3322</v>
      </c>
      <c r="C54" s="170">
        <f>C50*$B$7</f>
        <v>4026</v>
      </c>
      <c r="D54" s="176">
        <f>D50*$B$7</f>
        <v>3674</v>
      </c>
    </row>
    <row r="55" spans="1:4" x14ac:dyDescent="0.2">
      <c r="A55" s="113" t="s">
        <v>1083</v>
      </c>
      <c r="B55" s="170">
        <f>B51*$B$9</f>
        <v>2698.0379999999996</v>
      </c>
      <c r="C55" s="170">
        <f>C51*$B$9</f>
        <v>4457.6279999999997</v>
      </c>
      <c r="D55" s="176">
        <f>D51*$B$9</f>
        <v>3577.8329999999996</v>
      </c>
    </row>
    <row r="56" spans="1:4" ht="16" thickBot="1" x14ac:dyDescent="0.25">
      <c r="A56" s="177" t="s">
        <v>1084</v>
      </c>
      <c r="B56" s="178">
        <f>B51*$B$10</f>
        <v>5692.5</v>
      </c>
      <c r="C56" s="178">
        <f>C51*$B$10</f>
        <v>9405</v>
      </c>
      <c r="D56" s="179">
        <f>D51*$B$10</f>
        <v>7548.75</v>
      </c>
    </row>
    <row r="57" spans="1:4" ht="16" thickBot="1" x14ac:dyDescent="0.25">
      <c r="B57" s="165"/>
      <c r="C57" s="165"/>
      <c r="D57" s="166"/>
    </row>
    <row r="58" spans="1:4" ht="22" customHeight="1" thickBot="1" x14ac:dyDescent="0.25">
      <c r="A58" s="1016" t="s">
        <v>1087</v>
      </c>
      <c r="B58" s="1017"/>
      <c r="C58" s="1017"/>
      <c r="D58" s="1018"/>
    </row>
    <row r="59" spans="1:4" ht="30" customHeight="1" x14ac:dyDescent="0.2">
      <c r="A59" s="1010" t="s">
        <v>1088</v>
      </c>
      <c r="B59" s="1011"/>
      <c r="C59" s="1011"/>
      <c r="D59" s="1012"/>
    </row>
    <row r="60" spans="1:4" x14ac:dyDescent="0.2">
      <c r="A60" s="113"/>
      <c r="B60" s="167" t="s">
        <v>226</v>
      </c>
      <c r="C60" s="167" t="s">
        <v>65</v>
      </c>
      <c r="D60" s="173" t="s">
        <v>1079</v>
      </c>
    </row>
    <row r="61" spans="1:4" x14ac:dyDescent="0.2">
      <c r="A61" s="113" t="s">
        <v>1024</v>
      </c>
      <c r="B61" s="168">
        <f>MIN(E24:E27)</f>
        <v>4.24</v>
      </c>
      <c r="C61" s="168">
        <f>MAX(E24:E27)</f>
        <v>5.96</v>
      </c>
      <c r="D61" s="174">
        <f>MEDIAN(E24:E27)</f>
        <v>4.9400000000000004</v>
      </c>
    </row>
    <row r="62" spans="1:4" x14ac:dyDescent="0.2">
      <c r="A62" s="113" t="s">
        <v>1025</v>
      </c>
      <c r="B62" s="169">
        <f>MIN(F24:F27)</f>
        <v>6.5</v>
      </c>
      <c r="C62" s="169">
        <f>MAX(F24:F27)</f>
        <v>9.5</v>
      </c>
      <c r="D62" s="175">
        <f>MEDIAN(F24:F27)</f>
        <v>8</v>
      </c>
    </row>
    <row r="63" spans="1:4" x14ac:dyDescent="0.2">
      <c r="A63" s="180" t="s">
        <v>1080</v>
      </c>
      <c r="B63" s="181"/>
      <c r="C63" s="181"/>
      <c r="D63" s="182"/>
    </row>
    <row r="64" spans="1:4" x14ac:dyDescent="0.2">
      <c r="A64" s="113" t="s">
        <v>1081</v>
      </c>
      <c r="B64" s="170">
        <f>B61*$B$6</f>
        <v>2210.5663999999997</v>
      </c>
      <c r="C64" s="170">
        <f>C61*$B$6</f>
        <v>3107.3055999999992</v>
      </c>
      <c r="D64" s="176">
        <f>D61*$B$6</f>
        <v>2575.5183999999999</v>
      </c>
    </row>
    <row r="65" spans="1:6" x14ac:dyDescent="0.2">
      <c r="A65" s="113" t="s">
        <v>1082</v>
      </c>
      <c r="B65" s="170">
        <f>B61*$B$7</f>
        <v>4664</v>
      </c>
      <c r="C65" s="170">
        <f>C61*$B$7</f>
        <v>6556</v>
      </c>
      <c r="D65" s="176">
        <f>D61*$B$7</f>
        <v>5434</v>
      </c>
    </row>
    <row r="66" spans="1:6" x14ac:dyDescent="0.2">
      <c r="A66" s="113" t="s">
        <v>1083</v>
      </c>
      <c r="B66" s="170">
        <f>B62*$B$9</f>
        <v>2541.6299999999997</v>
      </c>
      <c r="C66" s="170">
        <f>C62*$B$9</f>
        <v>3714.6899999999991</v>
      </c>
      <c r="D66" s="176">
        <f>D62*$B$9</f>
        <v>3128.1599999999994</v>
      </c>
    </row>
    <row r="67" spans="1:6" ht="16" thickBot="1" x14ac:dyDescent="0.25">
      <c r="A67" s="177" t="s">
        <v>1084</v>
      </c>
      <c r="B67" s="178">
        <f>B62*$B$10</f>
        <v>5362.5</v>
      </c>
      <c r="C67" s="178">
        <f>C62*$B$10</f>
        <v>7837.5</v>
      </c>
      <c r="D67" s="179">
        <f>D62*$B$10</f>
        <v>6600</v>
      </c>
    </row>
    <row r="68" spans="1:6" x14ac:dyDescent="0.2">
      <c r="B68" s="165"/>
      <c r="C68" s="165"/>
      <c r="D68" s="166"/>
    </row>
    <row r="69" spans="1:6" ht="22" customHeight="1" x14ac:dyDescent="0.2">
      <c r="A69" s="1000" t="s">
        <v>1089</v>
      </c>
      <c r="B69" s="1006"/>
      <c r="C69" s="1006"/>
      <c r="D69" s="1006"/>
      <c r="E69" s="1000"/>
      <c r="F69" s="1000"/>
    </row>
    <row r="70" spans="1:6" ht="16" thickBot="1" x14ac:dyDescent="0.25"/>
    <row r="71" spans="1:6" x14ac:dyDescent="0.2">
      <c r="A71" s="183" t="s">
        <v>1090</v>
      </c>
      <c r="B71" s="184">
        <f>MIN(B42:B45)</f>
        <v>208.54399999999998</v>
      </c>
    </row>
    <row r="72" spans="1:6" ht="16" thickBot="1" x14ac:dyDescent="0.25">
      <c r="A72" s="185" t="s">
        <v>1091</v>
      </c>
      <c r="B72" s="186">
        <f>MAX(C56,C67)</f>
        <v>9405</v>
      </c>
    </row>
    <row r="73" spans="1:6" ht="16" thickBot="1" x14ac:dyDescent="0.25">
      <c r="A73" s="187" t="s">
        <v>1092</v>
      </c>
      <c r="B73" s="188">
        <f>D55</f>
        <v>3577.8329999999996</v>
      </c>
    </row>
    <row r="74" spans="1:6" ht="16" thickBot="1" x14ac:dyDescent="0.25">
      <c r="A74" s="177" t="s">
        <v>1093</v>
      </c>
      <c r="B74" s="179">
        <f>B13</f>
        <v>1100</v>
      </c>
    </row>
    <row r="76" spans="1:6" ht="22" customHeight="1" x14ac:dyDescent="0.2">
      <c r="A76" s="1000" t="s">
        <v>1094</v>
      </c>
      <c r="B76" s="1000"/>
      <c r="C76" s="1000"/>
      <c r="D76" s="1000"/>
      <c r="E76" s="1000"/>
      <c r="F76" s="1000"/>
    </row>
    <row r="77" spans="1:6" ht="30" customHeight="1" x14ac:dyDescent="0.2">
      <c r="A77" s="999" t="s">
        <v>1095</v>
      </c>
      <c r="B77" s="999"/>
      <c r="C77" s="999"/>
      <c r="D77" s="999"/>
      <c r="E77" s="999"/>
      <c r="F77" s="999"/>
    </row>
    <row r="79" spans="1:6" x14ac:dyDescent="0.2">
      <c r="A79" s="98" t="s">
        <v>1096</v>
      </c>
      <c r="B79" s="189">
        <v>12060</v>
      </c>
    </row>
    <row r="80" spans="1:6" x14ac:dyDescent="0.2">
      <c r="A80" s="99" t="s">
        <v>1097</v>
      </c>
      <c r="B80" s="104">
        <v>927</v>
      </c>
    </row>
    <row r="81" spans="1:6" x14ac:dyDescent="0.2">
      <c r="A81" s="99" t="s">
        <v>1098</v>
      </c>
      <c r="B81" s="190">
        <f>B79/B80</f>
        <v>13.009708737864077</v>
      </c>
    </row>
    <row r="82" spans="1:6" x14ac:dyDescent="0.2">
      <c r="A82" s="99" t="s">
        <v>1099</v>
      </c>
      <c r="B82" s="191">
        <f>B79/(B80*0.5)</f>
        <v>26.019417475728154</v>
      </c>
    </row>
    <row r="83" spans="1:6" x14ac:dyDescent="0.2">
      <c r="A83" s="99" t="s">
        <v>1100</v>
      </c>
      <c r="B83" s="190">
        <f>B13/B6</f>
        <v>2.1098665029921748</v>
      </c>
    </row>
    <row r="84" spans="1:6" x14ac:dyDescent="0.2">
      <c r="A84" s="99" t="s">
        <v>1101</v>
      </c>
      <c r="B84" s="191">
        <f>B13/B9</f>
        <v>2.8131553373228995</v>
      </c>
    </row>
    <row r="85" spans="1:6" ht="92" x14ac:dyDescent="0.2">
      <c r="A85" s="192" t="s">
        <v>1102</v>
      </c>
      <c r="B85" s="193" t="s">
        <v>1103</v>
      </c>
    </row>
    <row r="87" spans="1:6" ht="22" customHeight="1" x14ac:dyDescent="0.2">
      <c r="A87" s="1000" t="s">
        <v>1104</v>
      </c>
      <c r="B87" s="1000"/>
      <c r="C87" s="1000"/>
      <c r="D87" s="1000"/>
      <c r="E87" s="1000"/>
      <c r="F87" s="1000"/>
    </row>
    <row r="88" spans="1:6" ht="30" customHeight="1" thickBot="1" x14ac:dyDescent="0.25">
      <c r="A88" s="999" t="s">
        <v>1105</v>
      </c>
      <c r="B88" s="999"/>
      <c r="C88" s="999"/>
      <c r="D88" s="999"/>
      <c r="E88" s="999"/>
      <c r="F88" s="999"/>
    </row>
    <row r="89" spans="1:6" ht="30" x14ac:dyDescent="0.2">
      <c r="A89" s="194"/>
      <c r="B89" s="195" t="s">
        <v>1106</v>
      </c>
      <c r="C89" s="195" t="s">
        <v>1107</v>
      </c>
      <c r="D89" s="195" t="s">
        <v>1108</v>
      </c>
      <c r="E89" s="195" t="s">
        <v>1109</v>
      </c>
      <c r="F89" s="720" t="s">
        <v>1110</v>
      </c>
    </row>
    <row r="90" spans="1:6" x14ac:dyDescent="0.2">
      <c r="A90" s="99" t="s">
        <v>1111</v>
      </c>
      <c r="B90" s="199">
        <f>$B$13/$B$6</f>
        <v>2.1098665029921748</v>
      </c>
      <c r="C90" s="200">
        <f>D39</f>
        <v>1.07</v>
      </c>
      <c r="D90" s="200">
        <f>D50</f>
        <v>3.34</v>
      </c>
      <c r="E90" s="200">
        <f>D61</f>
        <v>4.9400000000000004</v>
      </c>
      <c r="F90" s="201">
        <f>B90/D50-1</f>
        <v>-0.36830344221791167</v>
      </c>
    </row>
    <row r="91" spans="1:6" x14ac:dyDescent="0.2">
      <c r="A91" s="202" t="s">
        <v>1112</v>
      </c>
      <c r="B91" s="203">
        <f>$B$13/$B$7</f>
        <v>1</v>
      </c>
      <c r="C91" s="204">
        <f>D39</f>
        <v>1.07</v>
      </c>
      <c r="D91" s="204">
        <f>D50</f>
        <v>3.34</v>
      </c>
      <c r="E91" s="204">
        <f>D61</f>
        <v>4.9400000000000004</v>
      </c>
      <c r="F91" s="205">
        <f>B91/D50-1</f>
        <v>-0.70059880239520955</v>
      </c>
    </row>
    <row r="92" spans="1:6" x14ac:dyDescent="0.2">
      <c r="A92" s="99" t="s">
        <v>1113</v>
      </c>
      <c r="B92" s="199">
        <f>$B$13/$B$9</f>
        <v>2.8131553373228995</v>
      </c>
      <c r="C92" s="206">
        <f>D40</f>
        <v>2.4</v>
      </c>
      <c r="D92" s="206">
        <f>D51</f>
        <v>9.15</v>
      </c>
      <c r="E92" s="206">
        <f>D62</f>
        <v>8</v>
      </c>
      <c r="F92" s="201">
        <f>B92/D51-1</f>
        <v>-0.69255132925432794</v>
      </c>
    </row>
    <row r="93" spans="1:6" ht="16" thickBot="1" x14ac:dyDescent="0.25">
      <c r="A93" s="207" t="s">
        <v>1114</v>
      </c>
      <c r="B93" s="208">
        <f>$B$13/$B$10</f>
        <v>1.3333333333333333</v>
      </c>
      <c r="C93" s="209">
        <f>D40</f>
        <v>2.4</v>
      </c>
      <c r="D93" s="209">
        <f>D51</f>
        <v>9.15</v>
      </c>
      <c r="E93" s="209">
        <f>D62</f>
        <v>8</v>
      </c>
      <c r="F93" s="210">
        <f>B93/D51-1</f>
        <v>-0.85428051001821492</v>
      </c>
    </row>
    <row r="95" spans="1:6" ht="22" customHeight="1" x14ac:dyDescent="0.2">
      <c r="A95" s="1000" t="s">
        <v>1115</v>
      </c>
      <c r="B95" s="1000"/>
      <c r="C95" s="1000"/>
      <c r="D95" s="1000"/>
      <c r="E95" s="1000"/>
      <c r="F95" s="1000"/>
    </row>
    <row r="96" spans="1:6" ht="30" customHeight="1" x14ac:dyDescent="0.2">
      <c r="A96" s="999" t="s">
        <v>1116</v>
      </c>
      <c r="B96" s="999"/>
      <c r="C96" s="999"/>
      <c r="D96" s="999"/>
      <c r="E96" s="999"/>
      <c r="F96" s="999"/>
    </row>
    <row r="97" spans="1:6" ht="16" thickBot="1" x14ac:dyDescent="0.25"/>
    <row r="98" spans="1:6" x14ac:dyDescent="0.2">
      <c r="A98" s="211" t="s">
        <v>1117</v>
      </c>
      <c r="B98" s="212">
        <v>46143</v>
      </c>
      <c r="C98" s="212">
        <v>45931</v>
      </c>
      <c r="D98" s="212">
        <v>45748</v>
      </c>
      <c r="E98" s="212">
        <v>45017</v>
      </c>
      <c r="F98" s="213" t="s">
        <v>1118</v>
      </c>
    </row>
    <row r="99" spans="1:6" x14ac:dyDescent="0.2">
      <c r="A99" s="97" t="s">
        <v>1060</v>
      </c>
      <c r="B99" s="214">
        <v>5.6</v>
      </c>
      <c r="C99" s="214">
        <v>6.5</v>
      </c>
      <c r="D99" s="214">
        <v>5.5</v>
      </c>
      <c r="E99" s="214">
        <v>3.5</v>
      </c>
      <c r="F99" s="215">
        <f>B99/E99-1</f>
        <v>0.59999999999999987</v>
      </c>
    </row>
    <row r="100" spans="1:6" x14ac:dyDescent="0.2">
      <c r="A100" s="197" t="s">
        <v>1039</v>
      </c>
      <c r="B100" s="217">
        <v>4.0999999999999996</v>
      </c>
      <c r="C100" s="217">
        <v>6</v>
      </c>
      <c r="D100" s="217">
        <v>4.9000000000000004</v>
      </c>
      <c r="E100" s="217">
        <v>1.9</v>
      </c>
      <c r="F100" s="218">
        <f>B100/E100-1</f>
        <v>1.1578947368421053</v>
      </c>
    </row>
    <row r="101" spans="1:6" x14ac:dyDescent="0.2">
      <c r="A101" s="97" t="s">
        <v>1047</v>
      </c>
      <c r="B101" s="214">
        <v>4.5999999999999996</v>
      </c>
      <c r="C101" s="214">
        <v>5.9</v>
      </c>
      <c r="D101" s="214">
        <v>5.8</v>
      </c>
      <c r="E101" s="214">
        <v>13.8</v>
      </c>
      <c r="F101" s="216">
        <f>B101/E101-1</f>
        <v>-0.66666666666666674</v>
      </c>
    </row>
    <row r="102" spans="1:6" ht="16" thickBot="1" x14ac:dyDescent="0.25">
      <c r="A102" s="198" t="s">
        <v>1051</v>
      </c>
      <c r="B102" s="219">
        <v>5.2</v>
      </c>
      <c r="C102" s="219">
        <v>10</v>
      </c>
      <c r="D102" s="219">
        <v>6.9</v>
      </c>
      <c r="E102" s="219">
        <v>10.7</v>
      </c>
      <c r="F102" s="220">
        <f>B102/E102-1</f>
        <v>-0.51401869158878499</v>
      </c>
    </row>
    <row r="104" spans="1:6" ht="22" customHeight="1" x14ac:dyDescent="0.2">
      <c r="A104" s="1000" t="s">
        <v>1119</v>
      </c>
      <c r="B104" s="1000"/>
      <c r="C104" s="1000"/>
      <c r="D104" s="1000"/>
      <c r="E104" s="1000"/>
      <c r="F104" s="1000"/>
    </row>
    <row r="105" spans="1:6" ht="30" customHeight="1" x14ac:dyDescent="0.2">
      <c r="A105" s="999" t="s">
        <v>1120</v>
      </c>
      <c r="B105" s="999"/>
      <c r="C105" s="999"/>
      <c r="D105" s="999"/>
      <c r="E105" s="999"/>
      <c r="F105" s="999"/>
    </row>
    <row r="106" spans="1:6" ht="16" thickBot="1" x14ac:dyDescent="0.25"/>
    <row r="107" spans="1:6" x14ac:dyDescent="0.2">
      <c r="A107" s="194"/>
      <c r="B107" s="195" t="s">
        <v>1121</v>
      </c>
      <c r="C107" s="195" t="s">
        <v>1122</v>
      </c>
      <c r="D107" s="195" t="s">
        <v>58</v>
      </c>
      <c r="E107" s="196" t="s">
        <v>1123</v>
      </c>
    </row>
    <row r="108" spans="1:6" x14ac:dyDescent="0.2">
      <c r="A108" s="197" t="s">
        <v>1028</v>
      </c>
      <c r="B108" s="227">
        <f t="shared" ref="B108:B116" si="1">G19</f>
        <v>-0.05</v>
      </c>
      <c r="C108" s="227">
        <f t="shared" ref="C108:C116" si="2">F19</f>
        <v>2.9</v>
      </c>
      <c r="D108" s="228" t="str">
        <f t="shared" ref="D108:D116" si="3">C19</f>
        <v>T3</v>
      </c>
      <c r="E108" s="229" t="s">
        <v>1124</v>
      </c>
    </row>
    <row r="109" spans="1:6" x14ac:dyDescent="0.2">
      <c r="A109" s="97" t="s">
        <v>1033</v>
      </c>
      <c r="B109" s="224">
        <f t="shared" si="1"/>
        <v>-0.02</v>
      </c>
      <c r="C109" s="224">
        <f t="shared" si="2"/>
        <v>2.4</v>
      </c>
      <c r="D109" s="225" t="str">
        <f t="shared" si="3"/>
        <v>T3</v>
      </c>
      <c r="E109" s="226" t="s">
        <v>1124</v>
      </c>
    </row>
    <row r="110" spans="1:6" x14ac:dyDescent="0.2">
      <c r="A110" s="197" t="s">
        <v>1036</v>
      </c>
      <c r="B110" s="227">
        <f t="shared" si="1"/>
        <v>-0.08</v>
      </c>
      <c r="C110" s="227">
        <f t="shared" si="2"/>
        <v>1.2</v>
      </c>
      <c r="D110" s="228" t="str">
        <f t="shared" si="3"/>
        <v>T3</v>
      </c>
      <c r="E110" s="229" t="s">
        <v>1124</v>
      </c>
    </row>
    <row r="111" spans="1:6" x14ac:dyDescent="0.2">
      <c r="A111" s="97" t="s">
        <v>1039</v>
      </c>
      <c r="B111" s="224">
        <f t="shared" si="1"/>
        <v>0.13</v>
      </c>
      <c r="C111" s="224">
        <f t="shared" si="2"/>
        <v>11.4</v>
      </c>
      <c r="D111" s="225" t="str">
        <f t="shared" si="3"/>
        <v>T2</v>
      </c>
      <c r="E111" s="226" t="s">
        <v>1125</v>
      </c>
    </row>
    <row r="112" spans="1:6" x14ac:dyDescent="0.2">
      <c r="A112" s="197" t="s">
        <v>1044</v>
      </c>
      <c r="B112" s="227">
        <f t="shared" si="1"/>
        <v>0.12</v>
      </c>
      <c r="C112" s="227">
        <f t="shared" si="2"/>
        <v>6.9</v>
      </c>
      <c r="D112" s="228" t="str">
        <f t="shared" si="3"/>
        <v>T2</v>
      </c>
      <c r="E112" s="229" t="s">
        <v>1125</v>
      </c>
    </row>
    <row r="113" spans="1:6" x14ac:dyDescent="0.2">
      <c r="A113" s="97" t="s">
        <v>1047</v>
      </c>
      <c r="B113" s="224">
        <f t="shared" si="1"/>
        <v>0.11</v>
      </c>
      <c r="C113" s="224">
        <f t="shared" si="2"/>
        <v>7.1</v>
      </c>
      <c r="D113" s="225" t="str">
        <f t="shared" si="3"/>
        <v>T2</v>
      </c>
      <c r="E113" s="226" t="s">
        <v>1125</v>
      </c>
    </row>
    <row r="114" spans="1:6" x14ac:dyDescent="0.2">
      <c r="A114" s="197" t="s">
        <v>1051</v>
      </c>
      <c r="B114" s="227">
        <f t="shared" si="1"/>
        <v>0.18</v>
      </c>
      <c r="C114" s="227">
        <f t="shared" si="2"/>
        <v>6.5</v>
      </c>
      <c r="D114" s="228" t="str">
        <f t="shared" si="3"/>
        <v>T2</v>
      </c>
      <c r="E114" s="229" t="s">
        <v>1125</v>
      </c>
    </row>
    <row r="115" spans="1:6" x14ac:dyDescent="0.2">
      <c r="A115" s="97" t="s">
        <v>1054</v>
      </c>
      <c r="B115" s="224">
        <f t="shared" si="1"/>
        <v>0.08</v>
      </c>
      <c r="C115" s="224">
        <f t="shared" si="2"/>
        <v>8.9</v>
      </c>
      <c r="D115" s="225" t="str">
        <f t="shared" si="3"/>
        <v>T3</v>
      </c>
      <c r="E115" s="226" t="s">
        <v>1124</v>
      </c>
    </row>
    <row r="116" spans="1:6" ht="16" thickBot="1" x14ac:dyDescent="0.25">
      <c r="A116" s="230" t="s">
        <v>1057</v>
      </c>
      <c r="B116" s="231">
        <f t="shared" si="1"/>
        <v>0.1</v>
      </c>
      <c r="C116" s="231">
        <f t="shared" si="2"/>
        <v>9.5</v>
      </c>
      <c r="D116" s="232" t="str">
        <f t="shared" si="3"/>
        <v>T3</v>
      </c>
      <c r="E116" s="233" t="s">
        <v>1124</v>
      </c>
    </row>
    <row r="117" spans="1:6" ht="16" thickBot="1" x14ac:dyDescent="0.25">
      <c r="A117" s="234" t="s">
        <v>1126</v>
      </c>
      <c r="B117" s="235">
        <f>B12</f>
        <v>0.7</v>
      </c>
      <c r="C117" s="235">
        <f>B92</f>
        <v>2.8131553373228995</v>
      </c>
      <c r="D117" s="236" t="s">
        <v>1127</v>
      </c>
      <c r="E117" s="237" t="s">
        <v>1128</v>
      </c>
    </row>
    <row r="119" spans="1:6" x14ac:dyDescent="0.2">
      <c r="B119" s="238" t="s">
        <v>1129</v>
      </c>
      <c r="C119" s="239"/>
    </row>
    <row r="120" spans="1:6" x14ac:dyDescent="0.2">
      <c r="B120" s="240" t="s">
        <v>1130</v>
      </c>
      <c r="C120" s="242">
        <f>SLOPE(C111:C114,B111:B114)</f>
        <v>-15.689655172413786</v>
      </c>
    </row>
    <row r="121" spans="1:6" x14ac:dyDescent="0.2">
      <c r="B121" s="240" t="s">
        <v>1131</v>
      </c>
      <c r="C121" s="242">
        <f>INTERCEPT(C111:C114,B111:B114)</f>
        <v>10.093103448275862</v>
      </c>
    </row>
    <row r="122" spans="1:6" x14ac:dyDescent="0.2">
      <c r="B122" s="240" t="s">
        <v>1132</v>
      </c>
      <c r="C122" s="243">
        <f>C120*B12+C121</f>
        <v>-0.88965517241378755</v>
      </c>
    </row>
    <row r="123" spans="1:6" x14ac:dyDescent="0.2">
      <c r="B123" s="240" t="s">
        <v>1133</v>
      </c>
      <c r="C123" s="243">
        <f>B92</f>
        <v>2.8131553373228995</v>
      </c>
    </row>
    <row r="124" spans="1:6" x14ac:dyDescent="0.2">
      <c r="B124" s="241" t="s">
        <v>1134</v>
      </c>
      <c r="C124" s="244">
        <f>C123-C122</f>
        <v>3.702810509736687</v>
      </c>
    </row>
    <row r="126" spans="1:6" ht="22" customHeight="1" x14ac:dyDescent="0.2">
      <c r="A126" s="1000" t="s">
        <v>1135</v>
      </c>
      <c r="B126" s="1000"/>
      <c r="C126" s="1000"/>
      <c r="D126" s="1000"/>
      <c r="E126" s="1000"/>
      <c r="F126" s="1000"/>
    </row>
    <row r="128" spans="1:6" ht="36" customHeight="1" x14ac:dyDescent="0.2">
      <c r="A128" s="1004" t="s">
        <v>1136</v>
      </c>
      <c r="B128" s="1002"/>
      <c r="C128" s="1002"/>
      <c r="D128" s="1002"/>
      <c r="E128" s="1002"/>
      <c r="F128" s="1002"/>
    </row>
    <row r="129" spans="1:6" ht="36" customHeight="1" x14ac:dyDescent="0.2">
      <c r="A129" s="1005" t="s">
        <v>1137</v>
      </c>
      <c r="B129" s="944"/>
      <c r="C129" s="944"/>
      <c r="D129" s="944"/>
      <c r="E129" s="944"/>
      <c r="F129" s="944"/>
    </row>
    <row r="130" spans="1:6" ht="36" customHeight="1" x14ac:dyDescent="0.2">
      <c r="A130" s="1005" t="s">
        <v>1138</v>
      </c>
      <c r="B130" s="944"/>
      <c r="C130" s="944"/>
      <c r="D130" s="944"/>
      <c r="E130" s="944"/>
      <c r="F130" s="944"/>
    </row>
    <row r="131" spans="1:6" ht="36" customHeight="1" x14ac:dyDescent="0.2">
      <c r="A131" s="1005" t="s">
        <v>1139</v>
      </c>
      <c r="B131" s="944"/>
      <c r="C131" s="944"/>
      <c r="D131" s="944"/>
      <c r="E131" s="944"/>
      <c r="F131" s="944"/>
    </row>
    <row r="132" spans="1:6" ht="36" customHeight="1" x14ac:dyDescent="0.2">
      <c r="A132" s="1005" t="s">
        <v>1140</v>
      </c>
      <c r="B132" s="944"/>
      <c r="C132" s="944"/>
      <c r="D132" s="944"/>
      <c r="E132" s="944"/>
      <c r="F132" s="944"/>
    </row>
    <row r="133" spans="1:6" ht="36" customHeight="1" x14ac:dyDescent="0.2">
      <c r="A133" s="1005" t="s">
        <v>1141</v>
      </c>
      <c r="B133" s="944"/>
      <c r="C133" s="944"/>
      <c r="D133" s="944"/>
      <c r="E133" s="944"/>
      <c r="F133" s="944"/>
    </row>
    <row r="134" spans="1:6" ht="36" customHeight="1" x14ac:dyDescent="0.2">
      <c r="A134" s="1001" t="s">
        <v>1142</v>
      </c>
      <c r="B134" s="1002"/>
      <c r="C134" s="1002"/>
      <c r="D134" s="1002"/>
      <c r="E134" s="1002"/>
      <c r="F134" s="1002"/>
    </row>
    <row r="136" spans="1:6" x14ac:dyDescent="0.2">
      <c r="A136" s="1003" t="s">
        <v>1143</v>
      </c>
      <c r="B136" s="938"/>
      <c r="C136" s="938"/>
      <c r="D136" s="938"/>
      <c r="E136" s="938"/>
      <c r="F136" s="938"/>
    </row>
  </sheetData>
  <mergeCells count="31">
    <mergeCell ref="A1:F1"/>
    <mergeCell ref="A2:F2"/>
    <mergeCell ref="A4:F4"/>
    <mergeCell ref="A15:F15"/>
    <mergeCell ref="A33:F33"/>
    <mergeCell ref="A16:F16"/>
    <mergeCell ref="A34:F34"/>
    <mergeCell ref="A77:F77"/>
    <mergeCell ref="A88:F88"/>
    <mergeCell ref="A96:F96"/>
    <mergeCell ref="A69:F69"/>
    <mergeCell ref="A36:D36"/>
    <mergeCell ref="A37:D37"/>
    <mergeCell ref="A47:D47"/>
    <mergeCell ref="A48:D48"/>
    <mergeCell ref="A58:D58"/>
    <mergeCell ref="A59:D59"/>
    <mergeCell ref="A76:F76"/>
    <mergeCell ref="A87:F87"/>
    <mergeCell ref="A95:F95"/>
    <mergeCell ref="A104:F104"/>
    <mergeCell ref="A134:F134"/>
    <mergeCell ref="A136:F136"/>
    <mergeCell ref="A128:F128"/>
    <mergeCell ref="A129:F129"/>
    <mergeCell ref="A130:F130"/>
    <mergeCell ref="A131:F131"/>
    <mergeCell ref="A132:F132"/>
    <mergeCell ref="A133:F133"/>
    <mergeCell ref="A126:F126"/>
    <mergeCell ref="A105:F105"/>
  </mergeCell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N21"/>
  <sheetViews>
    <sheetView showGridLines="0" workbookViewId="0">
      <selection activeCell="A20" sqref="A20"/>
    </sheetView>
  </sheetViews>
  <sheetFormatPr baseColWidth="10" defaultColWidth="8.83203125" defaultRowHeight="15" x14ac:dyDescent="0.2"/>
  <cols>
    <col min="1" max="1" width="33.33203125" customWidth="1"/>
    <col min="2" max="2" width="15" customWidth="1"/>
    <col min="3" max="5" width="13.33203125" customWidth="1"/>
    <col min="6" max="7" width="15" customWidth="1"/>
    <col min="8" max="8" width="46.6640625" customWidth="1"/>
  </cols>
  <sheetData>
    <row r="1" spans="1:14" ht="28" customHeight="1" x14ac:dyDescent="0.25">
      <c r="A1" s="972" t="s">
        <v>1144</v>
      </c>
      <c r="B1" s="972"/>
      <c r="C1" s="972"/>
      <c r="D1" s="972"/>
      <c r="E1" s="972"/>
      <c r="F1" s="972"/>
      <c r="G1" s="972"/>
      <c r="H1" s="972"/>
      <c r="I1" s="972"/>
      <c r="J1" s="972"/>
      <c r="K1" s="972"/>
      <c r="L1" s="972"/>
      <c r="M1" s="972"/>
      <c r="N1" s="972"/>
    </row>
    <row r="2" spans="1:14" x14ac:dyDescent="0.2">
      <c r="A2" s="973" t="s">
        <v>1145</v>
      </c>
      <c r="B2" s="973"/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</row>
    <row r="4" spans="1:14" ht="22" customHeight="1" thickBot="1" x14ac:dyDescent="0.25">
      <c r="A4" s="643" t="s">
        <v>1146</v>
      </c>
      <c r="B4" s="635" t="s">
        <v>1147</v>
      </c>
      <c r="C4" s="635" t="s">
        <v>1148</v>
      </c>
      <c r="D4" s="635" t="s">
        <v>1149</v>
      </c>
      <c r="E4" s="635" t="s">
        <v>1150</v>
      </c>
      <c r="F4" s="635" t="s">
        <v>1151</v>
      </c>
      <c r="G4" s="635" t="s">
        <v>798</v>
      </c>
      <c r="H4" s="646" t="s">
        <v>1152</v>
      </c>
    </row>
    <row r="5" spans="1:14" x14ac:dyDescent="0.2">
      <c r="A5" s="644" t="s">
        <v>1153</v>
      </c>
      <c r="B5" s="2" t="s">
        <v>1154</v>
      </c>
      <c r="C5" s="636">
        <v>2.1</v>
      </c>
      <c r="D5" s="636">
        <v>1.43</v>
      </c>
      <c r="E5" s="704">
        <v>1.5</v>
      </c>
      <c r="F5" s="705" t="s">
        <v>1155</v>
      </c>
      <c r="G5" s="705" t="s">
        <v>1156</v>
      </c>
      <c r="H5" s="678" t="s">
        <v>1157</v>
      </c>
    </row>
    <row r="6" spans="1:14" x14ac:dyDescent="0.2">
      <c r="A6" s="645" t="s">
        <v>1158</v>
      </c>
      <c r="B6" s="634" t="s">
        <v>1159</v>
      </c>
      <c r="C6" s="640">
        <v>0.5</v>
      </c>
      <c r="D6" s="640">
        <v>0.17</v>
      </c>
      <c r="E6" s="706">
        <v>2.9</v>
      </c>
      <c r="F6" s="707" t="s">
        <v>1155</v>
      </c>
      <c r="G6" s="707" t="s">
        <v>1160</v>
      </c>
      <c r="H6" s="679" t="s">
        <v>1161</v>
      </c>
    </row>
    <row r="7" spans="1:14" x14ac:dyDescent="0.2">
      <c r="A7" s="644" t="s">
        <v>1162</v>
      </c>
      <c r="B7" s="2" t="s">
        <v>1163</v>
      </c>
      <c r="C7" s="636">
        <v>18.5</v>
      </c>
      <c r="D7" s="636">
        <v>0.28999999999999998</v>
      </c>
      <c r="E7" s="704">
        <v>63.8</v>
      </c>
      <c r="F7" s="705" t="s">
        <v>1155</v>
      </c>
      <c r="G7" s="705" t="s">
        <v>1164</v>
      </c>
      <c r="H7" s="678" t="s">
        <v>1165</v>
      </c>
    </row>
    <row r="8" spans="1:14" x14ac:dyDescent="0.2">
      <c r="A8" s="645" t="s">
        <v>1166</v>
      </c>
      <c r="B8" s="634" t="s">
        <v>1167</v>
      </c>
      <c r="C8" s="640">
        <v>19.7</v>
      </c>
      <c r="D8" s="640">
        <v>1.48</v>
      </c>
      <c r="E8" s="706">
        <v>13.3</v>
      </c>
      <c r="F8" s="707" t="s">
        <v>1168</v>
      </c>
      <c r="G8" s="707" t="s">
        <v>1164</v>
      </c>
      <c r="H8" s="679" t="s">
        <v>1169</v>
      </c>
    </row>
    <row r="9" spans="1:14" x14ac:dyDescent="0.2">
      <c r="A9" s="644" t="s">
        <v>1170</v>
      </c>
      <c r="B9" s="2" t="s">
        <v>1171</v>
      </c>
      <c r="C9" s="636">
        <v>1.03</v>
      </c>
      <c r="D9" s="636">
        <v>0.9</v>
      </c>
      <c r="E9" s="704">
        <v>1.1000000000000001</v>
      </c>
      <c r="F9" s="705" t="s">
        <v>1168</v>
      </c>
      <c r="G9" s="705" t="s">
        <v>1156</v>
      </c>
      <c r="H9" s="678" t="s">
        <v>1172</v>
      </c>
    </row>
    <row r="10" spans="1:14" x14ac:dyDescent="0.2">
      <c r="A10" s="645" t="s">
        <v>1173</v>
      </c>
      <c r="B10" s="634" t="s">
        <v>1174</v>
      </c>
      <c r="C10" s="640">
        <v>8</v>
      </c>
      <c r="D10" s="640">
        <v>0.77</v>
      </c>
      <c r="E10" s="706">
        <v>10.4</v>
      </c>
      <c r="F10" s="707" t="s">
        <v>1168</v>
      </c>
      <c r="G10" s="707" t="s">
        <v>1175</v>
      </c>
      <c r="H10" s="679" t="s">
        <v>1176</v>
      </c>
    </row>
    <row r="11" spans="1:14" x14ac:dyDescent="0.2">
      <c r="A11" s="644" t="s">
        <v>1177</v>
      </c>
      <c r="B11" s="2" t="s">
        <v>1178</v>
      </c>
      <c r="C11" s="636">
        <v>3.9</v>
      </c>
      <c r="D11" s="636">
        <v>1.1000000000000001</v>
      </c>
      <c r="E11" s="704">
        <v>3.5</v>
      </c>
      <c r="F11" s="705" t="s">
        <v>1168</v>
      </c>
      <c r="G11" s="705" t="s">
        <v>1164</v>
      </c>
      <c r="H11" s="678" t="s">
        <v>1179</v>
      </c>
    </row>
    <row r="12" spans="1:14" x14ac:dyDescent="0.2">
      <c r="A12" s="645" t="s">
        <v>1180</v>
      </c>
      <c r="B12" s="634" t="s">
        <v>1181</v>
      </c>
      <c r="C12" s="640">
        <v>13.1</v>
      </c>
      <c r="D12" s="640">
        <v>0.73</v>
      </c>
      <c r="E12" s="706">
        <v>17.899999999999999</v>
      </c>
      <c r="F12" s="707" t="s">
        <v>1182</v>
      </c>
      <c r="G12" s="707" t="s">
        <v>1175</v>
      </c>
      <c r="H12" s="679" t="s">
        <v>1183</v>
      </c>
    </row>
    <row r="13" spans="1:14" x14ac:dyDescent="0.2">
      <c r="A13" s="644" t="s">
        <v>1184</v>
      </c>
      <c r="B13" s="2" t="s">
        <v>1185</v>
      </c>
      <c r="C13" s="636">
        <v>3.7</v>
      </c>
      <c r="D13" s="636">
        <v>0.37</v>
      </c>
      <c r="E13" s="704">
        <v>10.1</v>
      </c>
      <c r="F13" s="705" t="s">
        <v>1182</v>
      </c>
      <c r="G13" s="705" t="s">
        <v>1175</v>
      </c>
      <c r="H13" s="678" t="s">
        <v>1186</v>
      </c>
    </row>
    <row r="14" spans="1:14" x14ac:dyDescent="0.2">
      <c r="A14" s="645" t="s">
        <v>1187</v>
      </c>
      <c r="B14" s="634" t="s">
        <v>1188</v>
      </c>
      <c r="C14" s="640">
        <v>4.9000000000000004</v>
      </c>
      <c r="D14" s="640">
        <v>0.6</v>
      </c>
      <c r="E14" s="706">
        <v>8.1</v>
      </c>
      <c r="F14" s="707" t="s">
        <v>1182</v>
      </c>
      <c r="G14" s="707" t="s">
        <v>1175</v>
      </c>
      <c r="H14" s="679" t="s">
        <v>1189</v>
      </c>
    </row>
    <row r="15" spans="1:14" ht="16" thickBot="1" x14ac:dyDescent="0.25">
      <c r="A15" s="648" t="s">
        <v>1190</v>
      </c>
      <c r="B15" s="649" t="s">
        <v>1191</v>
      </c>
      <c r="C15" s="651">
        <v>9.9</v>
      </c>
      <c r="D15" s="651">
        <v>1.51</v>
      </c>
      <c r="E15" s="708">
        <v>6.6</v>
      </c>
      <c r="F15" s="709" t="s">
        <v>1182</v>
      </c>
      <c r="G15" s="709" t="s">
        <v>1175</v>
      </c>
      <c r="H15" s="710" t="s">
        <v>1192</v>
      </c>
    </row>
    <row r="18" spans="1:8" ht="22" customHeight="1" x14ac:dyDescent="0.2">
      <c r="A18" s="927" t="s">
        <v>1193</v>
      </c>
      <c r="B18" s="978"/>
      <c r="C18" s="978"/>
      <c r="D18" s="978"/>
      <c r="E18" s="978"/>
      <c r="F18" s="978"/>
      <c r="G18" s="978"/>
      <c r="H18" s="978"/>
    </row>
    <row r="19" spans="1:8" x14ac:dyDescent="0.2">
      <c r="A19" s="711" t="s">
        <v>1194</v>
      </c>
      <c r="B19" s="27"/>
      <c r="C19" s="27"/>
      <c r="D19" s="27"/>
      <c r="E19" s="27"/>
      <c r="F19" s="27"/>
      <c r="G19" s="27"/>
      <c r="H19" s="27"/>
    </row>
    <row r="20" spans="1:8" x14ac:dyDescent="0.2">
      <c r="A20" s="712" t="s">
        <v>1195</v>
      </c>
      <c r="B20" s="27"/>
      <c r="C20" s="27"/>
      <c r="D20" s="27"/>
      <c r="E20" s="27"/>
      <c r="F20" s="27"/>
      <c r="G20" s="27"/>
      <c r="H20" s="27"/>
    </row>
    <row r="21" spans="1:8" x14ac:dyDescent="0.2">
      <c r="A21" s="3" t="s">
        <v>1196</v>
      </c>
    </row>
  </sheetData>
  <mergeCells count="3">
    <mergeCell ref="A1:N1"/>
    <mergeCell ref="A2:N2"/>
    <mergeCell ref="A18:H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N35"/>
  <sheetViews>
    <sheetView showGridLines="0" workbookViewId="0">
      <selection activeCell="I18" sqref="I18"/>
    </sheetView>
  </sheetViews>
  <sheetFormatPr baseColWidth="10" defaultColWidth="8.83203125" defaultRowHeight="15" x14ac:dyDescent="0.2"/>
  <cols>
    <col min="1" max="1" width="33.33203125" customWidth="1"/>
    <col min="2" max="7" width="15" customWidth="1"/>
    <col min="8" max="8" width="18.33203125" customWidth="1"/>
    <col min="9" max="9" width="40" customWidth="1"/>
  </cols>
  <sheetData>
    <row r="1" spans="1:14" ht="28" customHeight="1" x14ac:dyDescent="0.25">
      <c r="A1" s="972" t="s">
        <v>1197</v>
      </c>
      <c r="B1" s="972"/>
      <c r="C1" s="972"/>
      <c r="D1" s="972"/>
      <c r="E1" s="972"/>
      <c r="F1" s="972"/>
      <c r="G1" s="972"/>
      <c r="H1" s="972"/>
      <c r="I1" s="972"/>
      <c r="J1" s="972"/>
      <c r="K1" s="972"/>
      <c r="L1" s="972"/>
      <c r="M1" s="972"/>
      <c r="N1" s="972"/>
    </row>
    <row r="2" spans="1:14" x14ac:dyDescent="0.2">
      <c r="A2" s="973" t="s">
        <v>1198</v>
      </c>
      <c r="B2" s="973"/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</row>
    <row r="4" spans="1:14" ht="22" customHeight="1" thickBot="1" x14ac:dyDescent="0.25">
      <c r="A4" s="643" t="s">
        <v>1199</v>
      </c>
      <c r="B4" s="635" t="s">
        <v>1147</v>
      </c>
      <c r="C4" s="635" t="s">
        <v>1200</v>
      </c>
      <c r="D4" s="635" t="s">
        <v>1201</v>
      </c>
      <c r="E4" s="635" t="s">
        <v>1202</v>
      </c>
      <c r="F4" s="635" t="s">
        <v>1203</v>
      </c>
      <c r="G4" s="635" t="s">
        <v>1204</v>
      </c>
      <c r="H4" s="635" t="s">
        <v>1205</v>
      </c>
      <c r="I4" s="646" t="s">
        <v>1206</v>
      </c>
    </row>
    <row r="5" spans="1:14" x14ac:dyDescent="0.2">
      <c r="A5" s="644" t="s">
        <v>1207</v>
      </c>
      <c r="B5" s="2" t="s">
        <v>1208</v>
      </c>
      <c r="C5" s="81">
        <v>1</v>
      </c>
      <c r="D5" s="636"/>
      <c r="E5" s="637"/>
      <c r="F5" s="2"/>
      <c r="G5" s="638"/>
      <c r="H5" s="2" t="s">
        <v>1209</v>
      </c>
      <c r="I5" s="248" t="s">
        <v>1210</v>
      </c>
    </row>
    <row r="6" spans="1:14" x14ac:dyDescent="0.2">
      <c r="A6" s="645" t="s">
        <v>1211</v>
      </c>
      <c r="B6" s="634" t="s">
        <v>1212</v>
      </c>
      <c r="C6" s="639">
        <v>4</v>
      </c>
      <c r="D6" s="640"/>
      <c r="E6" s="641"/>
      <c r="F6" s="634"/>
      <c r="G6" s="642"/>
      <c r="H6" s="634" t="s">
        <v>1209</v>
      </c>
      <c r="I6" s="647" t="s">
        <v>1213</v>
      </c>
    </row>
    <row r="7" spans="1:14" x14ac:dyDescent="0.2">
      <c r="A7" s="644" t="s">
        <v>1214</v>
      </c>
      <c r="B7" s="2" t="s">
        <v>1215</v>
      </c>
      <c r="C7" s="81">
        <v>12</v>
      </c>
      <c r="D7" s="636"/>
      <c r="E7" s="637"/>
      <c r="F7" s="2"/>
      <c r="G7" s="638"/>
      <c r="H7" s="2" t="s">
        <v>1209</v>
      </c>
      <c r="I7" s="248" t="s">
        <v>1216</v>
      </c>
    </row>
    <row r="8" spans="1:14" x14ac:dyDescent="0.2">
      <c r="A8" s="645" t="s">
        <v>1217</v>
      </c>
      <c r="B8" s="634" t="s">
        <v>1218</v>
      </c>
      <c r="C8" s="639">
        <v>55</v>
      </c>
      <c r="D8" s="640">
        <v>0.43</v>
      </c>
      <c r="E8" s="641"/>
      <c r="F8" s="634"/>
      <c r="G8" s="642"/>
      <c r="H8" s="634" t="s">
        <v>1209</v>
      </c>
      <c r="I8" s="647" t="s">
        <v>1219</v>
      </c>
    </row>
    <row r="9" spans="1:14" x14ac:dyDescent="0.2">
      <c r="A9" s="644" t="s">
        <v>1220</v>
      </c>
      <c r="B9" s="2" t="s">
        <v>1163</v>
      </c>
      <c r="C9" s="81">
        <v>100</v>
      </c>
      <c r="D9" s="636">
        <v>1.2</v>
      </c>
      <c r="E9" s="637"/>
      <c r="F9" s="2"/>
      <c r="G9" s="638"/>
      <c r="H9" s="2" t="s">
        <v>1209</v>
      </c>
      <c r="I9" s="248" t="s">
        <v>1219</v>
      </c>
    </row>
    <row r="10" spans="1:14" x14ac:dyDescent="0.2">
      <c r="A10" s="645" t="s">
        <v>1221</v>
      </c>
      <c r="B10" s="634" t="s">
        <v>1222</v>
      </c>
      <c r="C10" s="639">
        <v>200</v>
      </c>
      <c r="D10" s="640">
        <v>2.4</v>
      </c>
      <c r="E10" s="641"/>
      <c r="F10" s="634"/>
      <c r="G10" s="642"/>
      <c r="H10" s="634" t="s">
        <v>1209</v>
      </c>
      <c r="I10" s="647" t="s">
        <v>1223</v>
      </c>
    </row>
    <row r="11" spans="1:14" x14ac:dyDescent="0.2">
      <c r="A11" s="644" t="s">
        <v>1224</v>
      </c>
      <c r="B11" s="2" t="s">
        <v>1222</v>
      </c>
      <c r="C11" s="81">
        <v>200</v>
      </c>
      <c r="D11" s="636">
        <v>3.6</v>
      </c>
      <c r="E11" s="637">
        <v>4.76</v>
      </c>
      <c r="F11" s="2"/>
      <c r="G11" s="638"/>
      <c r="H11" s="2" t="s">
        <v>1209</v>
      </c>
      <c r="I11" s="248" t="s">
        <v>1223</v>
      </c>
    </row>
    <row r="12" spans="1:14" x14ac:dyDescent="0.2">
      <c r="A12" s="645" t="s">
        <v>1225</v>
      </c>
      <c r="B12" s="634" t="s">
        <v>1226</v>
      </c>
      <c r="C12" s="639">
        <v>46</v>
      </c>
      <c r="D12" s="640"/>
      <c r="E12" s="641"/>
      <c r="F12" s="634"/>
      <c r="G12" s="642"/>
      <c r="H12" s="634" t="s">
        <v>1227</v>
      </c>
      <c r="I12" s="647" t="s">
        <v>1228</v>
      </c>
    </row>
    <row r="13" spans="1:14" ht="16" thickBot="1" x14ac:dyDescent="0.25">
      <c r="A13" s="648" t="s">
        <v>1229</v>
      </c>
      <c r="B13" s="649" t="s">
        <v>1230</v>
      </c>
      <c r="C13" s="650">
        <v>575</v>
      </c>
      <c r="D13" s="651">
        <v>10.1</v>
      </c>
      <c r="E13" s="652">
        <v>11.23</v>
      </c>
      <c r="F13" s="649"/>
      <c r="G13" s="653">
        <v>5.7000000000000002E-2</v>
      </c>
      <c r="H13" s="649" t="s">
        <v>1209</v>
      </c>
      <c r="I13" s="654" t="s">
        <v>1231</v>
      </c>
    </row>
    <row r="14" spans="1:14" ht="16" thickBot="1" x14ac:dyDescent="0.25"/>
    <row r="15" spans="1:14" ht="16" thickBot="1" x14ac:dyDescent="0.25">
      <c r="A15" s="546" t="s">
        <v>1232</v>
      </c>
      <c r="B15" s="655"/>
      <c r="C15" s="656">
        <v>1030</v>
      </c>
      <c r="D15" s="655"/>
      <c r="E15" s="655"/>
      <c r="F15" s="655"/>
      <c r="G15" s="655"/>
      <c r="H15" s="655"/>
      <c r="I15" s="655"/>
    </row>
    <row r="16" spans="1:14" ht="16" thickTop="1" x14ac:dyDescent="0.2"/>
    <row r="17" spans="1:9" ht="22" customHeight="1" x14ac:dyDescent="0.2">
      <c r="A17" s="927" t="s">
        <v>1233</v>
      </c>
      <c r="B17" s="978"/>
      <c r="C17" s="978"/>
      <c r="D17" s="978"/>
      <c r="E17" s="978"/>
      <c r="F17" s="978"/>
      <c r="G17" s="978"/>
      <c r="H17" s="978"/>
      <c r="I17" s="978"/>
    </row>
    <row r="18" spans="1:9" x14ac:dyDescent="0.2">
      <c r="A18" s="3" t="s">
        <v>1234</v>
      </c>
      <c r="B18" s="27"/>
      <c r="C18" s="2" t="s">
        <v>1235</v>
      </c>
      <c r="D18" s="27"/>
      <c r="E18" s="38" t="s">
        <v>1236</v>
      </c>
      <c r="F18" s="27"/>
      <c r="G18" s="27"/>
      <c r="H18" s="27"/>
      <c r="I18" s="27"/>
    </row>
    <row r="19" spans="1:9" x14ac:dyDescent="0.2">
      <c r="A19" s="255" t="s">
        <v>1237</v>
      </c>
      <c r="B19" s="110"/>
      <c r="C19" s="634" t="s">
        <v>1238</v>
      </c>
      <c r="D19" s="110"/>
      <c r="E19" s="372" t="s">
        <v>1236</v>
      </c>
      <c r="F19" s="110"/>
      <c r="G19" s="110"/>
      <c r="H19" s="110"/>
      <c r="I19" s="110"/>
    </row>
    <row r="20" spans="1:9" x14ac:dyDescent="0.2">
      <c r="A20" s="3" t="s">
        <v>1239</v>
      </c>
      <c r="B20" s="27"/>
      <c r="C20" s="2" t="s">
        <v>1240</v>
      </c>
      <c r="D20" s="27"/>
      <c r="E20" s="38" t="s">
        <v>1241</v>
      </c>
      <c r="F20" s="27"/>
      <c r="G20" s="27"/>
      <c r="H20" s="27"/>
      <c r="I20" s="27"/>
    </row>
    <row r="21" spans="1:9" x14ac:dyDescent="0.2">
      <c r="A21" s="255" t="s">
        <v>1242</v>
      </c>
      <c r="B21" s="110"/>
      <c r="C21" s="634" t="s">
        <v>1243</v>
      </c>
      <c r="D21" s="110"/>
      <c r="E21" s="372" t="s">
        <v>1244</v>
      </c>
      <c r="F21" s="110"/>
      <c r="G21" s="110"/>
      <c r="H21" s="110"/>
      <c r="I21" s="110"/>
    </row>
    <row r="22" spans="1:9" x14ac:dyDescent="0.2">
      <c r="A22" s="3" t="s">
        <v>1245</v>
      </c>
      <c r="B22" s="27"/>
      <c r="C22" s="2" t="s">
        <v>1246</v>
      </c>
      <c r="D22" s="27"/>
      <c r="E22" s="38" t="s">
        <v>1236</v>
      </c>
      <c r="F22" s="27"/>
      <c r="G22" s="27"/>
      <c r="H22" s="27"/>
      <c r="I22" s="27"/>
    </row>
    <row r="23" spans="1:9" x14ac:dyDescent="0.2">
      <c r="A23" s="255" t="s">
        <v>1247</v>
      </c>
      <c r="B23" s="110"/>
      <c r="C23" s="634" t="s">
        <v>1248</v>
      </c>
      <c r="D23" s="110"/>
      <c r="E23" s="372" t="s">
        <v>1249</v>
      </c>
      <c r="F23" s="110"/>
      <c r="G23" s="110"/>
      <c r="H23" s="110"/>
      <c r="I23" s="110"/>
    </row>
    <row r="26" spans="1:9" ht="22" customHeight="1" x14ac:dyDescent="0.2">
      <c r="A26" s="927" t="s">
        <v>1250</v>
      </c>
      <c r="B26" s="978"/>
      <c r="C26" s="978"/>
      <c r="D26" s="978"/>
      <c r="E26" s="978"/>
      <c r="F26" s="978"/>
      <c r="G26" s="978"/>
      <c r="H26" s="978"/>
      <c r="I26" s="978"/>
    </row>
    <row r="27" spans="1:9" ht="16" thickBot="1" x14ac:dyDescent="0.25">
      <c r="A27" s="6"/>
      <c r="B27" s="6"/>
      <c r="C27" s="657" t="s">
        <v>1251</v>
      </c>
      <c r="D27" s="657"/>
      <c r="E27" s="657" t="s">
        <v>1252</v>
      </c>
      <c r="F27" s="657"/>
      <c r="G27" s="657" t="s">
        <v>1253</v>
      </c>
      <c r="H27" s="6"/>
      <c r="I27" s="6"/>
    </row>
    <row r="28" spans="1:9" x14ac:dyDescent="0.2">
      <c r="A28" s="658" t="s">
        <v>1254</v>
      </c>
      <c r="B28" s="659"/>
      <c r="C28" s="660"/>
      <c r="D28" s="659"/>
      <c r="E28" s="660"/>
      <c r="F28" s="659"/>
      <c r="G28" s="660"/>
    </row>
    <row r="29" spans="1:9" x14ac:dyDescent="0.2">
      <c r="A29" s="658" t="s">
        <v>1255</v>
      </c>
      <c r="B29" s="659"/>
      <c r="C29" s="660"/>
      <c r="D29" s="659"/>
      <c r="E29" s="660"/>
      <c r="F29" s="659"/>
      <c r="G29" s="660"/>
    </row>
    <row r="30" spans="1:9" x14ac:dyDescent="0.2">
      <c r="A30" s="658" t="s">
        <v>1256</v>
      </c>
      <c r="B30" s="659"/>
      <c r="C30" s="660"/>
      <c r="D30" s="659"/>
      <c r="E30" s="660"/>
      <c r="F30" s="659"/>
      <c r="G30" s="660"/>
    </row>
    <row r="31" spans="1:9" x14ac:dyDescent="0.2">
      <c r="A31" s="658" t="s">
        <v>1257</v>
      </c>
      <c r="B31" s="659"/>
      <c r="C31" s="660"/>
      <c r="D31" s="659"/>
      <c r="E31" s="660"/>
      <c r="F31" s="659"/>
      <c r="G31" s="660"/>
    </row>
    <row r="32" spans="1:9" x14ac:dyDescent="0.2">
      <c r="A32" s="658" t="s">
        <v>1258</v>
      </c>
      <c r="B32" s="659"/>
      <c r="C32" s="660"/>
      <c r="D32" s="659"/>
      <c r="E32" s="660"/>
      <c r="F32" s="659"/>
      <c r="G32" s="660"/>
    </row>
    <row r="33" spans="1:7" x14ac:dyDescent="0.2">
      <c r="A33" s="658" t="s">
        <v>1259</v>
      </c>
      <c r="B33" s="659"/>
      <c r="C33" s="660"/>
      <c r="D33" s="659"/>
      <c r="E33" s="660"/>
      <c r="F33" s="659"/>
      <c r="G33" s="660"/>
    </row>
    <row r="34" spans="1:7" x14ac:dyDescent="0.2">
      <c r="A34" s="658" t="s">
        <v>1260</v>
      </c>
      <c r="B34" s="659"/>
      <c r="C34" s="660"/>
      <c r="D34" s="659"/>
      <c r="E34" s="660"/>
      <c r="F34" s="659"/>
      <c r="G34" s="660"/>
    </row>
    <row r="35" spans="1:7" x14ac:dyDescent="0.2">
      <c r="A35" s="658" t="s">
        <v>1261</v>
      </c>
      <c r="B35" s="659"/>
      <c r="C35" s="660"/>
      <c r="D35" s="659"/>
      <c r="E35" s="660"/>
      <c r="F35" s="659"/>
      <c r="G35" s="660"/>
    </row>
  </sheetData>
  <mergeCells count="4">
    <mergeCell ref="A1:N1"/>
    <mergeCell ref="A2:N2"/>
    <mergeCell ref="A17:I17"/>
    <mergeCell ref="A26:I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K37"/>
  <sheetViews>
    <sheetView showGridLines="0" topLeftCell="A17" workbookViewId="0">
      <selection activeCell="D6" sqref="D6"/>
    </sheetView>
  </sheetViews>
  <sheetFormatPr baseColWidth="10" defaultColWidth="8.83203125" defaultRowHeight="15" x14ac:dyDescent="0.2"/>
  <cols>
    <col min="1" max="1" width="46.6640625" customWidth="1"/>
    <col min="2" max="2" width="21.6640625" customWidth="1"/>
    <col min="3" max="8" width="13.33203125" customWidth="1"/>
    <col min="9" max="10" width="12.5" customWidth="1"/>
    <col min="11" max="11" width="53.33203125" customWidth="1"/>
  </cols>
  <sheetData>
    <row r="1" spans="1:11" ht="28" customHeight="1" x14ac:dyDescent="0.25">
      <c r="A1" s="997" t="s">
        <v>1262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</row>
    <row r="2" spans="1:11" ht="28" customHeight="1" x14ac:dyDescent="0.2">
      <c r="A2" s="999" t="s">
        <v>1263</v>
      </c>
      <c r="B2" s="977"/>
      <c r="C2" s="977"/>
      <c r="D2" s="977"/>
      <c r="E2" s="977"/>
      <c r="F2" s="977"/>
      <c r="G2" s="977"/>
      <c r="H2" s="977"/>
      <c r="I2" s="977"/>
      <c r="J2" s="977"/>
      <c r="K2" s="977"/>
    </row>
    <row r="3" spans="1:11" ht="16" thickBot="1" x14ac:dyDescent="0.25"/>
    <row r="4" spans="1:11" ht="22" customHeight="1" thickBot="1" x14ac:dyDescent="0.25">
      <c r="A4" s="298" t="s">
        <v>1264</v>
      </c>
      <c r="B4" s="299" t="s">
        <v>1265</v>
      </c>
      <c r="C4" s="300" t="s">
        <v>1266</v>
      </c>
      <c r="D4" s="300" t="s">
        <v>1267</v>
      </c>
      <c r="E4" s="300" t="s">
        <v>1268</v>
      </c>
      <c r="F4" s="300" t="s">
        <v>1269</v>
      </c>
      <c r="G4" s="300" t="s">
        <v>1270</v>
      </c>
      <c r="H4" s="300" t="s">
        <v>1271</v>
      </c>
      <c r="I4" s="300" t="s">
        <v>1272</v>
      </c>
      <c r="J4" s="300" t="s">
        <v>1273</v>
      </c>
      <c r="K4" s="301" t="s">
        <v>484</v>
      </c>
    </row>
    <row r="5" spans="1:11" x14ac:dyDescent="0.2">
      <c r="A5" s="96"/>
      <c r="K5" s="159"/>
    </row>
    <row r="6" spans="1:11" ht="105" x14ac:dyDescent="0.2">
      <c r="A6" s="297" t="s">
        <v>1274</v>
      </c>
      <c r="B6" s="284" t="s">
        <v>1275</v>
      </c>
      <c r="C6" s="306">
        <f>Sensitivity!B44</f>
        <v>4.5972973345902624</v>
      </c>
      <c r="D6" s="307">
        <f>Sensitivity!C44</f>
        <v>7.4511993487364343</v>
      </c>
      <c r="E6" s="306">
        <f>Sensitivity!D44</f>
        <v>10.872952001950303</v>
      </c>
      <c r="F6" s="290">
        <f>(C6*1000 - Assumptions!$F$62 + Assumptions!$F$63)/Assumptions!$F$55</f>
        <v>12.895847157537224</v>
      </c>
      <c r="G6" s="291">
        <f>(D6*1000 - Assumptions!$F$62 + Assumptions!$F$63)/Assumptions!$F$55</f>
        <v>19.856583777405937</v>
      </c>
      <c r="H6" s="290">
        <f>(E6*1000 - Assumptions!$F$62 + Assumptions!$F$63)/Assumptions!$F$55</f>
        <v>28.202321955976348</v>
      </c>
      <c r="I6" s="293">
        <v>0.4</v>
      </c>
      <c r="J6" s="318">
        <f>D6*I6</f>
        <v>2.9804797394945739</v>
      </c>
      <c r="K6" s="1187" t="s">
        <v>1805</v>
      </c>
    </row>
    <row r="7" spans="1:11" ht="27" x14ac:dyDescent="0.2">
      <c r="A7" s="325" t="s">
        <v>1276</v>
      </c>
      <c r="B7" s="30" t="s">
        <v>1277</v>
      </c>
      <c r="C7" s="308">
        <f>C6 + RealOptions!B32</f>
        <v>4.7614531782173097</v>
      </c>
      <c r="D7" s="308">
        <f>D6 + RealOptions!C32</f>
        <v>8.3912861230964673</v>
      </c>
      <c r="E7" s="308">
        <f>E6 + RealOptions!D32</f>
        <v>13.482075615315066</v>
      </c>
      <c r="F7" s="292">
        <f>(C7*1000 - Assumptions!$F$62 + Assumptions!$F$63)/Assumptions!$F$55</f>
        <v>13.296227263944658</v>
      </c>
      <c r="G7" s="292">
        <f>(D7*1000 - Assumptions!$F$62 + Assumptions!$F$63)/Assumptions!$F$55</f>
        <v>22.149478349015777</v>
      </c>
      <c r="H7" s="292">
        <f>(E7*1000 - Assumptions!$F$62 + Assumptions!$F$63)/Assumptions!$F$55</f>
        <v>34.566038086134313</v>
      </c>
      <c r="I7" s="314"/>
      <c r="J7" s="311"/>
      <c r="K7" s="322" t="s">
        <v>1278</v>
      </c>
    </row>
    <row r="8" spans="1:11" ht="27" x14ac:dyDescent="0.2">
      <c r="A8" s="297" t="s">
        <v>1279</v>
      </c>
      <c r="B8" s="284" t="s">
        <v>1280</v>
      </c>
      <c r="C8" s="306">
        <f>Comps!D43/1000</f>
        <v>1.177</v>
      </c>
      <c r="D8" s="307">
        <f>Comps!D55/1000</f>
        <v>3.5778329999999996</v>
      </c>
      <c r="E8" s="306">
        <f>Comps!D56/1000</f>
        <v>7.5487500000000001</v>
      </c>
      <c r="F8" s="290">
        <f>(C8*1000 - Assumptions!$F$62 + Assumptions!$F$63)/Assumptions!$F$55</f>
        <v>4.5536585365853659</v>
      </c>
      <c r="G8" s="291">
        <f>(D8*1000 - Assumptions!$F$62 + Assumptions!$F$63)/Assumptions!$F$55</f>
        <v>10.409348780487804</v>
      </c>
      <c r="H8" s="290">
        <f>(E8*1000 - Assumptions!$F$62 + Assumptions!$F$63)/Assumptions!$F$55</f>
        <v>20.094512195121951</v>
      </c>
      <c r="I8" s="293">
        <v>0.35</v>
      </c>
      <c r="J8" s="318">
        <f>D8*I8</f>
        <v>1.2522415499999997</v>
      </c>
      <c r="K8" s="321" t="s">
        <v>1281</v>
      </c>
    </row>
    <row r="9" spans="1:11" x14ac:dyDescent="0.2">
      <c r="A9" s="172"/>
      <c r="B9" s="27"/>
      <c r="C9" s="309"/>
      <c r="D9" s="309"/>
      <c r="E9" s="309"/>
      <c r="F9" s="295"/>
      <c r="G9" s="295"/>
      <c r="H9" s="295"/>
      <c r="I9" s="314"/>
      <c r="J9" s="311"/>
      <c r="K9" s="159"/>
    </row>
    <row r="10" spans="1:11" x14ac:dyDescent="0.2">
      <c r="A10" s="326" t="s">
        <v>20</v>
      </c>
      <c r="B10" s="286" t="s">
        <v>1282</v>
      </c>
      <c r="C10" s="310" t="s">
        <v>542</v>
      </c>
      <c r="D10" s="310" t="s">
        <v>542</v>
      </c>
      <c r="E10" s="310" t="s">
        <v>542</v>
      </c>
      <c r="F10" s="290"/>
      <c r="G10" s="290"/>
      <c r="H10" s="290"/>
      <c r="I10" s="315"/>
      <c r="J10" s="307"/>
      <c r="K10" s="323" t="s">
        <v>1283</v>
      </c>
    </row>
    <row r="11" spans="1:11" x14ac:dyDescent="0.2">
      <c r="A11" s="172" t="s">
        <v>1284</v>
      </c>
      <c r="B11" s="30" t="s">
        <v>1285</v>
      </c>
      <c r="C11" s="309">
        <f>DCF!C52/1000</f>
        <v>10.1</v>
      </c>
      <c r="D11" s="311">
        <f>DCF!C52/1000</f>
        <v>10.1</v>
      </c>
      <c r="E11" s="309">
        <f>DCF!C52/1000</f>
        <v>10.1</v>
      </c>
      <c r="F11" s="295">
        <f>(C11*1000 - Assumptions!$F$62 + Assumptions!$F$63)/Assumptions!$F$55</f>
        <v>26.317073170731707</v>
      </c>
      <c r="G11" s="296">
        <f>(D11*1000 - Assumptions!$F$62 + Assumptions!$F$63)/Assumptions!$F$55</f>
        <v>26.317073170731707</v>
      </c>
      <c r="H11" s="295">
        <f>(E11*1000 - Assumptions!$F$62 + Assumptions!$F$63)/Assumptions!$F$55</f>
        <v>26.317073170731707</v>
      </c>
      <c r="I11" s="316">
        <v>0.1</v>
      </c>
      <c r="J11" s="319">
        <f>D11*I11</f>
        <v>1.01</v>
      </c>
      <c r="K11" s="322" t="s">
        <v>1286</v>
      </c>
    </row>
    <row r="12" spans="1:11" ht="28" thickBot="1" x14ac:dyDescent="0.25">
      <c r="A12" s="302" t="s">
        <v>1287</v>
      </c>
      <c r="B12" s="303" t="s">
        <v>1288</v>
      </c>
      <c r="C12" s="312">
        <f>Assumptions!E95/1000</f>
        <v>11.882352941176471</v>
      </c>
      <c r="D12" s="313">
        <f>Assumptions!D95/1000</f>
        <v>12.625</v>
      </c>
      <c r="E12" s="312">
        <f>Assumptions!C95/1000</f>
        <v>13.466666666666667</v>
      </c>
      <c r="F12" s="304">
        <f>(C12*1000 - Assumptions!$F$62 + Assumptions!$F$63)/Assumptions!$F$55</f>
        <v>30.664275466284074</v>
      </c>
      <c r="G12" s="305">
        <f>(D12*1000 - Assumptions!$F$62 + Assumptions!$F$63)/Assumptions!$F$55</f>
        <v>32.475609756097562</v>
      </c>
      <c r="H12" s="304">
        <f>(E12*1000 - Assumptions!$F$62 + Assumptions!$F$63)/Assumptions!$F$55</f>
        <v>34.528455284552841</v>
      </c>
      <c r="I12" s="317">
        <v>0.15</v>
      </c>
      <c r="J12" s="320">
        <f>D12*I12</f>
        <v>1.8937499999999998</v>
      </c>
      <c r="K12" s="324" t="s">
        <v>1289</v>
      </c>
    </row>
    <row r="13" spans="1:11" ht="16" thickBot="1" x14ac:dyDescent="0.25">
      <c r="K13" s="283"/>
    </row>
    <row r="14" spans="1:11" x14ac:dyDescent="0.2">
      <c r="A14" s="328" t="s">
        <v>1290</v>
      </c>
      <c r="B14" s="329"/>
      <c r="C14" s="329"/>
      <c r="D14" s="329"/>
      <c r="E14" s="329"/>
      <c r="F14" s="329"/>
      <c r="G14" s="329"/>
      <c r="H14" s="329"/>
      <c r="I14" s="330">
        <f>I6+I8+I11+I12</f>
        <v>1</v>
      </c>
      <c r="J14" s="331"/>
      <c r="K14" s="332"/>
    </row>
    <row r="15" spans="1:11" ht="16" thickBot="1" x14ac:dyDescent="0.25">
      <c r="K15" s="283"/>
    </row>
    <row r="16" spans="1:11" ht="16" x14ac:dyDescent="0.2">
      <c r="A16" s="336" t="s">
        <v>42</v>
      </c>
      <c r="B16" s="333"/>
      <c r="C16" s="333"/>
      <c r="D16" s="343">
        <f>J6+J8+J11+J12</f>
        <v>7.1364712894945734</v>
      </c>
      <c r="E16" s="333"/>
      <c r="F16" s="333"/>
      <c r="G16" s="334">
        <f>(D16*1000 - Assumptions!$F$62 + Assumptions!$F$63)/Assumptions!$F$55</f>
        <v>19.088954364620911</v>
      </c>
      <c r="H16" s="333"/>
      <c r="I16" s="333"/>
      <c r="J16" s="333"/>
      <c r="K16" s="338" t="s">
        <v>1291</v>
      </c>
    </row>
    <row r="17" spans="1:11" x14ac:dyDescent="0.2">
      <c r="A17" s="337" t="s">
        <v>38</v>
      </c>
      <c r="B17" s="90"/>
      <c r="C17" s="90"/>
      <c r="D17" s="344">
        <f>DCF!C52/1000</f>
        <v>10.1</v>
      </c>
      <c r="E17" s="90"/>
      <c r="F17" s="90"/>
      <c r="G17" s="335">
        <f>(D17*1000 - Assumptions!$F$62 + Assumptions!$F$63)/Assumptions!$F$55</f>
        <v>26.317073170731707</v>
      </c>
      <c r="H17" s="90"/>
      <c r="I17" s="90"/>
      <c r="J17" s="90"/>
      <c r="K17" s="339"/>
    </row>
    <row r="18" spans="1:11" ht="16" thickBot="1" x14ac:dyDescent="0.25">
      <c r="A18" s="340" t="s">
        <v>1292</v>
      </c>
      <c r="B18" s="341"/>
      <c r="C18" s="341"/>
      <c r="D18" s="345">
        <f>D16/D17 - 1</f>
        <v>-0.29341868420845807</v>
      </c>
      <c r="E18" s="341"/>
      <c r="F18" s="341"/>
      <c r="G18" s="345">
        <f>G16/G17 - 1</f>
        <v>-0.27465511682163357</v>
      </c>
      <c r="H18" s="341"/>
      <c r="I18" s="341"/>
      <c r="J18" s="341"/>
      <c r="K18" s="342" t="s">
        <v>1293</v>
      </c>
    </row>
    <row r="19" spans="1:11" x14ac:dyDescent="0.2">
      <c r="K19" s="283"/>
    </row>
    <row r="20" spans="1:11" x14ac:dyDescent="0.2">
      <c r="A20" s="933" t="s">
        <v>1294</v>
      </c>
      <c r="B20" s="1021"/>
      <c r="C20" s="1021"/>
      <c r="D20" s="1021"/>
      <c r="E20" s="1021"/>
      <c r="F20" s="1021"/>
      <c r="G20" s="1021"/>
      <c r="H20" s="1021"/>
      <c r="I20" s="1021"/>
      <c r="J20" s="1021"/>
      <c r="K20" s="1021"/>
    </row>
    <row r="21" spans="1:11" x14ac:dyDescent="0.2">
      <c r="A21" s="355" t="s">
        <v>1295</v>
      </c>
      <c r="B21" s="346" t="str">
        <f>INDEX($A$6:$A$12, MATCH(MIN(D6,D8,D11,D12), D6:D12, 0))</f>
        <v>2. Public Comps (three-thesis bracketing)</v>
      </c>
      <c r="C21" s="327"/>
      <c r="D21" s="347">
        <f>MIN(D6,D8,D11,D12)</f>
        <v>3.5778329999999996</v>
      </c>
      <c r="E21" s="327"/>
      <c r="F21" s="327"/>
      <c r="G21" s="348">
        <f>(D21*1000 - Assumptions!$F$62 + Assumptions!$F$63)/Assumptions!$F$55</f>
        <v>10.409348780487804</v>
      </c>
      <c r="H21" s="327"/>
      <c r="I21" s="327"/>
      <c r="J21" s="327"/>
      <c r="K21" s="357"/>
    </row>
    <row r="22" spans="1:11" x14ac:dyDescent="0.2">
      <c r="A22" s="356" t="s">
        <v>1296</v>
      </c>
      <c r="B22" s="349" t="str">
        <f>INDEX($A$6:$A$12, MATCH(MAX(D6,D8,D11,D12), D6:D12, 0))</f>
        <v>5. Implied IPO Trading Range</v>
      </c>
      <c r="D22" s="350">
        <f>MAX(D6,D8,D11,D12)</f>
        <v>12.625</v>
      </c>
      <c r="G22" s="351">
        <f>(D22*1000 - Assumptions!$F$62 + Assumptions!$F$63)/Assumptions!$F$55</f>
        <v>32.475609756097562</v>
      </c>
      <c r="K22" s="358"/>
    </row>
    <row r="23" spans="1:11" x14ac:dyDescent="0.2">
      <c r="A23" s="222" t="s">
        <v>1297</v>
      </c>
      <c r="B23" s="352"/>
      <c r="C23" s="352"/>
      <c r="D23" s="353">
        <f>D22-D21</f>
        <v>9.047167</v>
      </c>
      <c r="E23" s="352"/>
      <c r="F23" s="352"/>
      <c r="G23" s="354">
        <f>G22-G21</f>
        <v>22.066260975609758</v>
      </c>
      <c r="H23" s="352"/>
      <c r="I23" s="352"/>
      <c r="J23" s="352"/>
      <c r="K23" s="359"/>
    </row>
    <row r="25" spans="1:11" x14ac:dyDescent="0.2">
      <c r="A25" s="933" t="s">
        <v>1298</v>
      </c>
      <c r="B25" s="984"/>
      <c r="C25" s="984"/>
      <c r="D25" s="984"/>
      <c r="E25" s="984"/>
      <c r="F25" s="984"/>
      <c r="G25" s="984"/>
      <c r="H25" s="984"/>
      <c r="I25" s="984"/>
      <c r="J25" s="984"/>
      <c r="K25" s="984"/>
    </row>
    <row r="26" spans="1:11" ht="100" customHeight="1" x14ac:dyDescent="0.2">
      <c r="A26" s="935" t="s">
        <v>1299</v>
      </c>
      <c r="B26" s="1022"/>
      <c r="C26" s="1022"/>
      <c r="D26" s="1022"/>
      <c r="E26" s="1022"/>
      <c r="F26" s="1022"/>
      <c r="G26" s="1022"/>
      <c r="H26" s="1022"/>
      <c r="I26" s="1022"/>
      <c r="J26" s="1022"/>
      <c r="K26" s="1022"/>
    </row>
    <row r="29" spans="1:11" x14ac:dyDescent="0.2">
      <c r="A29" s="949" t="s">
        <v>1300</v>
      </c>
      <c r="B29" s="1020"/>
      <c r="C29" s="1020"/>
      <c r="D29" s="1020"/>
      <c r="E29" s="1020"/>
    </row>
    <row r="30" spans="1:11" x14ac:dyDescent="0.2">
      <c r="A30" s="362" t="s">
        <v>1264</v>
      </c>
      <c r="B30" s="363" t="s">
        <v>1301</v>
      </c>
      <c r="C30" s="363" t="s">
        <v>1302</v>
      </c>
      <c r="D30" s="363" t="s">
        <v>1303</v>
      </c>
      <c r="E30" s="363" t="s">
        <v>1304</v>
      </c>
    </row>
    <row r="31" spans="1:11" x14ac:dyDescent="0.2">
      <c r="A31" s="361" t="s">
        <v>1305</v>
      </c>
      <c r="B31" s="364">
        <f>C6</f>
        <v>4.5972973345902624</v>
      </c>
      <c r="C31" s="364">
        <f>E6-C6</f>
        <v>6.2756546673600404</v>
      </c>
      <c r="D31" s="364">
        <f>D6</f>
        <v>7.4511993487364343</v>
      </c>
      <c r="E31" s="364">
        <f>$D$17</f>
        <v>10.1</v>
      </c>
    </row>
    <row r="32" spans="1:11" x14ac:dyDescent="0.2">
      <c r="A32" s="361" t="s">
        <v>1306</v>
      </c>
      <c r="B32" s="364">
        <f>C7</f>
        <v>4.7614531782173097</v>
      </c>
      <c r="C32" s="364">
        <f>E7-C7</f>
        <v>8.7206224370977559</v>
      </c>
      <c r="D32" s="364">
        <f>D7</f>
        <v>8.3912861230964673</v>
      </c>
      <c r="E32" s="364">
        <f>$D$17</f>
        <v>10.1</v>
      </c>
    </row>
    <row r="33" spans="1:5" x14ac:dyDescent="0.2">
      <c r="A33" s="361" t="s">
        <v>1307</v>
      </c>
      <c r="B33" s="364">
        <f>C8</f>
        <v>1.177</v>
      </c>
      <c r="C33" s="364">
        <f>E8-C8</f>
        <v>6.3717500000000005</v>
      </c>
      <c r="D33" s="364">
        <f>D8</f>
        <v>3.5778329999999996</v>
      </c>
      <c r="E33" s="364">
        <f>$D$17</f>
        <v>10.1</v>
      </c>
    </row>
    <row r="34" spans="1:5" x14ac:dyDescent="0.2">
      <c r="A34" s="361" t="s">
        <v>1284</v>
      </c>
      <c r="B34" s="364">
        <f>C11</f>
        <v>10.1</v>
      </c>
      <c r="C34" s="364">
        <v>1E-3</v>
      </c>
      <c r="D34" s="364">
        <f>D11</f>
        <v>10.1</v>
      </c>
      <c r="E34" s="364">
        <f>$D$17</f>
        <v>10.1</v>
      </c>
    </row>
    <row r="35" spans="1:5" x14ac:dyDescent="0.2">
      <c r="A35" s="361" t="s">
        <v>1308</v>
      </c>
      <c r="B35" s="364">
        <f>C12</f>
        <v>11.882352941176471</v>
      </c>
      <c r="C35" s="86">
        <f>E12-C12</f>
        <v>1.5843137254901958</v>
      </c>
      <c r="D35" s="364">
        <f>D12</f>
        <v>12.625</v>
      </c>
      <c r="E35" s="364">
        <f>$D$17</f>
        <v>10.1</v>
      </c>
    </row>
    <row r="36" spans="1:5" x14ac:dyDescent="0.2">
      <c r="A36" t="s">
        <v>1309</v>
      </c>
      <c r="B36" s="41">
        <f>C12</f>
        <v>11.882352941176471</v>
      </c>
      <c r="C36" s="41">
        <f>E12-C12</f>
        <v>1.5843137254901958</v>
      </c>
      <c r="D36" s="41">
        <f>D12</f>
        <v>12.625</v>
      </c>
      <c r="E36" s="41">
        <v>10.1</v>
      </c>
    </row>
    <row r="37" spans="1:5" x14ac:dyDescent="0.2">
      <c r="A37" t="s">
        <v>1310</v>
      </c>
      <c r="B37" s="41">
        <f>D16</f>
        <v>7.1364712894945734</v>
      </c>
      <c r="C37" s="78">
        <v>1E-3</v>
      </c>
      <c r="D37" s="41">
        <f>D16</f>
        <v>7.1364712894945734</v>
      </c>
      <c r="E37" s="41">
        <v>10.1</v>
      </c>
    </row>
  </sheetData>
  <mergeCells count="6">
    <mergeCell ref="A29:E29"/>
    <mergeCell ref="A1:K1"/>
    <mergeCell ref="A2:K2"/>
    <mergeCell ref="A20:K20"/>
    <mergeCell ref="A25:K25"/>
    <mergeCell ref="A26:K26"/>
  </mergeCells>
  <pageMargins left="0.75" right="0.75" top="1" bottom="1" header="0.5" footer="0.5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L20"/>
  <sheetViews>
    <sheetView showGridLines="0" workbookViewId="0">
      <selection activeCell="E16" sqref="E16"/>
    </sheetView>
  </sheetViews>
  <sheetFormatPr baseColWidth="10" defaultColWidth="8.83203125" defaultRowHeight="15" x14ac:dyDescent="0.2"/>
  <cols>
    <col min="1" max="1" width="46.6640625" customWidth="1"/>
    <col min="2" max="5" width="16.6640625" customWidth="1"/>
    <col min="6" max="6" width="10" bestFit="1" customWidth="1"/>
  </cols>
  <sheetData>
    <row r="1" spans="1:12" ht="28" customHeight="1" x14ac:dyDescent="0.2">
      <c r="A1" s="960" t="s">
        <v>1311</v>
      </c>
      <c r="B1" s="1024"/>
      <c r="C1" s="1024"/>
      <c r="D1" s="1024"/>
      <c r="E1" s="1024"/>
      <c r="F1" s="1024"/>
      <c r="G1" s="1024"/>
      <c r="H1" s="1024"/>
      <c r="I1" s="1024"/>
      <c r="J1" s="1024"/>
      <c r="K1" s="1024"/>
      <c r="L1" s="1024"/>
    </row>
    <row r="2" spans="1:12" x14ac:dyDescent="0.2">
      <c r="A2" s="1190" t="s">
        <v>1807</v>
      </c>
      <c r="B2" s="1023"/>
      <c r="C2" s="1023"/>
      <c r="D2" s="1023"/>
      <c r="E2" s="1023"/>
      <c r="F2" s="1023"/>
      <c r="G2" s="1023"/>
      <c r="H2" s="1023"/>
      <c r="I2" s="1023"/>
      <c r="J2" s="1023"/>
      <c r="K2" s="1023"/>
      <c r="L2" s="1023"/>
    </row>
    <row r="4" spans="1:12" x14ac:dyDescent="0.2">
      <c r="A4" s="1191" t="s">
        <v>1264</v>
      </c>
      <c r="B4" s="1192" t="s">
        <v>1808</v>
      </c>
      <c r="C4" s="1192" t="s">
        <v>1809</v>
      </c>
      <c r="D4" s="1192" t="s">
        <v>1810</v>
      </c>
      <c r="E4" s="1192" t="s">
        <v>1811</v>
      </c>
      <c r="F4" s="1193" t="s">
        <v>60</v>
      </c>
      <c r="G4" s="53"/>
      <c r="H4" s="53"/>
      <c r="I4" s="53"/>
      <c r="J4" s="53"/>
      <c r="K4" s="53"/>
      <c r="L4" s="53"/>
    </row>
    <row r="5" spans="1:12" ht="16" x14ac:dyDescent="0.2">
      <c r="A5" s="1194" t="s">
        <v>1812</v>
      </c>
      <c r="B5" s="1195">
        <f>DCF!C60</f>
        <v>2504.21</v>
      </c>
      <c r="C5" s="1195">
        <f>DCF!C61</f>
        <v>7336.16</v>
      </c>
      <c r="D5" s="1195">
        <f>DCF!C62</f>
        <v>19882</v>
      </c>
      <c r="E5" s="1196">
        <f>DCF!C63</f>
        <v>7961.86</v>
      </c>
      <c r="F5" s="818" t="s">
        <v>1813</v>
      </c>
    </row>
    <row r="6" spans="1:12" ht="16" x14ac:dyDescent="0.2">
      <c r="A6" s="1194" t="s">
        <v>1814</v>
      </c>
      <c r="B6" s="1195">
        <f>DCF!D60</f>
        <v>2657.5</v>
      </c>
      <c r="C6" s="1195">
        <f>DCF!D61</f>
        <v>8276.25</v>
      </c>
      <c r="D6" s="1195">
        <f>DCF!D62</f>
        <v>22596.33</v>
      </c>
      <c r="E6" s="1196">
        <f>DCF!D63</f>
        <v>8901.9500000000007</v>
      </c>
      <c r="F6" s="818" t="s">
        <v>1815</v>
      </c>
    </row>
    <row r="7" spans="1:12" ht="16" x14ac:dyDescent="0.2">
      <c r="A7" s="1194" t="s">
        <v>1816</v>
      </c>
      <c r="B7" s="1195">
        <f>Comps!D43</f>
        <v>1177</v>
      </c>
      <c r="C7" s="1195">
        <v>83.597700000000003</v>
      </c>
      <c r="D7" s="1195">
        <f>Comps!D56</f>
        <v>7548.75</v>
      </c>
      <c r="E7" s="1197" t="s">
        <v>542</v>
      </c>
      <c r="F7" s="818" t="s">
        <v>1817</v>
      </c>
    </row>
    <row r="8" spans="1:12" ht="16" x14ac:dyDescent="0.2">
      <c r="A8" s="1194" t="s">
        <v>20</v>
      </c>
      <c r="B8" s="1198" t="s">
        <v>542</v>
      </c>
      <c r="C8" s="1198" t="s">
        <v>542</v>
      </c>
      <c r="D8" s="1198" t="s">
        <v>542</v>
      </c>
      <c r="E8" s="1197" t="s">
        <v>542</v>
      </c>
      <c r="F8" s="818" t="s">
        <v>1818</v>
      </c>
    </row>
    <row r="9" spans="1:12" ht="16" x14ac:dyDescent="0.2">
      <c r="A9" s="1194" t="s">
        <v>1284</v>
      </c>
      <c r="B9" s="1195">
        <f>DCF!C52</f>
        <v>10100</v>
      </c>
      <c r="C9" s="1195">
        <f>DCF!C52</f>
        <v>10100</v>
      </c>
      <c r="D9" s="1195">
        <f>DCF!C52</f>
        <v>10100</v>
      </c>
      <c r="E9" s="1196">
        <f>DCF!C52</f>
        <v>10100</v>
      </c>
      <c r="F9" s="818" t="s">
        <v>1819</v>
      </c>
    </row>
    <row r="10" spans="1:12" ht="16" x14ac:dyDescent="0.2">
      <c r="A10" s="1194" t="s">
        <v>1287</v>
      </c>
      <c r="B10" s="1195">
        <f>Assumptions!E95</f>
        <v>11882.35294117647</v>
      </c>
      <c r="C10" s="1195">
        <f>Assumptions!D95</f>
        <v>12625</v>
      </c>
      <c r="D10" s="1195">
        <f>Assumptions!C95</f>
        <v>13466.666666666666</v>
      </c>
      <c r="E10" s="1197" t="s">
        <v>542</v>
      </c>
      <c r="F10" s="818" t="s">
        <v>1820</v>
      </c>
    </row>
    <row r="12" spans="1:12" ht="20" customHeight="1" x14ac:dyDescent="0.2">
      <c r="A12" s="1199" t="s">
        <v>1821</v>
      </c>
      <c r="B12" s="979"/>
      <c r="C12" s="979"/>
      <c r="D12" s="979"/>
      <c r="E12" s="979"/>
      <c r="F12" s="51"/>
      <c r="G12" s="51"/>
      <c r="H12" s="51"/>
      <c r="I12" s="51"/>
      <c r="J12" s="51"/>
      <c r="K12" s="51"/>
      <c r="L12" s="51"/>
    </row>
    <row r="13" spans="1:12" ht="75" x14ac:dyDescent="0.2">
      <c r="A13" s="1219" t="s">
        <v>1822</v>
      </c>
      <c r="B13" s="446" t="s">
        <v>1313</v>
      </c>
      <c r="C13" s="446" t="s">
        <v>1314</v>
      </c>
      <c r="D13" s="446" t="s">
        <v>1315</v>
      </c>
      <c r="E13" s="446" t="s">
        <v>1316</v>
      </c>
      <c r="F13" s="53"/>
      <c r="G13" s="53"/>
      <c r="H13" s="53"/>
      <c r="I13" s="53"/>
      <c r="J13" s="53"/>
      <c r="K13" s="53"/>
      <c r="L13" s="53"/>
    </row>
    <row r="14" spans="1:12" x14ac:dyDescent="0.2">
      <c r="A14" s="18" t="s">
        <v>1317</v>
      </c>
      <c r="B14" s="16">
        <v>0.35</v>
      </c>
      <c r="C14" s="16">
        <v>0.5</v>
      </c>
      <c r="D14" s="16">
        <v>0.15</v>
      </c>
      <c r="E14" s="26"/>
    </row>
    <row r="15" spans="1:12" ht="32" x14ac:dyDescent="0.2">
      <c r="A15" s="1200" t="s">
        <v>1312</v>
      </c>
      <c r="B15" s="1201" t="s">
        <v>1728</v>
      </c>
      <c r="C15" s="1201" t="s">
        <v>1729</v>
      </c>
      <c r="D15" s="1201" t="s">
        <v>1730</v>
      </c>
      <c r="E15" s="1216" t="s">
        <v>1823</v>
      </c>
      <c r="F15" s="1217" t="s">
        <v>1824</v>
      </c>
      <c r="G15" s="1217" t="s">
        <v>1825</v>
      </c>
      <c r="H15" s="1218" t="s">
        <v>1738</v>
      </c>
    </row>
    <row r="16" spans="1:12" ht="16" x14ac:dyDescent="0.2">
      <c r="A16" s="1194" t="s">
        <v>1826</v>
      </c>
      <c r="B16" s="1202">
        <v>0.35</v>
      </c>
      <c r="C16" s="1202">
        <v>0.5</v>
      </c>
      <c r="D16" s="1202">
        <v>0.15</v>
      </c>
      <c r="E16" s="1203">
        <f>B16*B5+C16*C5+D16*D5</f>
        <v>7526.8534999999993</v>
      </c>
      <c r="F16" s="1204">
        <v>7269.61</v>
      </c>
      <c r="G16" s="1205">
        <f>E16-F16</f>
        <v>257.24349999999959</v>
      </c>
      <c r="H16" s="1206">
        <f>E16/DCF!$C$52-1</f>
        <v>-0.25476698019801991</v>
      </c>
    </row>
    <row r="17" spans="1:8" x14ac:dyDescent="0.2">
      <c r="A17" s="90" t="s">
        <v>1827</v>
      </c>
      <c r="B17" s="1207">
        <f>Assumptions!C2</f>
        <v>0.2</v>
      </c>
      <c r="C17" s="1207">
        <f>Assumptions!E2</f>
        <v>0.5</v>
      </c>
      <c r="D17" s="1207">
        <f>Assumptions!G2</f>
        <v>0.3</v>
      </c>
      <c r="E17" s="1181">
        <f>B17*B5+C17*C5+D17*D5</f>
        <v>10133.521999999999</v>
      </c>
      <c r="F17" s="1181">
        <f>DCF!C63</f>
        <v>7961.86</v>
      </c>
      <c r="G17" s="1208">
        <f>E17-F17</f>
        <v>2171.6619999999994</v>
      </c>
      <c r="H17" s="1209">
        <f>E17/DCF!$C$52-1</f>
        <v>3.3190099009900997E-3</v>
      </c>
    </row>
    <row r="18" spans="1:8" x14ac:dyDescent="0.2">
      <c r="A18" s="1036" t="s">
        <v>1828</v>
      </c>
      <c r="B18" s="1155">
        <v>0.15</v>
      </c>
      <c r="C18" s="1155">
        <v>0.45</v>
      </c>
      <c r="D18" s="1155">
        <v>0.4</v>
      </c>
      <c r="E18" s="1180">
        <f>B18*B5+C18*C5+D18*D5</f>
        <v>11629.7035</v>
      </c>
      <c r="F18" s="1210">
        <v>8359.77</v>
      </c>
      <c r="G18" s="1205">
        <f>E18-F18</f>
        <v>3269.9334999999992</v>
      </c>
      <c r="H18" s="1206">
        <f>E18/DCF!$C$52-1</f>
        <v>0.1514557920792079</v>
      </c>
    </row>
    <row r="20" spans="1:8" x14ac:dyDescent="0.2">
      <c r="A20" s="1178" t="s">
        <v>1829</v>
      </c>
    </row>
  </sheetData>
  <mergeCells count="3">
    <mergeCell ref="A2:L2"/>
    <mergeCell ref="A12:E12"/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J88"/>
  <sheetViews>
    <sheetView showGridLines="0" workbookViewId="0">
      <selection activeCell="D88" sqref="D88"/>
    </sheetView>
  </sheetViews>
  <sheetFormatPr baseColWidth="10" defaultColWidth="8.83203125" defaultRowHeight="15" x14ac:dyDescent="0.2"/>
  <cols>
    <col min="1" max="1" width="15.83203125" customWidth="1"/>
    <col min="2" max="2" width="29.1640625" customWidth="1"/>
    <col min="3" max="9" width="17.5" customWidth="1"/>
  </cols>
  <sheetData>
    <row r="1" spans="1:8" ht="28" customHeight="1" x14ac:dyDescent="0.25">
      <c r="A1" s="997" t="s">
        <v>1318</v>
      </c>
      <c r="B1" s="998"/>
      <c r="C1" s="998"/>
      <c r="D1" s="998"/>
      <c r="E1" s="998"/>
      <c r="F1" s="998"/>
      <c r="G1" s="998"/>
      <c r="H1" s="998"/>
    </row>
    <row r="2" spans="1:8" ht="30" customHeight="1" x14ac:dyDescent="0.2">
      <c r="A2" s="999" t="s">
        <v>1319</v>
      </c>
      <c r="B2" s="1025"/>
      <c r="C2" s="1025"/>
      <c r="D2" s="1025"/>
      <c r="E2" s="1025"/>
      <c r="F2" s="1025"/>
      <c r="G2" s="1025"/>
      <c r="H2" s="1025"/>
    </row>
    <row r="4" spans="1:8" ht="22" customHeight="1" thickBot="1" x14ac:dyDescent="0.25">
      <c r="A4" s="1220" t="s">
        <v>1320</v>
      </c>
      <c r="B4" s="1021"/>
      <c r="C4" s="1021"/>
      <c r="D4" s="1021"/>
      <c r="E4" s="1021"/>
      <c r="F4" s="1021"/>
      <c r="G4" s="1021"/>
      <c r="H4" s="1021"/>
    </row>
    <row r="5" spans="1:8" x14ac:dyDescent="0.2">
      <c r="A5" s="1221" t="s">
        <v>1321</v>
      </c>
      <c r="B5" s="1223">
        <v>2</v>
      </c>
      <c r="C5" s="1223">
        <v>2.5</v>
      </c>
      <c r="D5" s="1223">
        <v>3</v>
      </c>
      <c r="E5" s="1224">
        <v>3.5</v>
      </c>
      <c r="F5" s="1223">
        <v>4</v>
      </c>
      <c r="G5" s="1223">
        <v>4.5</v>
      </c>
      <c r="H5" s="1225">
        <v>5</v>
      </c>
    </row>
    <row r="6" spans="1:8" x14ac:dyDescent="0.2">
      <c r="A6" s="427">
        <v>0.1009</v>
      </c>
      <c r="B6" s="428" cm="1">
        <f t="array" ref="B6">(SUMPRODUCT(DCF!$D$9:$K$9, 1/(1+$A6)^DCF!$D$13:$K$13) + DCF!$K$8*B$5/(1+$A6)^DCF!$K$13)/1000</f>
        <v>5.4876445614402254</v>
      </c>
      <c r="C6" s="428" cm="1">
        <f t="array" ref="C6">(SUMPRODUCT(DCF!$D$9:$K$9, 1/(1+$A6)^DCF!$D$13:$K$13) + DCF!$K$8*C$5/(1+$A6)^DCF!$K$13)/1000</f>
        <v>6.3851958015252386</v>
      </c>
      <c r="D6" s="428" cm="1">
        <f t="array" ref="D6">(SUMPRODUCT(DCF!$D$9:$K$9, 1/(1+$A6)^DCF!$D$13:$K$13) + DCF!$K$8*D$5/(1+$A6)^DCF!$K$13)/1000</f>
        <v>7.2827470416102518</v>
      </c>
      <c r="E6" s="428" cm="1">
        <f t="array" ref="E6">(SUMPRODUCT(DCF!$D$9:$K$9, 1/(1+$A6)^DCF!$D$13:$K$13) + DCF!$K$8*E$5/(1+$A6)^DCF!$K$13)/1000</f>
        <v>8.180298281695265</v>
      </c>
      <c r="F6" s="428" cm="1">
        <f t="array" ref="F6">(SUMPRODUCT(DCF!$D$9:$K$9, 1/(1+$A6)^DCF!$D$13:$K$13) + DCF!$K$8*F$5/(1+$A6)^DCF!$K$13)/1000</f>
        <v>9.0778495217802782</v>
      </c>
      <c r="G6" s="428" cm="1">
        <f t="array" ref="G6">(SUMPRODUCT(DCF!$D$9:$K$9, 1/(1+$A6)^DCF!$D$13:$K$13) + DCF!$K$8*G$5/(1+$A6)^DCF!$K$13)/1000</f>
        <v>9.9754007618652878</v>
      </c>
      <c r="H6" s="429" cm="1">
        <f t="array" ref="H6">(SUMPRODUCT(DCF!$D$9:$K$9, 1/(1+$A6)^DCF!$D$13:$K$13) + DCF!$K$8*H$5/(1+$A6)^DCF!$K$13)/1000</f>
        <v>10.872952001950303</v>
      </c>
    </row>
    <row r="7" spans="1:8" x14ac:dyDescent="0.2">
      <c r="A7" s="427">
        <v>0.10589999999999999</v>
      </c>
      <c r="B7" s="428" cm="1">
        <f t="array" ref="B7">(SUMPRODUCT(DCF!$D$9:$K$9, 1/(1+$A7)^DCF!$D$13:$K$13) + DCF!$K$8*B$5/(1+$A7)^DCF!$K$13)/1000</f>
        <v>5.3255248690280297</v>
      </c>
      <c r="C7" s="428" cm="1">
        <f t="array" ref="C7">(SUMPRODUCT(DCF!$D$9:$K$9, 1/(1+$A7)^DCF!$D$13:$K$13) + DCF!$K$8*C$5/(1+$A7)^DCF!$K$13)/1000</f>
        <v>6.1930845367681338</v>
      </c>
      <c r="D7" s="428" cm="1">
        <f t="array" ref="D7">(SUMPRODUCT(DCF!$D$9:$K$9, 1/(1+$A7)^DCF!$D$13:$K$13) + DCF!$K$8*D$5/(1+$A7)^DCF!$K$13)/1000</f>
        <v>7.0606442045082387</v>
      </c>
      <c r="E7" s="428" cm="1">
        <f t="array" ref="E7">(SUMPRODUCT(DCF!$D$9:$K$9, 1/(1+$A7)^DCF!$D$13:$K$13) + DCF!$K$8*E$5/(1+$A7)^DCF!$K$13)/1000</f>
        <v>7.9282038722483446</v>
      </c>
      <c r="F7" s="428" cm="1">
        <f t="array" ref="F7">(SUMPRODUCT(DCF!$D$9:$K$9, 1/(1+$A7)^DCF!$D$13:$K$13) + DCF!$K$8*F$5/(1+$A7)^DCF!$K$13)/1000</f>
        <v>8.7957635399884495</v>
      </c>
      <c r="G7" s="428" cm="1">
        <f t="array" ref="G7">(SUMPRODUCT(DCF!$D$9:$K$9, 1/(1+$A7)^DCF!$D$13:$K$13) + DCF!$K$8*G$5/(1+$A7)^DCF!$K$13)/1000</f>
        <v>9.6633232077285545</v>
      </c>
      <c r="H7" s="429" cm="1">
        <f t="array" ref="H7">(SUMPRODUCT(DCF!$D$9:$K$9, 1/(1+$A7)^DCF!$D$13:$K$13) + DCF!$K$8*H$5/(1+$A7)^DCF!$K$13)/1000</f>
        <v>10.530882875468658</v>
      </c>
    </row>
    <row r="8" spans="1:8" x14ac:dyDescent="0.2">
      <c r="A8" s="427">
        <v>0.1109</v>
      </c>
      <c r="B8" s="428" cm="1">
        <f t="array" ref="B8">(SUMPRODUCT(DCF!$D$9:$K$9, 1/(1+$A8)^DCF!$D$13:$K$13) + DCF!$K$8*B$5/(1+$A8)^DCF!$K$13)/1000</f>
        <v>5.1692004038129449</v>
      </c>
      <c r="C8" s="428" cm="1">
        <f t="array" ref="C8">(SUMPRODUCT(DCF!$D$9:$K$9, 1/(1+$A8)^DCF!$D$13:$K$13) + DCF!$K$8*C$5/(1+$A8)^DCF!$K$13)/1000</f>
        <v>6.0078992362797967</v>
      </c>
      <c r="D8" s="428" cm="1">
        <f t="array" ref="D8">(SUMPRODUCT(DCF!$D$9:$K$9, 1/(1+$A8)^DCF!$D$13:$K$13) + DCF!$K$8*D$5/(1+$A8)^DCF!$K$13)/1000</f>
        <v>6.8465980687466477</v>
      </c>
      <c r="E8" s="428" cm="1">
        <f t="array" ref="E8">(SUMPRODUCT(DCF!$D$9:$K$9, 1/(1+$A8)^DCF!$D$13:$K$13) + DCF!$K$8*E$5/(1+$A8)^DCF!$K$13)/1000</f>
        <v>7.6852969012134986</v>
      </c>
      <c r="F8" s="428" cm="1">
        <f t="array" ref="F8">(SUMPRODUCT(DCF!$D$9:$K$9, 1/(1+$A8)^DCF!$D$13:$K$13) + DCF!$K$8*F$5/(1+$A8)^DCF!$K$13)/1000</f>
        <v>8.5239957336803496</v>
      </c>
      <c r="G8" s="428" cm="1">
        <f t="array" ref="G8">(SUMPRODUCT(DCF!$D$9:$K$9, 1/(1+$A8)^DCF!$D$13:$K$13) + DCF!$K$8*G$5/(1+$A8)^DCF!$K$13)/1000</f>
        <v>9.3626945661471996</v>
      </c>
      <c r="H8" s="429" cm="1">
        <f t="array" ref="H8">(SUMPRODUCT(DCF!$D$9:$K$9, 1/(1+$A8)^DCF!$D$13:$K$13) + DCF!$K$8*H$5/(1+$A8)^DCF!$K$13)/1000</f>
        <v>10.201393398614051</v>
      </c>
    </row>
    <row r="9" spans="1:8" x14ac:dyDescent="0.2">
      <c r="A9" s="1222">
        <v>0.1159</v>
      </c>
      <c r="B9" s="428" cm="1">
        <f t="array" ref="B9">(SUMPRODUCT(DCF!$D$9:$K$9, 1/(1+$A9)^DCF!$D$13:$K$13) + DCF!$K$8*B$5/(1+$A9)^DCF!$K$13)/1000</f>
        <v>5.0184354519754564</v>
      </c>
      <c r="C9" s="428" cm="1">
        <f t="array" ref="C9">(SUMPRODUCT(DCF!$D$9:$K$9, 1/(1+$A9)^DCF!$D$13:$K$13) + DCF!$K$8*C$5/(1+$A9)^DCF!$K$13)/1000</f>
        <v>5.8293567508957818</v>
      </c>
      <c r="D9" s="428" cm="1">
        <f t="array" ref="D9">(SUMPRODUCT(DCF!$D$9:$K$9, 1/(1+$A9)^DCF!$D$13:$K$13) + DCF!$K$8*D$5/(1+$A9)^DCF!$K$13)/1000</f>
        <v>6.640278049816108</v>
      </c>
      <c r="E9" s="430" cm="1">
        <f t="array" ref="E9">(SUMPRODUCT(DCF!$D$9:$K$9, 1/(1+$A9)^DCF!$D$13:$K$13) + DCF!$K$8*E$5/(1+$A9)^DCF!$K$13)/1000</f>
        <v>7.4511993487364343</v>
      </c>
      <c r="F9" s="428" cm="1">
        <f t="array" ref="F9">(SUMPRODUCT(DCF!$D$9:$K$9, 1/(1+$A9)^DCF!$D$13:$K$13) + DCF!$K$8*F$5/(1+$A9)^DCF!$K$13)/1000</f>
        <v>8.2621206476567615</v>
      </c>
      <c r="G9" s="428" cm="1">
        <f t="array" ref="G9">(SUMPRODUCT(DCF!$D$9:$K$9, 1/(1+$A9)^DCF!$D$13:$K$13) + DCF!$K$8*G$5/(1+$A9)^DCF!$K$13)/1000</f>
        <v>9.0730419465770886</v>
      </c>
      <c r="H9" s="429" cm="1">
        <f t="array" ref="H9">(SUMPRODUCT(DCF!$D$9:$K$9, 1/(1+$A9)^DCF!$D$13:$K$13) + DCF!$K$8*H$5/(1+$A9)^DCF!$K$13)/1000</f>
        <v>9.883963245497414</v>
      </c>
    </row>
    <row r="10" spans="1:8" x14ac:dyDescent="0.2">
      <c r="A10" s="427">
        <v>0.12089999999999999</v>
      </c>
      <c r="B10" s="428" cm="1">
        <f t="array" ref="B10">(SUMPRODUCT(DCF!$D$9:$K$9, 1/(1+$A10)^DCF!$D$13:$K$13) + DCF!$K$8*B$5/(1+$A10)^DCF!$K$13)/1000</f>
        <v>4.8730049625070695</v>
      </c>
      <c r="C10" s="428" cm="1">
        <f t="array" ref="C10">(SUMPRODUCT(DCF!$D$9:$K$9, 1/(1+$A10)^DCF!$D$13:$K$13) + DCF!$K$8*C$5/(1+$A10)^DCF!$K$13)/1000</f>
        <v>5.6571867839901877</v>
      </c>
      <c r="D10" s="428" cm="1">
        <f t="array" ref="D10">(SUMPRODUCT(DCF!$D$9:$K$9, 1/(1+$A10)^DCF!$D$13:$K$13) + DCF!$K$8*D$5/(1+$A10)^DCF!$K$13)/1000</f>
        <v>6.4413686054733041</v>
      </c>
      <c r="E10" s="428" cm="1">
        <f t="array" ref="E10">(SUMPRODUCT(DCF!$D$9:$K$9, 1/(1+$A10)^DCF!$D$13:$K$13) + DCF!$K$8*E$5/(1+$A10)^DCF!$K$13)/1000</f>
        <v>7.2255504269564224</v>
      </c>
      <c r="F10" s="428" cm="1">
        <f t="array" ref="F10">(SUMPRODUCT(DCF!$D$9:$K$9, 1/(1+$A10)^DCF!$D$13:$K$13) + DCF!$K$8*F$5/(1+$A10)^DCF!$K$13)/1000</f>
        <v>8.0097322484395388</v>
      </c>
      <c r="G10" s="428" cm="1">
        <f t="array" ref="G10">(SUMPRODUCT(DCF!$D$9:$K$9, 1/(1+$A10)^DCF!$D$13:$K$13) + DCF!$K$8*G$5/(1+$A10)^DCF!$K$13)/1000</f>
        <v>8.793914069922657</v>
      </c>
      <c r="H10" s="429" cm="1">
        <f t="array" ref="H10">(SUMPRODUCT(DCF!$D$9:$K$9, 1/(1+$A10)^DCF!$D$13:$K$13) + DCF!$K$8*H$5/(1+$A10)^DCF!$K$13)/1000</f>
        <v>9.5780958914057734</v>
      </c>
    </row>
    <row r="11" spans="1:8" x14ac:dyDescent="0.2">
      <c r="A11" s="427">
        <v>0.12590000000000001</v>
      </c>
      <c r="B11" s="428" cm="1">
        <f t="array" ref="B11">(SUMPRODUCT(DCF!$D$9:$K$9, 1/(1+$A11)^DCF!$D$13:$K$13) + DCF!$K$8*B$5/(1+$A11)^DCF!$K$13)/1000</f>
        <v>4.7326940181059616</v>
      </c>
      <c r="C11" s="428" cm="1">
        <f t="array" ref="C11">(SUMPRODUCT(DCF!$D$9:$K$9, 1/(1+$A11)^DCF!$D$13:$K$13) + DCF!$K$8*C$5/(1+$A11)^DCF!$K$13)/1000</f>
        <v>5.4911312521470794</v>
      </c>
      <c r="D11" s="428" cm="1">
        <f t="array" ref="D11">(SUMPRODUCT(DCF!$D$9:$K$9, 1/(1+$A11)^DCF!$D$13:$K$13) + DCF!$K$8*D$5/(1+$A11)^DCF!$K$13)/1000</f>
        <v>6.2495684861881964</v>
      </c>
      <c r="E11" s="428" cm="1">
        <f t="array" ref="E11">(SUMPRODUCT(DCF!$D$9:$K$9, 1/(1+$A11)^DCF!$D$13:$K$13) + DCF!$K$8*E$5/(1+$A11)^DCF!$K$13)/1000</f>
        <v>7.0080057202293133</v>
      </c>
      <c r="F11" s="428" cm="1">
        <f t="array" ref="F11">(SUMPRODUCT(DCF!$D$9:$K$9, 1/(1+$A11)^DCF!$D$13:$K$13) + DCF!$K$8*F$5/(1+$A11)^DCF!$K$13)/1000</f>
        <v>7.7664429542704312</v>
      </c>
      <c r="G11" s="428" cm="1">
        <f t="array" ref="G11">(SUMPRODUCT(DCF!$D$9:$K$9, 1/(1+$A11)^DCF!$D$13:$K$13) + DCF!$K$8*G$5/(1+$A11)^DCF!$K$13)/1000</f>
        <v>8.524880188311549</v>
      </c>
      <c r="H11" s="429" cm="1">
        <f t="array" ref="H11">(SUMPRODUCT(DCF!$D$9:$K$9, 1/(1+$A11)^DCF!$D$13:$K$13) + DCF!$K$8*H$5/(1+$A11)^DCF!$K$13)/1000</f>
        <v>9.2833174223526669</v>
      </c>
    </row>
    <row r="12" spans="1:8" x14ac:dyDescent="0.2">
      <c r="A12" s="431">
        <v>0.13089999999999999</v>
      </c>
      <c r="B12" s="432" cm="1">
        <f t="array" ref="B12">(SUMPRODUCT(DCF!$D$9:$K$9, 1/(1+$A12)^DCF!$D$13:$K$13) + DCF!$K$8*B$5/(1+$A12)^DCF!$K$13)/1000</f>
        <v>4.5972973345902624</v>
      </c>
      <c r="C12" s="432" cm="1">
        <f t="array" ref="C12">(SUMPRODUCT(DCF!$D$9:$K$9, 1/(1+$A12)^DCF!$D$13:$K$13) + DCF!$K$8*C$5/(1+$A12)^DCF!$K$13)/1000</f>
        <v>5.3309436803540589</v>
      </c>
      <c r="D12" s="432" cm="1">
        <f t="array" ref="D12">(SUMPRODUCT(DCF!$D$9:$K$9, 1/(1+$A12)^DCF!$D$13:$K$13) + DCF!$K$8*D$5/(1+$A12)^DCF!$K$13)/1000</f>
        <v>6.0645900261178545</v>
      </c>
      <c r="E12" s="432" cm="1">
        <f t="array" ref="E12">(SUMPRODUCT(DCF!$D$9:$K$9, 1/(1+$A12)^DCF!$D$13:$K$13) + DCF!$K$8*E$5/(1+$A12)^DCF!$K$13)/1000</f>
        <v>6.7982363718816501</v>
      </c>
      <c r="F12" s="432" cm="1">
        <f t="array" ref="F12">(SUMPRODUCT(DCF!$D$9:$K$9, 1/(1+$A12)^DCF!$D$13:$K$13) + DCF!$K$8*F$5/(1+$A12)^DCF!$K$13)/1000</f>
        <v>7.5318827176454466</v>
      </c>
      <c r="G12" s="432" cm="1">
        <f t="array" ref="G12">(SUMPRODUCT(DCF!$D$9:$K$9, 1/(1+$A12)^DCF!$D$13:$K$13) + DCF!$K$8*G$5/(1+$A12)^DCF!$K$13)/1000</f>
        <v>8.2655290634092413</v>
      </c>
      <c r="H12" s="433" cm="1">
        <f t="array" ref="H12">(SUMPRODUCT(DCF!$D$9:$K$9, 1/(1+$A12)^DCF!$D$13:$K$13) + DCF!$K$8*H$5/(1+$A12)^DCF!$K$13)/1000</f>
        <v>8.9991754091730396</v>
      </c>
    </row>
    <row r="15" spans="1:8" ht="22" customHeight="1" thickBot="1" x14ac:dyDescent="0.25">
      <c r="A15" s="1220" t="s">
        <v>1322</v>
      </c>
      <c r="B15" s="1021"/>
      <c r="C15" s="1021"/>
      <c r="D15" s="1021"/>
      <c r="E15" s="1021"/>
      <c r="F15" s="1021"/>
      <c r="G15" s="1021"/>
      <c r="H15" s="1021"/>
    </row>
    <row r="16" spans="1:8" x14ac:dyDescent="0.2">
      <c r="A16" s="1221" t="s">
        <v>1323</v>
      </c>
      <c r="B16" s="1226">
        <v>1.4999999999999999E-2</v>
      </c>
      <c r="C16" s="1226">
        <v>0.02</v>
      </c>
      <c r="D16" s="1226">
        <v>2.5000000000000001E-2</v>
      </c>
      <c r="E16" s="1227">
        <v>0.03</v>
      </c>
      <c r="F16" s="1226">
        <v>3.5000000000000003E-2</v>
      </c>
      <c r="G16" s="1226">
        <v>0.04</v>
      </c>
      <c r="H16" s="1228">
        <v>4.4999999999999998E-2</v>
      </c>
    </row>
    <row r="17" spans="1:8" x14ac:dyDescent="0.2">
      <c r="A17" s="427">
        <v>0.1009</v>
      </c>
      <c r="B17" s="428" cm="1">
        <f t="array" ref="B17">(SUMPRODUCT(DCF!$D$9:$K$9, 1/(1+$A17)^DCF!$D$13:$K$13) + DCF!$K$9*(1+B$16)/($A17-B$16)/(1+$A17)^DCF!$K$13)/1000</f>
        <v>6.2647371536178831</v>
      </c>
      <c r="C17" s="428" cm="1">
        <f t="array" ref="C17">(SUMPRODUCT(DCF!$D$9:$K$9, 1/(1+$A17)^DCF!$D$13:$K$13) + DCF!$K$9*(1+C$16)/($A17-C$16)/(1+$A17)^DCF!$K$13)/1000</f>
        <v>6.5575000900148677</v>
      </c>
      <c r="D17" s="428" cm="1">
        <f t="array" ref="D17">(SUMPRODUCT(DCF!$D$9:$K$9, 1/(1+$A17)^DCF!$D$13:$K$13) + DCF!$K$9*(1+D$16)/($A17-D$16)/(1+$A17)^DCF!$K$13)/1000</f>
        <v>6.8888352182955117</v>
      </c>
      <c r="E17" s="428" cm="1">
        <f t="array" ref="E17">(SUMPRODUCT(DCF!$D$9:$K$9, 1/(1+$A17)^DCF!$D$13:$K$13) + DCF!$K$9*(1+E$16)/($A17-E$16)/(1+$A17)^DCF!$K$13)/1000</f>
        <v>7.2669030868131994</v>
      </c>
      <c r="F17" s="428" cm="1">
        <f t="array" ref="F17">(SUMPRODUCT(DCF!$D$9:$K$9, 1/(1+$A17)^DCF!$D$13:$K$13) + DCF!$K$9*(1+F$16)/($A17-F$16)/(1+$A17)^DCF!$K$13)/1000</f>
        <v>7.7023408898555754</v>
      </c>
      <c r="G17" s="428" cm="1">
        <f t="array" ref="G17">(SUMPRODUCT(DCF!$D$9:$K$9, 1/(1+$A17)^DCF!$D$13:$K$13) + DCF!$K$9*(1+G$16)/($A17-G$16)/(1+$A17)^DCF!$K$13)/1000</f>
        <v>8.2092791531676355</v>
      </c>
      <c r="H17" s="429" cm="1">
        <f t="array" ref="H17">(SUMPRODUCT(DCF!$D$9:$K$9, 1/(1+$A17)^DCF!$D$13:$K$13) + DCF!$K$9*(1+H$16)/($A17-H$16)/(1+$A17)^DCF!$K$13)/1000</f>
        <v>8.8069040467680768</v>
      </c>
    </row>
    <row r="18" spans="1:8" x14ac:dyDescent="0.2">
      <c r="A18" s="427">
        <v>0.10589999999999999</v>
      </c>
      <c r="B18" s="428" cm="1">
        <f t="array" ref="B18">(SUMPRODUCT(DCF!$D$9:$K$9, 1/(1+$A18)^DCF!$D$13:$K$13) + DCF!$K$9*(1+B$16)/($A18-B$16)/(1+$A18)^DCF!$K$13)/1000</f>
        <v>5.8444527168642297</v>
      </c>
      <c r="C18" s="428" cm="1">
        <f t="array" ref="C18">(SUMPRODUCT(DCF!$D$9:$K$9, 1/(1+$A18)^DCF!$D$13:$K$13) + DCF!$K$9*(1+C$16)/($A18-C$16)/(1+$A18)^DCF!$K$13)/1000</f>
        <v>6.0974459013517022</v>
      </c>
      <c r="D18" s="428" cm="1">
        <f t="array" ref="D18">(SUMPRODUCT(DCF!$D$9:$K$9, 1/(1+$A18)^DCF!$D$13:$K$13) + DCF!$K$9*(1+D$16)/($A18-D$16)/(1+$A18)^DCF!$K$13)/1000</f>
        <v>6.3817114201392302</v>
      </c>
      <c r="E18" s="428" cm="1">
        <f t="array" ref="E18">(SUMPRODUCT(DCF!$D$9:$K$9, 1/(1+$A18)^DCF!$D$13:$K$13) + DCF!$K$9*(1+E$16)/($A18-E$16)/(1+$A18)^DCF!$K$13)/1000</f>
        <v>6.7034295764481762</v>
      </c>
      <c r="F18" s="428" cm="1">
        <f t="array" ref="F18">(SUMPRODUCT(DCF!$D$9:$K$9, 1/(1+$A18)^DCF!$D$13:$K$13) + DCF!$K$9*(1+F$16)/($A18-F$16)/(1+$A18)^DCF!$K$13)/1000</f>
        <v>7.0705240594579557</v>
      </c>
      <c r="G18" s="428" cm="1">
        <f t="array" ref="G18">(SUMPRODUCT(DCF!$D$9:$K$9, 1/(1+$A18)^DCF!$D$13:$K$13) + DCF!$K$9*(1+G$16)/($A18-G$16)/(1+$A18)^DCF!$K$13)/1000</f>
        <v>7.4933233198592077</v>
      </c>
      <c r="H18" s="429" cm="1">
        <f t="array" ref="H18">(SUMPRODUCT(DCF!$D$9:$K$9, 1/(1+$A18)^DCF!$D$13:$K$13) + DCF!$K$9*(1+H$16)/($A18-H$16)/(1+$A18)^DCF!$K$13)/1000</f>
        <v>7.985547746171993</v>
      </c>
    </row>
    <row r="19" spans="1:8" x14ac:dyDescent="0.2">
      <c r="A19" s="427">
        <v>0.1109</v>
      </c>
      <c r="B19" s="428" cm="1">
        <f t="array" ref="B19">(SUMPRODUCT(DCF!$D$9:$K$9, 1/(1+$A19)^DCF!$D$13:$K$13) + DCF!$K$9*(1+B$16)/($A19-B$16)/(1+$A19)^DCF!$K$13)/1000</f>
        <v>5.4697984968144793</v>
      </c>
      <c r="C19" s="428" cm="1">
        <f t="array" ref="C19">(SUMPRODUCT(DCF!$D$9:$K$9, 1/(1+$A19)^DCF!$D$13:$K$13) + DCF!$K$9*(1+C$16)/($A19-C$16)/(1+$A19)^DCF!$K$13)/1000</f>
        <v>5.6898625824748486</v>
      </c>
      <c r="D19" s="428" cm="1">
        <f t="array" ref="D19">(SUMPRODUCT(DCF!$D$9:$K$9, 1/(1+$A19)^DCF!$D$13:$K$13) + DCF!$K$9*(1+D$16)/($A19-D$16)/(1+$A19)^DCF!$K$13)/1000</f>
        <v>5.9355453044169844</v>
      </c>
      <c r="E19" s="428" cm="1">
        <f t="array" ref="E19">(SUMPRODUCT(DCF!$D$9:$K$9, 1/(1+$A19)^DCF!$D$13:$K$13) + DCF!$K$9*(1+E$16)/($A19-E$16)/(1+$A19)^DCF!$K$13)/1000</f>
        <v>6.2115967188117951</v>
      </c>
      <c r="F19" s="428" cm="1">
        <f t="array" ref="F19">(SUMPRODUCT(DCF!$D$9:$K$9, 1/(1+$A19)^DCF!$D$13:$K$13) + DCF!$K$9*(1+F$16)/($A19-F$16)/(1+$A19)^DCF!$K$13)/1000</f>
        <v>6.5240185435353011</v>
      </c>
      <c r="G19" s="428" cm="1">
        <f t="array" ref="G19">(SUMPRODUCT(DCF!$D$9:$K$9, 1/(1+$A19)^DCF!$D$13:$K$13) + DCF!$K$9*(1+G$16)/($A19-G$16)/(1+$A19)^DCF!$K$13)/1000</f>
        <v>6.8805055057374425</v>
      </c>
      <c r="H19" s="429" cm="1">
        <f t="array" ref="H19">(SUMPRODUCT(DCF!$D$9:$K$9, 1/(1+$A19)^DCF!$D$13:$K$13) + DCF!$K$9*(1+H$16)/($A19-H$16)/(1+$A19)^DCF!$K$13)/1000</f>
        <v>7.2910876063617565</v>
      </c>
    </row>
    <row r="20" spans="1:8" x14ac:dyDescent="0.2">
      <c r="A20" s="1222">
        <v>0.1159</v>
      </c>
      <c r="B20" s="428" cm="1">
        <f t="array" ref="B20">(SUMPRODUCT(DCF!$D$9:$K$9, 1/(1+$A20)^DCF!$D$13:$K$13) + DCF!$K$9*(1+B$16)/($A20-B$16)/(1+$A20)^DCF!$K$13)/1000</f>
        <v>5.1339376816798055</v>
      </c>
      <c r="C20" s="428" cm="1">
        <f t="array" ref="C20">(SUMPRODUCT(DCF!$D$9:$K$9, 1/(1+$A20)^DCF!$D$13:$K$13) + DCF!$K$9*(1+C$16)/($A20-C$16)/(1+$A20)^DCF!$K$13)/1000</f>
        <v>5.326488278205737</v>
      </c>
      <c r="D20" s="428" cm="1">
        <f t="array" ref="D20">(SUMPRODUCT(DCF!$D$9:$K$9, 1/(1+$A20)^DCF!$D$13:$K$13) + DCF!$K$9*(1+D$16)/($A20-D$16)/(1+$A20)^DCF!$K$13)/1000</f>
        <v>5.5402215586179064</v>
      </c>
      <c r="E20" s="430" cm="1">
        <f t="array" ref="E20">(SUMPRODUCT(DCF!$D$9:$K$9, 1/(1+$A20)^DCF!$D$13:$K$13) + DCF!$K$9*(1+E$16)/($A20-E$16)/(1+$A20)^DCF!$K$13)/1000</f>
        <v>5.7788364781933117</v>
      </c>
      <c r="F20" s="428" cm="1">
        <f t="array" ref="F20">(SUMPRODUCT(DCF!$D$9:$K$9, 1/(1+$A20)^DCF!$D$13:$K$13) + DCF!$K$9*(1+F$16)/($A20-F$16)/(1+$A20)^DCF!$K$13)/1000</f>
        <v>6.0469464434517066</v>
      </c>
      <c r="G20" s="428" cm="1">
        <f t="array" ref="G20">(SUMPRODUCT(DCF!$D$9:$K$9, 1/(1+$A20)^DCF!$D$13:$K$13) + DCF!$K$9*(1+G$16)/($A20-G$16)/(1+$A20)^DCF!$K$13)/1000</f>
        <v>6.3503805148047539</v>
      </c>
      <c r="H20" s="429" cm="1">
        <f t="array" ref="H20">(SUMPRODUCT(DCF!$D$9:$K$9, 1/(1+$A20)^DCF!$D$13:$K$13) + DCF!$K$9*(1+H$16)/($A20-H$16)/(1+$A20)^DCF!$K$13)/1000</f>
        <v>6.6966120574346748</v>
      </c>
    </row>
    <row r="21" spans="1:8" x14ac:dyDescent="0.2">
      <c r="A21" s="427">
        <v>0.12089999999999999</v>
      </c>
      <c r="B21" s="428" cm="1">
        <f t="array" ref="B21">(SUMPRODUCT(DCF!$D$9:$K$9, 1/(1+$A21)^DCF!$D$13:$K$13) + DCF!$K$9*(1+B$16)/($A21-B$16)/(1+$A21)^DCF!$K$13)/1000</f>
        <v>4.8313265064498498</v>
      </c>
      <c r="C21" s="428" cm="1">
        <f t="array" ref="C21">(SUMPRODUCT(DCF!$D$9:$K$9, 1/(1+$A21)^DCF!$D$13:$K$13) + DCF!$K$9*(1+C$16)/($A21-C$16)/(1+$A21)^DCF!$K$13)/1000</f>
        <v>5.0007006726196996</v>
      </c>
      <c r="D21" s="428" cm="1">
        <f t="array" ref="D21">(SUMPRODUCT(DCF!$D$9:$K$9, 1/(1+$A21)^DCF!$D$13:$K$13) + DCF!$K$9*(1+D$16)/($A21-D$16)/(1+$A21)^DCF!$K$13)/1000</f>
        <v>5.187736378536143</v>
      </c>
      <c r="E21" s="428" cm="1">
        <f t="array" ref="E21">(SUMPRODUCT(DCF!$D$9:$K$9, 1/(1+$A21)^DCF!$D$13:$K$13) + DCF!$K$9*(1+E$16)/($A21-E$16)/(1+$A21)^DCF!$K$13)/1000</f>
        <v>5.3953480697019218</v>
      </c>
      <c r="F21" s="428" cm="1">
        <f t="array" ref="F21">(SUMPRODUCT(DCF!$D$9:$K$9, 1/(1+$A21)^DCF!$D$13:$K$13) + DCF!$K$9*(1+F$16)/($A21-F$16)/(1+$A21)^DCF!$K$13)/1000</f>
        <v>5.6271287586751244</v>
      </c>
      <c r="G21" s="428" cm="1">
        <f t="array" ref="G21">(SUMPRODUCT(DCF!$D$9:$K$9, 1/(1+$A21)^DCF!$D$13:$K$13) + DCF!$K$9*(1+G$16)/($A21-G$16)/(1+$A21)^DCF!$K$13)/1000</f>
        <v>5.8875597182259787</v>
      </c>
      <c r="H21" s="429" cm="1">
        <f t="array" ref="H21">(SUMPRODUCT(DCF!$D$9:$K$9, 1/(1+$A21)^DCF!$D$13:$K$13) + DCF!$K$9*(1+H$16)/($A21-H$16)/(1+$A21)^DCF!$K$13)/1000</f>
        <v>6.1823030571642992</v>
      </c>
    </row>
    <row r="22" spans="1:8" x14ac:dyDescent="0.2">
      <c r="A22" s="427">
        <v>0.12590000000000001</v>
      </c>
      <c r="B22" s="428" cm="1">
        <f t="array" ref="B22">(SUMPRODUCT(DCF!$D$9:$K$9, 1/(1+$A22)^DCF!$D$13:$K$13) + DCF!$K$9*(1+B$16)/($A22-B$16)/(1+$A22)^DCF!$K$13)/1000</f>
        <v>4.557422689098912</v>
      </c>
      <c r="C22" s="428" cm="1">
        <f t="array" ref="C22">(SUMPRODUCT(DCF!$D$9:$K$9, 1/(1+$A22)^DCF!$D$13:$K$13) + DCF!$K$9*(1+C$16)/($A22-C$16)/(1+$A22)^DCF!$K$13)/1000</f>
        <v>4.707129864187344</v>
      </c>
      <c r="D22" s="428" cm="1">
        <f t="array" ref="D22">(SUMPRODUCT(DCF!$D$9:$K$9, 1/(1+$A22)^DCF!$D$13:$K$13) + DCF!$K$9*(1+D$16)/($A22-D$16)/(1+$A22)^DCF!$K$13)/1000</f>
        <v>4.8716742221388465</v>
      </c>
      <c r="E22" s="428" cm="1">
        <f t="array" ref="E22">(SUMPRODUCT(DCF!$D$9:$K$9, 1/(1+$A22)^DCF!$D$13:$K$13) + DCF!$K$9*(1+E$16)/($A22-E$16)/(1+$A22)^DCF!$K$13)/1000</f>
        <v>5.0533764901999998</v>
      </c>
      <c r="F22" s="428" cm="1">
        <f t="array" ref="F22">(SUMPRODUCT(DCF!$D$9:$K$9, 1/(1+$A22)^DCF!$D$13:$K$13) + DCF!$K$9*(1+F$16)/($A22-F$16)/(1+$A22)^DCF!$K$13)/1000</f>
        <v>5.255068006672718</v>
      </c>
      <c r="G22" s="428" cm="1">
        <f t="array" ref="G22">(SUMPRODUCT(DCF!$D$9:$K$9, 1/(1+$A22)^DCF!$D$13:$K$13) + DCF!$K$9*(1+G$16)/($A22-G$16)/(1+$A22)^DCF!$K$13)/1000</f>
        <v>5.4802393271585608</v>
      </c>
      <c r="H22" s="429" cm="1">
        <f t="array" ref="H22">(SUMPRODUCT(DCF!$D$9:$K$9, 1/(1+$A22)^DCF!$D$13:$K$13) + DCF!$K$9*(1+H$16)/($A22-H$16)/(1+$A22)^DCF!$K$13)/1000</f>
        <v>5.7332439381865319</v>
      </c>
    </row>
    <row r="23" spans="1:8" x14ac:dyDescent="0.2">
      <c r="A23" s="431">
        <v>0.13089999999999999</v>
      </c>
      <c r="B23" s="432" cm="1">
        <f t="array" ref="B23">(SUMPRODUCT(DCF!$D$9:$K$9, 1/(1+$A23)^DCF!$D$13:$K$13) + DCF!$K$9*(1+B$16)/($A23-B$16)/(1+$A23)^DCF!$K$13)/1000</f>
        <v>4.3084693396032829</v>
      </c>
      <c r="C23" s="432" cm="1">
        <f t="array" ref="C23">(SUMPRODUCT(DCF!$D$9:$K$9, 1/(1+$A23)^DCF!$D$13:$K$13) + DCF!$K$9*(1+C$16)/($A23-C$16)/(1+$A23)^DCF!$K$13)/1000</f>
        <v>4.4413759669810009</v>
      </c>
      <c r="D23" s="432" cm="1">
        <f t="array" ref="D23">(SUMPRODUCT(DCF!$D$9:$K$9, 1/(1+$A23)^DCF!$D$13:$K$13) + DCF!$K$9*(1+D$16)/($A23-D$16)/(1+$A23)^DCF!$K$13)/1000</f>
        <v>4.5868327952442423</v>
      </c>
      <c r="E23" s="432" cm="1">
        <f t="array" ref="E23">(SUMPRODUCT(DCF!$D$9:$K$9, 1/(1+$A23)^DCF!$D$13:$K$13) + DCF!$K$9*(1+E$16)/($A23-E$16)/(1+$A23)^DCF!$K$13)/1000</f>
        <v>4.7467055628794625</v>
      </c>
      <c r="F23" s="432" cm="1">
        <f t="array" ref="F23">(SUMPRODUCT(DCF!$D$9:$K$9, 1/(1+$A23)^DCF!$D$13:$K$13) + DCF!$K$9*(1+F$16)/($A23-F$16)/(1+$A23)^DCF!$K$13)/1000</f>
        <v>4.9232491092044857</v>
      </c>
      <c r="G23" s="432" cm="1">
        <f t="array" ref="G23">(SUMPRODUCT(DCF!$D$9:$K$9, 1/(1+$A23)^DCF!$D$13:$K$13) + DCF!$K$9*(1+G$16)/($A23-G$16)/(1+$A23)^DCF!$K$13)/1000</f>
        <v>5.1192143877984888</v>
      </c>
      <c r="H23" s="433" cm="1">
        <f t="array" ref="H23">(SUMPRODUCT(DCF!$D$9:$K$9, 1/(1+$A23)^DCF!$D$13:$K$13) + DCF!$K$9*(1+H$16)/($A23-H$16)/(1+$A23)^DCF!$K$13)/1000</f>
        <v>5.3379928536560532</v>
      </c>
    </row>
    <row r="26" spans="1:8" ht="22" customHeight="1" thickBot="1" x14ac:dyDescent="0.25">
      <c r="A26" s="1220" t="s">
        <v>1839</v>
      </c>
      <c r="B26" s="1021"/>
      <c r="C26" s="1021"/>
      <c r="D26" s="1021"/>
      <c r="E26" s="1021"/>
      <c r="F26" s="1021"/>
      <c r="G26" s="1021"/>
      <c r="H26" s="1021"/>
    </row>
    <row r="27" spans="1:8" x14ac:dyDescent="0.2">
      <c r="A27" s="1221" t="s">
        <v>1324</v>
      </c>
      <c r="B27" s="1230">
        <v>0.01</v>
      </c>
      <c r="C27" s="1230">
        <v>1.4999999999999999E-2</v>
      </c>
      <c r="D27" s="1231">
        <v>0.02</v>
      </c>
      <c r="E27" s="1230">
        <v>2.5000000000000001E-2</v>
      </c>
      <c r="F27" s="1232">
        <v>0.03</v>
      </c>
    </row>
    <row r="28" spans="1:8" x14ac:dyDescent="0.2">
      <c r="A28" s="434">
        <v>0.7</v>
      </c>
      <c r="B28" s="435">
        <f>Assumptions!$F$69 + Assumptions!$F$70*$A28 + Assumptions!$F$72 + B$27</f>
        <v>9.2599999999999988E-2</v>
      </c>
      <c r="C28" s="435">
        <f>Assumptions!$F$69 + Assumptions!$F$70*$A28 + Assumptions!$F$72 + C$27</f>
        <v>9.7599999999999992E-2</v>
      </c>
      <c r="D28" s="435">
        <f>Assumptions!$F$69 + Assumptions!$F$70*$A28 + Assumptions!$F$72 + D$27</f>
        <v>0.1026</v>
      </c>
      <c r="E28" s="435">
        <f>Assumptions!$F$69 + Assumptions!$F$70*$A28 + Assumptions!$F$72 + E$27</f>
        <v>0.1076</v>
      </c>
      <c r="F28" s="436">
        <f>Assumptions!$F$69 + Assumptions!$F$70*$A28 + Assumptions!$F$72 + F$27</f>
        <v>0.11259999999999999</v>
      </c>
    </row>
    <row r="29" spans="1:8" x14ac:dyDescent="0.2">
      <c r="A29" s="1229">
        <v>0.83</v>
      </c>
      <c r="B29" s="435">
        <f>Assumptions!$F$69 + Assumptions!$F$70*$A29 + Assumptions!$F$72 + B$27</f>
        <v>9.8449999999999982E-2</v>
      </c>
      <c r="C29" s="435">
        <f>Assumptions!$F$69 + Assumptions!$F$70*$A29 + Assumptions!$F$72 + C$27</f>
        <v>0.10344999999999999</v>
      </c>
      <c r="D29" s="437">
        <f>Assumptions!$F$69 + Assumptions!$F$70*$A29 + Assumptions!$F$72 + D$27</f>
        <v>0.10844999999999999</v>
      </c>
      <c r="E29" s="435">
        <f>Assumptions!$F$69 + Assumptions!$F$70*$A29 + Assumptions!$F$72 + E$27</f>
        <v>0.11345</v>
      </c>
      <c r="F29" s="436">
        <f>Assumptions!$F$69 + Assumptions!$F$70*$A29 + Assumptions!$F$72 + F$27</f>
        <v>0.11844999999999999</v>
      </c>
    </row>
    <row r="30" spans="1:8" x14ac:dyDescent="0.2">
      <c r="A30" s="434">
        <v>1</v>
      </c>
      <c r="B30" s="435">
        <f>Assumptions!$F$69 + Assumptions!$F$70*$A30 + Assumptions!$F$72 + B$27</f>
        <v>0.10609999999999999</v>
      </c>
      <c r="C30" s="435">
        <f>Assumptions!$F$69 + Assumptions!$F$70*$A30 + Assumptions!$F$72 + C$27</f>
        <v>0.11109999999999999</v>
      </c>
      <c r="D30" s="435">
        <f>Assumptions!$F$69 + Assumptions!$F$70*$A30 + Assumptions!$F$72 + D$27</f>
        <v>0.11609999999999999</v>
      </c>
      <c r="E30" s="435">
        <f>Assumptions!$F$69 + Assumptions!$F$70*$A30 + Assumptions!$F$72 + E$27</f>
        <v>0.12109999999999999</v>
      </c>
      <c r="F30" s="436">
        <f>Assumptions!$F$69 + Assumptions!$F$70*$A30 + Assumptions!$F$72 + F$27</f>
        <v>0.12609999999999999</v>
      </c>
    </row>
    <row r="31" spans="1:8" x14ac:dyDescent="0.2">
      <c r="A31" s="434">
        <v>1.2</v>
      </c>
      <c r="B31" s="435">
        <f>Assumptions!$F$69 + Assumptions!$F$70*$A31 + Assumptions!$F$72 + B$27</f>
        <v>0.11509999999999999</v>
      </c>
      <c r="C31" s="435">
        <f>Assumptions!$F$69 + Assumptions!$F$70*$A31 + Assumptions!$F$72 + C$27</f>
        <v>0.1201</v>
      </c>
      <c r="D31" s="435">
        <f>Assumptions!$F$69 + Assumptions!$F$70*$A31 + Assumptions!$F$72 + D$27</f>
        <v>0.12509999999999999</v>
      </c>
      <c r="E31" s="435">
        <f>Assumptions!$F$69 + Assumptions!$F$70*$A31 + Assumptions!$F$72 + E$27</f>
        <v>0.13009999999999999</v>
      </c>
      <c r="F31" s="436">
        <f>Assumptions!$F$69 + Assumptions!$F$70*$A31 + Assumptions!$F$72 + F$27</f>
        <v>0.1351</v>
      </c>
    </row>
    <row r="32" spans="1:8" x14ac:dyDescent="0.2">
      <c r="A32" s="438">
        <v>1.4</v>
      </c>
      <c r="B32" s="439">
        <f>Assumptions!$F$69 + Assumptions!$F$70*$A32 + Assumptions!$F$72 + B$27</f>
        <v>0.12409999999999999</v>
      </c>
      <c r="C32" s="439">
        <f>Assumptions!$F$69 + Assumptions!$F$70*$A32 + Assumptions!$F$72 + C$27</f>
        <v>0.12909999999999999</v>
      </c>
      <c r="D32" s="439">
        <f>Assumptions!$F$69 + Assumptions!$F$70*$A32 + Assumptions!$F$72 + D$27</f>
        <v>0.1341</v>
      </c>
      <c r="E32" s="439">
        <f>Assumptions!$F$69 + Assumptions!$F$70*$A32 + Assumptions!$F$72 + E$27</f>
        <v>0.1391</v>
      </c>
      <c r="F32" s="440">
        <f>Assumptions!$F$69 + Assumptions!$F$70*$A32 + Assumptions!$F$72 + F$27</f>
        <v>0.14410000000000001</v>
      </c>
    </row>
    <row r="33" spans="1:8" x14ac:dyDescent="0.2">
      <c r="A33" s="27"/>
      <c r="B33" s="27"/>
      <c r="C33" s="27"/>
      <c r="D33" s="27"/>
      <c r="E33" s="27"/>
      <c r="F33" s="27"/>
    </row>
    <row r="34" spans="1:8" ht="22" customHeight="1" thickBot="1" x14ac:dyDescent="0.25">
      <c r="A34" s="1220" t="s">
        <v>1840</v>
      </c>
      <c r="B34" s="975"/>
      <c r="C34" s="975"/>
      <c r="D34" s="975"/>
      <c r="E34" s="975"/>
      <c r="F34" s="975"/>
      <c r="G34" s="1021"/>
      <c r="H34" s="1021"/>
    </row>
    <row r="35" spans="1:8" x14ac:dyDescent="0.2">
      <c r="A35" s="1221" t="s">
        <v>1324</v>
      </c>
      <c r="B35" s="1226">
        <v>0.01</v>
      </c>
      <c r="C35" s="1226">
        <v>1.4999999999999999E-2</v>
      </c>
      <c r="D35" s="1227">
        <v>0.02</v>
      </c>
      <c r="E35" s="1226">
        <v>2.5000000000000001E-2</v>
      </c>
      <c r="F35" s="1228">
        <v>0.03</v>
      </c>
    </row>
    <row r="36" spans="1:8" x14ac:dyDescent="0.2">
      <c r="A36" s="434">
        <v>0.7</v>
      </c>
      <c r="B36" s="428" cm="1">
        <f t="array" ref="B36">(SUMPRODUCT(DCF!$D$9:$K$9, 1/(1+(Assumptions!$F$69+Assumptions!$F$70*$A36+Assumptions!$F$72+B$35))^DCF!$D$13:$K$13) + DCF!$K$8*Assumptions!$F$79/(1+(Assumptions!$F$69+Assumptions!$F$70*$A36+Assumptions!$F$72+B$35))^DCF!$K$13)/1000</f>
        <v>8.6201345535773584</v>
      </c>
      <c r="C36" s="428" cm="1">
        <f t="array" ref="C36">(SUMPRODUCT(DCF!$D$9:$K$9, 1/(1+(Assumptions!$F$69+Assumptions!$F$70*$A36+Assumptions!$F$72+C$35))^DCF!$D$13:$K$13) + DCF!$K$8*Assumptions!$F$79/(1+(Assumptions!$F$69+Assumptions!$F$70*$A36+Assumptions!$F$72+C$35))^DCF!$K$13)/1000</f>
        <v>8.3519051147824523</v>
      </c>
      <c r="D36" s="428" cm="1">
        <f t="array" ref="D36">(SUMPRODUCT(DCF!$D$9:$K$9, 1/(1+(Assumptions!$F$69+Assumptions!$F$70*$A36+Assumptions!$F$72+D$35))^DCF!$D$13:$K$13) + DCF!$K$8*Assumptions!$F$79/(1+(Assumptions!$F$69+Assumptions!$F$70*$A36+Assumptions!$F$72+D$35))^DCF!$K$13)/1000</f>
        <v>8.0935311443411635</v>
      </c>
      <c r="E36" s="428" cm="1">
        <f t="array" ref="E36">(SUMPRODUCT(DCF!$D$9:$K$9, 1/(1+(Assumptions!$F$69+Assumptions!$F$70*$A36+Assumptions!$F$72+E$35))^DCF!$D$13:$K$13) + DCF!$K$8*Assumptions!$F$79/(1+(Assumptions!$F$69+Assumptions!$F$70*$A36+Assumptions!$F$72+E$35))^DCF!$K$13)/1000</f>
        <v>7.8446039845830073</v>
      </c>
      <c r="F36" s="429" cm="1">
        <f t="array" ref="F36">(SUMPRODUCT(DCF!$D$9:$K$9, 1/(1+(Assumptions!$F$69+Assumptions!$F$70*$A36+Assumptions!$F$72+F$35))^DCF!$D$13:$K$13) + DCF!$K$8*Assumptions!$F$79/(1+(Assumptions!$F$69+Assumptions!$F$70*$A36+Assumptions!$F$72+F$35))^DCF!$K$13)/1000</f>
        <v>7.6047337476711467</v>
      </c>
    </row>
    <row r="37" spans="1:8" x14ac:dyDescent="0.2">
      <c r="A37" s="1229">
        <v>0.83</v>
      </c>
      <c r="B37" s="428" cm="1">
        <f t="array" ref="B37">(SUMPRODUCT(DCF!$D$9:$K$9, 1/(1+(Assumptions!$F$69+Assumptions!$F$70*$A37+Assumptions!$F$72+B$35))^DCF!$D$13:$K$13) + DCF!$K$8*Assumptions!$F$79/(1+(Assumptions!$F$69+Assumptions!$F$70*$A37+Assumptions!$F$72+B$35))^DCF!$K$13)/1000</f>
        <v>8.3072977237651173</v>
      </c>
      <c r="C37" s="428" cm="1">
        <f t="array" ref="C37">(SUMPRODUCT(DCF!$D$9:$K$9, 1/(1+(Assumptions!$F$69+Assumptions!$F$70*$A37+Assumptions!$F$72+C$35))^DCF!$D$13:$K$13) + DCF!$K$8*Assumptions!$F$79/(1+(Assumptions!$F$69+Assumptions!$F$70*$A37+Assumptions!$F$72+C$35))^DCF!$K$13)/1000</f>
        <v>8.0505580132385006</v>
      </c>
      <c r="D37" s="430" cm="1">
        <f t="array" ref="D37">(SUMPRODUCT(DCF!$D$9:$K$9, 1/(1+(Assumptions!$F$69+Assumptions!$F$70*$A37+Assumptions!$F$72+D$35))^DCF!$D$13:$K$13) + DCF!$K$8*Assumptions!$F$79/(1+(Assumptions!$F$69+Assumptions!$F$70*$A37+Assumptions!$F$72+D$35))^DCF!$K$13)/1000</f>
        <v>7.8031975348808631</v>
      </c>
      <c r="E37" s="428" cm="1">
        <f t="array" ref="E37">(SUMPRODUCT(DCF!$D$9:$K$9, 1/(1+(Assumptions!$F$69+Assumptions!$F$70*$A37+Assumptions!$F$72+E$35))^DCF!$D$13:$K$13) + DCF!$K$8*Assumptions!$F$79/(1+(Assumptions!$F$69+Assumptions!$F$70*$A37+Assumptions!$F$72+E$35))^DCF!$K$13)/1000</f>
        <v>7.5648294964412388</v>
      </c>
      <c r="F37" s="429" cm="1">
        <f t="array" ref="F37">(SUMPRODUCT(DCF!$D$9:$K$9, 1/(1+(Assumptions!$F$69+Assumptions!$F$70*$A37+Assumptions!$F$72+F$35))^DCF!$D$13:$K$13) + DCF!$K$8*Assumptions!$F$79/(1+(Assumptions!$F$69+Assumptions!$F$70*$A37+Assumptions!$F$72+F$35))^DCF!$K$13)/1000</f>
        <v>7.3350847768084364</v>
      </c>
    </row>
    <row r="38" spans="1:8" x14ac:dyDescent="0.2">
      <c r="A38" s="434">
        <v>1</v>
      </c>
      <c r="B38" s="428" cm="1">
        <f t="array" ref="B38">(SUMPRODUCT(DCF!$D$9:$K$9, 1/(1+(Assumptions!$F$69+Assumptions!$F$70*$A38+Assumptions!$F$72+B$35))^DCF!$D$13:$K$13) + DCF!$K$8*Assumptions!$F$79/(1+(Assumptions!$F$69+Assumptions!$F$70*$A38+Assumptions!$F$72+B$35))^DCF!$K$13)/1000</f>
        <v>7.9183137686125988</v>
      </c>
      <c r="C38" s="428" cm="1">
        <f t="array" ref="C38">(SUMPRODUCT(DCF!$D$9:$K$9, 1/(1+(Assumptions!$F$69+Assumptions!$F$70*$A38+Assumptions!$F$72+C$35))^DCF!$D$13:$K$13) + DCF!$K$8*Assumptions!$F$79/(1+(Assumptions!$F$69+Assumptions!$F$70*$A38+Assumptions!$F$72+C$35))^DCF!$K$13)/1000</f>
        <v>7.6757663147075501</v>
      </c>
      <c r="D38" s="428" cm="1">
        <f t="array" ref="D38">(SUMPRODUCT(DCF!$D$9:$K$9, 1/(1+(Assumptions!$F$69+Assumptions!$F$70*$A38+Assumptions!$F$72+D$35))^DCF!$D$13:$K$13) + DCF!$K$8*Assumptions!$F$79/(1+(Assumptions!$F$69+Assumptions!$F$70*$A38+Assumptions!$F$72+D$35))^DCF!$K$13)/1000</f>
        <v>7.4420135228714637</v>
      </c>
      <c r="E38" s="428" cm="1">
        <f t="array" ref="E38">(SUMPRODUCT(DCF!$D$9:$K$9, 1/(1+(Assumptions!$F$69+Assumptions!$F$70*$A38+Assumptions!$F$72+E$35))^DCF!$D$13:$K$13) + DCF!$K$8*Assumptions!$F$79/(1+(Assumptions!$F$69+Assumptions!$F$70*$A38+Assumptions!$F$72+E$35))^DCF!$K$13)/1000</f>
        <v>7.2166952763211212</v>
      </c>
      <c r="F38" s="429" cm="1">
        <f t="array" ref="F38">(SUMPRODUCT(DCF!$D$9:$K$9, 1/(1+(Assumptions!$F$69+Assumptions!$F$70*$A38+Assumptions!$F$72+F$35))^DCF!$D$13:$K$13) + DCF!$K$8*Assumptions!$F$79/(1+(Assumptions!$F$69+Assumptions!$F$70*$A38+Assumptions!$F$72+F$35))^DCF!$K$13)/1000</f>
        <v>6.9994677970852255</v>
      </c>
    </row>
    <row r="39" spans="1:8" x14ac:dyDescent="0.2">
      <c r="A39" s="434">
        <v>1.2</v>
      </c>
      <c r="B39" s="428" cm="1">
        <f t="array" ref="B39">(SUMPRODUCT(DCF!$D$9:$K$9, 1/(1+(Assumptions!$F$69+Assumptions!$F$70*$A39+Assumptions!$F$72+B$35))^DCF!$D$13:$K$13) + DCF!$K$8*Assumptions!$F$79/(1+(Assumptions!$F$69+Assumptions!$F$70*$A39+Assumptions!$F$72+B$35))^DCF!$K$13)/1000</f>
        <v>7.488078034452033</v>
      </c>
      <c r="C39" s="428" cm="1">
        <f t="array" ref="C39">(SUMPRODUCT(DCF!$D$9:$K$9, 1/(1+(Assumptions!$F$69+Assumptions!$F$70*$A39+Assumptions!$F$72+C$35))^DCF!$D$13:$K$13) + DCF!$K$8*Assumptions!$F$79/(1+(Assumptions!$F$69+Assumptions!$F$70*$A39+Assumptions!$F$72+C$35))^DCF!$K$13)/1000</f>
        <v>7.2611008919535722</v>
      </c>
      <c r="D39" s="428" cm="1">
        <f t="array" ref="D39">(SUMPRODUCT(DCF!$D$9:$K$9, 1/(1+(Assumptions!$F$69+Assumptions!$F$70*$A39+Assumptions!$F$72+D$35))^DCF!$D$13:$K$13) + DCF!$K$8*Assumptions!$F$79/(1+(Assumptions!$F$69+Assumptions!$F$70*$A39+Assumptions!$F$72+D$35))^DCF!$K$13)/1000</f>
        <v>7.0422820048542123</v>
      </c>
      <c r="E39" s="428" cm="1">
        <f t="array" ref="E39">(SUMPRODUCT(DCF!$D$9:$K$9, 1/(1+(Assumptions!$F$69+Assumptions!$F$70*$A39+Assumptions!$F$72+E$35))^DCF!$D$13:$K$13) + DCF!$K$8*Assumptions!$F$79/(1+(Assumptions!$F$69+Assumptions!$F$70*$A39+Assumptions!$F$72+E$35))^DCF!$K$13)/1000</f>
        <v>6.8312900798579923</v>
      </c>
      <c r="F39" s="429" cm="1">
        <f t="array" ref="F39">(SUMPRODUCT(DCF!$D$9:$K$9, 1/(1+(Assumptions!$F$69+Assumptions!$F$70*$A39+Assumptions!$F$72+F$35))^DCF!$D$13:$K$13) + DCF!$K$8*Assumptions!$F$79/(1+(Assumptions!$F$69+Assumptions!$F$70*$A39+Assumptions!$F$72+F$35))^DCF!$K$13)/1000</f>
        <v>6.627808733483274</v>
      </c>
    </row>
    <row r="40" spans="1:8" x14ac:dyDescent="0.2">
      <c r="A40" s="438">
        <v>1.4</v>
      </c>
      <c r="B40" s="432" cm="1">
        <f t="array" ref="B40">(SUMPRODUCT(DCF!$D$9:$K$9, 1/(1+(Assumptions!$F$69+Assumptions!$F$70*$A40+Assumptions!$F$72+B$35))^DCF!$D$13:$K$13) + DCF!$K$8*Assumptions!$F$79/(1+(Assumptions!$F$69+Assumptions!$F$70*$A40+Assumptions!$F$72+B$35))^DCF!$K$13)/1000</f>
        <v>7.085409243413511</v>
      </c>
      <c r="C40" s="432" cm="1">
        <f t="array" ref="C40">(SUMPRODUCT(DCF!$D$9:$K$9, 1/(1+(Assumptions!$F$69+Assumptions!$F$70*$A40+Assumptions!$F$72+C$35))^DCF!$D$13:$K$13) + DCF!$K$8*Assumptions!$F$79/(1+(Assumptions!$F$69+Assumptions!$F$70*$A40+Assumptions!$F$72+C$35))^DCF!$K$13)/1000</f>
        <v>6.8728777029544457</v>
      </c>
      <c r="D40" s="432" cm="1">
        <f t="array" ref="D40">(SUMPRODUCT(DCF!$D$9:$K$9, 1/(1+(Assumptions!$F$69+Assumptions!$F$70*$A40+Assumptions!$F$72+D$35))^DCF!$D$13:$K$13) + DCF!$K$8*Assumptions!$F$79/(1+(Assumptions!$F$69+Assumptions!$F$70*$A40+Assumptions!$F$72+D$35))^DCF!$K$13)/1000</f>
        <v>6.6679188608685989</v>
      </c>
      <c r="E40" s="432" cm="1">
        <f t="array" ref="E40">(SUMPRODUCT(DCF!$D$9:$K$9, 1/(1+(Assumptions!$F$69+Assumptions!$F$70*$A40+Assumptions!$F$72+E$35))^DCF!$D$13:$K$13) + DCF!$K$8*Assumptions!$F$79/(1+(Assumptions!$F$69+Assumptions!$F$70*$A40+Assumptions!$F$72+E$35))^DCF!$K$13)/1000</f>
        <v>6.4702277307025726</v>
      </c>
      <c r="F40" s="433" cm="1">
        <f t="array" ref="F40">(SUMPRODUCT(DCF!$D$9:$K$9, 1/(1+(Assumptions!$F$69+Assumptions!$F$70*$A40+Assumptions!$F$72+F$35))^DCF!$D$13:$K$13) + DCF!$K$8*Assumptions!$F$79/(1+(Assumptions!$F$69+Assumptions!$F$70*$A40+Assumptions!$F$72+F$35))^DCF!$K$13)/1000</f>
        <v>6.2795129419343869</v>
      </c>
    </row>
    <row r="42" spans="1:8" ht="22" customHeight="1" thickBot="1" x14ac:dyDescent="0.25">
      <c r="A42" s="933" t="s">
        <v>1325</v>
      </c>
      <c r="B42" s="984"/>
      <c r="C42" s="984"/>
      <c r="D42" s="984"/>
      <c r="E42" s="984"/>
      <c r="F42" s="984"/>
      <c r="G42" s="984"/>
      <c r="H42" s="984"/>
    </row>
    <row r="43" spans="1:8" x14ac:dyDescent="0.2">
      <c r="A43" s="441" t="s">
        <v>1264</v>
      </c>
      <c r="B43" s="442" t="s">
        <v>1266</v>
      </c>
      <c r="C43" s="442" t="s">
        <v>1267</v>
      </c>
      <c r="D43" s="442" t="s">
        <v>1268</v>
      </c>
      <c r="E43" s="443" t="s">
        <v>1326</v>
      </c>
    </row>
    <row r="44" spans="1:8" ht="32" x14ac:dyDescent="0.2">
      <c r="A44" s="1249" t="s">
        <v>1327</v>
      </c>
      <c r="B44" s="425">
        <f>MIN(B6:H12)</f>
        <v>4.5972973345902624</v>
      </c>
      <c r="C44" s="444">
        <f>E9</f>
        <v>7.4511993487364343</v>
      </c>
      <c r="D44" s="425">
        <f>MAX(B6:H12)</f>
        <v>10.872952001950303</v>
      </c>
      <c r="E44" s="423" t="str">
        <f>ROUND((B44*1000-Assumptions!$F$62+Assumptions!$F$63)/Assumptions!$F$55,1) &amp; "  —  " &amp; ROUND((D44*1000-Assumptions!$F$62+Assumptions!$F$63)/Assumptions!$F$55,1)</f>
        <v>12.9  —  28.2</v>
      </c>
    </row>
    <row r="45" spans="1:8" ht="48" x14ac:dyDescent="0.2">
      <c r="A45" s="1249" t="s">
        <v>1328</v>
      </c>
      <c r="B45" s="425">
        <f>MIN(B17:H23)</f>
        <v>4.3084693396032829</v>
      </c>
      <c r="C45" s="444">
        <f>E20</f>
        <v>5.7788364781933117</v>
      </c>
      <c r="D45" s="425">
        <f>MAX(B17:H23)</f>
        <v>8.8069040467680768</v>
      </c>
      <c r="E45" s="423" t="str">
        <f>ROUND((B45*1000-Assumptions!$F$62+Assumptions!$F$63)/Assumptions!$F$55,1) &amp; "  —  " &amp; ROUND((D45*1000-Assumptions!$F$62+Assumptions!$F$63)/Assumptions!$F$55,1)</f>
        <v>12.2  —  23.2</v>
      </c>
    </row>
    <row r="46" spans="1:8" ht="33" thickBot="1" x14ac:dyDescent="0.25">
      <c r="A46" s="1250" t="s">
        <v>1329</v>
      </c>
      <c r="B46" s="426">
        <f>MIN(B36:F40)</f>
        <v>6.2795129419343869</v>
      </c>
      <c r="C46" s="445">
        <f>D37</f>
        <v>7.8031975348808631</v>
      </c>
      <c r="D46" s="426">
        <f>MAX(B36:F40)</f>
        <v>8.6201345535773584</v>
      </c>
      <c r="E46" s="424" t="str">
        <f>ROUND((B46*1000-Assumptions!$F$62+Assumptions!$F$63)/Assumptions!$F$55,1) &amp; "  —  " &amp; ROUND((D46*1000-Assumptions!$F$62+Assumptions!$F$63)/Assumptions!$F$55,1)</f>
        <v>17  —  22.7</v>
      </c>
    </row>
    <row r="48" spans="1:8" x14ac:dyDescent="0.2">
      <c r="A48" s="937" t="str">
        <f>"Live DCF base = "&amp;TEXT(DCF!$C$38/Assumptions!$F$55,"$0.00")&amp;"/sh ("&amp;TEXT(DCF!$C$38/1000,"$0.00")&amp;"B equity). Series G mark $10.10B = $24.63/sh (40% premium to live DCF). Sensitivity grids show pure-method dispersion; live DCF blends Exit Mult &amp; Gordon (avg of $12.92B + $9.12B = $11.02B TV)."</f>
        <v>Live DCF base = $17.89/sh ($7.34B equity). Series G mark $10.10B = $24.63/sh (40% premium to live DCF). Sensitivity grids show pure-method dispersion; live DCF blends Exit Mult &amp; Gordon (avg of $12.92B + $9.12B = $11.02B TV).</v>
      </c>
      <c r="B48" s="977"/>
      <c r="C48" s="977"/>
      <c r="D48" s="977"/>
      <c r="E48" s="977"/>
      <c r="F48" s="977"/>
      <c r="G48" s="977"/>
      <c r="H48" s="977"/>
    </row>
    <row r="50" spans="1:10" ht="16" x14ac:dyDescent="0.2">
      <c r="A50" s="1251" t="s">
        <v>1841</v>
      </c>
      <c r="B50" s="1251"/>
      <c r="C50" s="1251"/>
      <c r="D50" s="1251"/>
      <c r="E50" s="1251"/>
    </row>
    <row r="51" spans="1:10" x14ac:dyDescent="0.2">
      <c r="A51" s="414" t="s">
        <v>1842</v>
      </c>
    </row>
    <row r="53" spans="1:10" x14ac:dyDescent="0.2">
      <c r="A53" s="1233" t="s">
        <v>1330</v>
      </c>
      <c r="B53" s="1233" t="s">
        <v>851</v>
      </c>
      <c r="C53" s="858" t="s">
        <v>1331</v>
      </c>
      <c r="D53" s="858" t="s">
        <v>1332</v>
      </c>
      <c r="E53" s="858" t="s">
        <v>1333</v>
      </c>
      <c r="F53" s="858" t="s">
        <v>1334</v>
      </c>
      <c r="G53" s="858" t="s">
        <v>1335</v>
      </c>
      <c r="H53" s="858" t="s">
        <v>1336</v>
      </c>
      <c r="I53" s="858" t="s">
        <v>1337</v>
      </c>
      <c r="J53" s="858" t="s">
        <v>1335</v>
      </c>
    </row>
    <row r="54" spans="1:10" x14ac:dyDescent="0.2">
      <c r="A54" s="1234">
        <v>0.08</v>
      </c>
      <c r="B54" s="820" t="s">
        <v>1338</v>
      </c>
      <c r="C54" s="860">
        <f>(Members!$L$10/Members!$L$34)*Members!$L$15+(Members!$L$11/Members!$L$34)*Members!$L$16+(Members!$L$12/Members!$L$34)*A54</f>
        <v>0.11458071090007962</v>
      </c>
      <c r="D54" s="861">
        <f>Assumptions!$F$11*Assumptions!$F$38/C54</f>
        <v>1820.062018831959</v>
      </c>
      <c r="E54" s="862">
        <f>D54/Members!$L$55</f>
        <v>5.4442117711435252</v>
      </c>
      <c r="F54" s="863">
        <f>Members!$L$34*(1-(A54-Assumptions!$F$21)*5)</f>
        <v>13.108929728657531</v>
      </c>
      <c r="G54" s="864">
        <f>F54/Members!$L$34-1</f>
        <v>0.19999999999999996</v>
      </c>
      <c r="H54" s="861">
        <f>F54*((Members!$L$34/Members!$L$35)+1)/2*Assumptions!$F$11*(1+Assumptions!$D$9)^7/(1+Assumptions!$D$9)^7</f>
        <v>3648.6270656580191</v>
      </c>
      <c r="I54" s="865">
        <f>DCF!$C$40*(F54/Members!$L$34)</f>
        <v>21.471689717284139</v>
      </c>
      <c r="J54" s="864">
        <f>I54/DCF!$C$40-1</f>
        <v>0.19999999999999996</v>
      </c>
    </row>
    <row r="55" spans="1:10" x14ac:dyDescent="0.2">
      <c r="A55" s="1235">
        <v>0.1</v>
      </c>
      <c r="B55" s="859" t="s">
        <v>1843</v>
      </c>
      <c r="C55">
        <f>(Members!$L$10/Members!$L$34)*Members!$L$15+(Members!$L$11/Members!$L$34)*Members!$L$16+(Members!$L$12/Members!$L$34)*A55</f>
        <v>0.12628768443385957</v>
      </c>
      <c r="D55">
        <f>Assumptions!$F$11*Assumptions!$F$38/C55</f>
        <v>1651.3407537313772</v>
      </c>
      <c r="E55">
        <f>D55/Members!$L$55</f>
        <v>4.9395288053991457</v>
      </c>
      <c r="F55">
        <f>Members!$L$34*(1-(A55-Assumptions!$F$21)*5)</f>
        <v>12.016518917936068</v>
      </c>
      <c r="G55">
        <f>F55/Members!$L$34-1</f>
        <v>9.9999999999999867E-2</v>
      </c>
      <c r="H55">
        <f>F55*((Members!$L$34/Members!$L$35)+1)/2*Assumptions!$F$11*(1+Assumptions!$D$9)^7/(1+Assumptions!$D$9)^7</f>
        <v>3344.5748101865179</v>
      </c>
      <c r="I55">
        <f>DCF!$C$40*(F55/Members!$L$34)</f>
        <v>19.682382240843793</v>
      </c>
      <c r="J55">
        <f>I55/DCF!$C$40-1</f>
        <v>9.9999999999999867E-2</v>
      </c>
    </row>
    <row r="56" spans="1:10" x14ac:dyDescent="0.2">
      <c r="A56" s="1236">
        <v>0.12</v>
      </c>
      <c r="B56" s="848" t="s">
        <v>1339</v>
      </c>
      <c r="C56">
        <f>(Members!$L$10/Members!$L$34)*Members!$L$15+(Members!$L$11/Members!$L$34)*Members!$L$16+(Members!$L$12/Members!$L$34)*A56</f>
        <v>0.13799465796763954</v>
      </c>
      <c r="D56">
        <f>Assumptions!$F$11*Assumptions!$F$38/C56</f>
        <v>1511.246906738264</v>
      </c>
      <c r="E56">
        <f>D56/Members!$L$55</f>
        <v>4.5204768374040354</v>
      </c>
      <c r="F56">
        <f>Members!$L$34*(1-(A56-Assumptions!$F$21)*5)</f>
        <v>10.924108107214609</v>
      </c>
      <c r="G56">
        <f>F56/Members!$L$34-1</f>
        <v>0</v>
      </c>
      <c r="H56">
        <f>F56*((Members!$L$34/Members!$L$35)+1)/2*Assumptions!$F$11*(1+Assumptions!$D$9)^7/(1+Assumptions!$D$9)^7</f>
        <v>3040.5225547150162</v>
      </c>
      <c r="I56">
        <f>DCF!$C$40*(F56/Members!$L$34)</f>
        <v>17.893074764403451</v>
      </c>
      <c r="J56">
        <f>I56/DCF!$C$40-1</f>
        <v>0</v>
      </c>
    </row>
    <row r="57" spans="1:10" x14ac:dyDescent="0.2">
      <c r="A57" s="1234">
        <v>0.14000000000000001</v>
      </c>
      <c r="B57" s="820" t="s">
        <v>1844</v>
      </c>
      <c r="C57">
        <f>(Members!$L$10/Members!$L$34)*Members!$L$15+(Members!$L$11/Members!$L$34)*Members!$L$16+(Members!$L$12/Members!$L$34)*A57</f>
        <v>0.14970163150141949</v>
      </c>
      <c r="D57">
        <f>Assumptions!$F$11*Assumptions!$F$38/C57</f>
        <v>1393.064310044093</v>
      </c>
      <c r="E57">
        <f>D57/Members!$L$55</f>
        <v>4.1669663100651766</v>
      </c>
      <c r="F57">
        <f>Members!$L$34*(1-(A57-Assumptions!$F$21)*5)</f>
        <v>9.8316972964931466</v>
      </c>
      <c r="G57">
        <f>F57/Members!$L$34-1</f>
        <v>-0.1000000000000002</v>
      </c>
      <c r="H57">
        <f>F57*((Members!$L$34/Members!$L$35)+1)/2*Assumptions!$F$11*(1+Assumptions!$D$9)^7/(1+Assumptions!$D$9)^7</f>
        <v>2736.4702992435145</v>
      </c>
      <c r="I57">
        <f>DCF!$C$40*(F57/Members!$L$34)</f>
        <v>16.103767287963102</v>
      </c>
      <c r="J57">
        <f>I57/DCF!$C$40-1</f>
        <v>-0.1000000000000002</v>
      </c>
    </row>
    <row r="58" spans="1:10" x14ac:dyDescent="0.2">
      <c r="A58" s="1234">
        <v>0.16</v>
      </c>
      <c r="B58" s="820" t="s">
        <v>1340</v>
      </c>
      <c r="C58">
        <f>(Members!$L$10/Members!$L$34)*Members!$L$15+(Members!$L$11/Members!$L$34)*Members!$L$16+(Members!$L$12/Members!$L$34)*A58</f>
        <v>0.16140860503519944</v>
      </c>
      <c r="D58">
        <f>Assumptions!$F$11*Assumptions!$F$38/C58</f>
        <v>1292.0252916783552</v>
      </c>
      <c r="E58">
        <f>D58/Members!$L$55</f>
        <v>3.8647360522827774</v>
      </c>
      <c r="F58">
        <f>Members!$L$34*(1-(A58-Assumptions!$F$21)*5)</f>
        <v>8.7392864857716859</v>
      </c>
      <c r="G58">
        <f>F58/Members!$L$34-1</f>
        <v>-0.20000000000000018</v>
      </c>
      <c r="H58">
        <f>F58*((Members!$L$34/Members!$L$35)+1)/2*Assumptions!$F$11*(1+Assumptions!$D$9)^7/(1+Assumptions!$D$9)^7</f>
        <v>2432.4180437720129</v>
      </c>
      <c r="I58">
        <f>DCF!$C$40*(F58/Members!$L$34)</f>
        <v>14.314459811522758</v>
      </c>
      <c r="J58">
        <f>I58/DCF!$C$40-1</f>
        <v>-0.20000000000000018</v>
      </c>
    </row>
    <row r="60" spans="1:10" x14ac:dyDescent="0.2">
      <c r="A60" s="915" t="s">
        <v>1845</v>
      </c>
      <c r="B60" s="849" t="s">
        <v>1341</v>
      </c>
    </row>
    <row r="61" spans="1:10" x14ac:dyDescent="0.2">
      <c r="A61" s="822" t="s">
        <v>1342</v>
      </c>
      <c r="B61" s="821" t="s">
        <v>1343</v>
      </c>
    </row>
    <row r="63" spans="1:10" ht="16" x14ac:dyDescent="0.2">
      <c r="A63" s="1188" t="s">
        <v>1846</v>
      </c>
      <c r="B63" s="1188"/>
      <c r="C63" s="1188"/>
      <c r="D63" s="1188"/>
      <c r="E63" s="1188"/>
    </row>
    <row r="64" spans="1:10" x14ac:dyDescent="0.2">
      <c r="A64" s="918" t="s">
        <v>1847</v>
      </c>
    </row>
    <row r="65" spans="1:7" x14ac:dyDescent="0.2">
      <c r="A65" s="1031" t="s">
        <v>1806</v>
      </c>
      <c r="B65" s="1239">
        <v>0.2</v>
      </c>
      <c r="C65" s="1239">
        <v>0.25</v>
      </c>
      <c r="D65" s="1238">
        <v>0.3</v>
      </c>
      <c r="E65" s="1239">
        <v>0.35</v>
      </c>
      <c r="F65" s="1239">
        <v>0.4</v>
      </c>
    </row>
    <row r="66" spans="1:7" x14ac:dyDescent="0.2">
      <c r="A66" s="1237">
        <v>0.1</v>
      </c>
      <c r="B66" s="1240">
        <f>$A66*DCF!$C$60+B$65*DCF!$C$62+(1-$A66-B$65)*DCF!$C$61</f>
        <v>9362.1329999999998</v>
      </c>
      <c r="C66" s="1240">
        <f>$A66*DCF!$C$60+C$65*DCF!$C$62+(1-$A66-C$65)*DCF!$C$61</f>
        <v>9989.4249999999993</v>
      </c>
      <c r="D66" s="1240">
        <f>$A66*DCF!$C$60+D$65*DCF!$C$62+(1-$A66-D$65)*DCF!$C$61</f>
        <v>10616.717000000001</v>
      </c>
      <c r="E66" s="1240">
        <f>$A66*DCF!$C$60+E$65*DCF!$C$62+(1-$A66-E$65)*DCF!$C$61</f>
        <v>11244.009</v>
      </c>
      <c r="F66" s="1240">
        <f>$A66*DCF!$C$60+F$65*DCF!$C$62+(1-$A66-F$65)*DCF!$C$61</f>
        <v>11871.300999999999</v>
      </c>
    </row>
    <row r="67" spans="1:7" x14ac:dyDescent="0.2">
      <c r="A67" s="1237">
        <v>0.15</v>
      </c>
      <c r="B67" s="1240">
        <f>$A67*DCF!$C$60+B$65*DCF!$C$62+(1-$A67-B$65)*DCF!$C$61</f>
        <v>9120.5354999999981</v>
      </c>
      <c r="C67" s="1240">
        <f>$A67*DCF!$C$60+C$65*DCF!$C$62+(1-$A67-C$65)*DCF!$C$61</f>
        <v>9747.8274999999994</v>
      </c>
      <c r="D67" s="1240">
        <f>$A67*DCF!$C$60+D$65*DCF!$C$62+(1-$A67-D$65)*DCF!$C$61</f>
        <v>10375.119500000001</v>
      </c>
      <c r="E67" s="1240">
        <f>$A67*DCF!$C$60+E$65*DCF!$C$62+(1-$A67-E$65)*DCF!$C$61</f>
        <v>11002.4115</v>
      </c>
      <c r="F67" s="1240">
        <f>$A67*DCF!$C$60+F$65*DCF!$C$62+(1-$A67-F$65)*DCF!$C$61</f>
        <v>11629.7035</v>
      </c>
    </row>
    <row r="68" spans="1:7" x14ac:dyDescent="0.2">
      <c r="A68" s="1238">
        <v>0.2</v>
      </c>
      <c r="B68" s="1240">
        <f>$A68*DCF!$C$60+B$65*DCF!$C$62+(1-$A68-B$65)*DCF!$C$61</f>
        <v>8878.9380000000019</v>
      </c>
      <c r="C68" s="1240">
        <f>$A68*DCF!$C$60+C$65*DCF!$C$62+(1-$A68-C$65)*DCF!$C$61</f>
        <v>9506.23</v>
      </c>
      <c r="D68" s="1246">
        <f>$A68*DCF!$C$60+D$65*DCF!$C$62+(1-$A68-D$65)*DCF!$C$61</f>
        <v>10133.521999999999</v>
      </c>
      <c r="E68" s="1240">
        <f>$A68*DCF!$C$60+E$65*DCF!$C$62+(1-$A68-E$65)*DCF!$C$61</f>
        <v>10760.814</v>
      </c>
      <c r="F68" s="1240">
        <f>$A68*DCF!$C$60+F$65*DCF!$C$62+(1-$A68-F$65)*DCF!$C$61</f>
        <v>11388.106</v>
      </c>
      <c r="G68" s="1239"/>
    </row>
    <row r="69" spans="1:7" x14ac:dyDescent="0.2">
      <c r="A69" s="1237">
        <v>0.25</v>
      </c>
      <c r="B69" s="1240">
        <f>$A69*DCF!$C$60+B$65*DCF!$C$62+(1-$A69-B$65)*DCF!$C$61</f>
        <v>8637.3405000000002</v>
      </c>
      <c r="C69" s="1240">
        <f>$A69*DCF!$C$60+C$65*DCF!$C$62+(1-$A69-C$65)*DCF!$C$61</f>
        <v>9264.6324999999997</v>
      </c>
      <c r="D69" s="1240">
        <f>$A69*DCF!$C$60+D$65*DCF!$C$62+(1-$A69-D$65)*DCF!$C$61</f>
        <v>9891.9244999999992</v>
      </c>
      <c r="E69" s="1240">
        <f>$A69*DCF!$C$60+E$65*DCF!$C$62+(1-$A69-E$65)*DCF!$C$61</f>
        <v>10519.216499999999</v>
      </c>
      <c r="F69" s="1240">
        <f>$A69*DCF!$C$60+F$65*DCF!$C$62+(1-$A69-F$65)*DCF!$C$61</f>
        <v>11146.5085</v>
      </c>
    </row>
    <row r="70" spans="1:7" x14ac:dyDescent="0.2">
      <c r="A70" s="1237">
        <v>0.3</v>
      </c>
      <c r="B70" s="1240">
        <f>$A70*DCF!$C$60+B$65*DCF!$C$62+(1-$A70-B$65)*DCF!$C$61</f>
        <v>8395.7430000000004</v>
      </c>
      <c r="C70" s="1240">
        <f>$A70*DCF!$C$60+C$65*DCF!$C$62+(1-$A70-C$65)*DCF!$C$61</f>
        <v>9023.0349999999999</v>
      </c>
      <c r="D70" s="1240">
        <f>$A70*DCF!$C$60+D$65*DCF!$C$62+(1-$A70-D$65)*DCF!$C$61</f>
        <v>9650.3269999999993</v>
      </c>
      <c r="E70" s="1240">
        <f>$A70*DCF!$C$60+E$65*DCF!$C$62+(1-$A70-E$65)*DCF!$C$61</f>
        <v>10277.618999999999</v>
      </c>
      <c r="F70" s="1240">
        <f>$A70*DCF!$C$60+F$65*DCF!$C$62+(1-$A70-F$65)*DCF!$C$61</f>
        <v>10904.911</v>
      </c>
    </row>
    <row r="72" spans="1:7" x14ac:dyDescent="0.2">
      <c r="A72" s="918" t="str">
        <f>"Read: ProbWeighted Equity ranges "&amp;TEXT(MIN(B66:F70)/1000,"$0.00")&amp;"B (most pessimistic) to "&amp;TEXT(MAX(B66:F70)/1000,"$0.00")&amp;"B (most optimistic). Span = "&amp;TEXT((MAX(B66:F70)-MIN(B66:F70))/1000,"$0.00")&amp;"B; base case D68 = "&amp;TEXT(D68/1000,"$0.00")&amp;"B. Bookend: scenario-weighted DCF!C65 = "&amp;TEXT(DCF!$C$65/1000,"$0.00")&amp;"B (Jensen-adjusted upper anchor)."</f>
        <v>Read: ProbWeighted Equity ranges $8.40B (most pessimistic) to $11.87B (most optimistic). Span = $3.48B; base case D68 = $10.13B. Bookend: scenario-weighted DCF!C65 = $10.13B (Jensen-adjusted upper anchor).</v>
      </c>
    </row>
    <row r="73" spans="1:7" x14ac:dyDescent="0.2">
      <c r="B73" s="1237">
        <v>0.3</v>
      </c>
    </row>
    <row r="74" spans="1:7" ht="16" x14ac:dyDescent="0.2">
      <c r="A74" s="1188" t="s">
        <v>1848</v>
      </c>
      <c r="B74" s="1188"/>
      <c r="C74" s="1188"/>
      <c r="D74" s="1188"/>
      <c r="E74" s="1188"/>
    </row>
    <row r="75" spans="1:7" x14ac:dyDescent="0.2">
      <c r="A75" s="918" t="s">
        <v>1849</v>
      </c>
    </row>
    <row r="77" spans="1:7" ht="32" x14ac:dyDescent="0.2">
      <c r="A77" s="1254" t="s">
        <v>1537</v>
      </c>
      <c r="B77" s="1255" t="s">
        <v>1334</v>
      </c>
      <c r="C77" s="1255" t="s">
        <v>1336</v>
      </c>
      <c r="D77" s="1255" t="s">
        <v>1850</v>
      </c>
      <c r="E77" s="1255" t="s">
        <v>1851</v>
      </c>
      <c r="F77" s="1255" t="s">
        <v>1852</v>
      </c>
      <c r="G77" s="1255" t="s">
        <v>1859</v>
      </c>
    </row>
    <row r="78" spans="1:7" ht="32" x14ac:dyDescent="0.2">
      <c r="A78" s="1252" t="s">
        <v>1853</v>
      </c>
      <c r="B78" s="1032">
        <v>8.39</v>
      </c>
      <c r="C78" s="1240">
        <f>B78*DCF!$K$8/Members!$L$34</f>
        <v>2835.1383484492762</v>
      </c>
      <c r="D78" s="1240">
        <f>((C78*DCF!$K$10)/DCF!$K$9)*DCF!$C$32+DCF!$C$36+DCF!$C$37</f>
        <v>5801.2723671288404</v>
      </c>
      <c r="E78" s="1240">
        <f>((C78*(DCF!$K$10+0.06*(B78/Members!$L$34-1)))/DCF!$K$9)*DCF!$C$32+DCF!$C$36+DCF!$C$37</f>
        <v>5457.7513312564606</v>
      </c>
      <c r="F78" s="1033">
        <f>(E78-D78)/DCF!$C$39</f>
        <v>-0.83785618505458492</v>
      </c>
      <c r="G78" s="1033">
        <f>E78/DCF!$C$39</f>
        <v>13.311588612820636</v>
      </c>
    </row>
    <row r="79" spans="1:7" ht="32" x14ac:dyDescent="0.2">
      <c r="A79" s="283" t="s">
        <v>1854</v>
      </c>
      <c r="B79" s="1032">
        <v>9.5</v>
      </c>
      <c r="C79" s="1240">
        <f>B79*DCF!$K$8/Members!$L$34</f>
        <v>3210.2281657053777</v>
      </c>
      <c r="D79" s="1240">
        <f>((C79*DCF!$K$10)/DCF!$K$9)*DCF!$C$32+DCF!$C$36+DCF!$C$37</f>
        <v>6473.5901711390507</v>
      </c>
      <c r="E79" s="1240">
        <f>((C79*(DCF!$K$10+0.06*(B79/Members!$L$34-1)))/DCF!$K$9)*DCF!$C$32+DCF!$C$36+DCF!$C$37</f>
        <v>6254.9989070054953</v>
      </c>
      <c r="F79" s="1033">
        <f>(E79-D79)/DCF!$C$39</f>
        <v>-0.53314942471598858</v>
      </c>
      <c r="G79" s="1033">
        <f>E79/DCF!$C$39</f>
        <v>15.256094895135355</v>
      </c>
    </row>
    <row r="80" spans="1:7" ht="32" x14ac:dyDescent="0.2">
      <c r="A80" s="1253" t="s">
        <v>1855</v>
      </c>
      <c r="B80" s="1247">
        <f>Members!L34</f>
        <v>10.924108107214609</v>
      </c>
      <c r="C80" s="1240">
        <f>B80*DCF!$K$8/Members!$L$34</f>
        <v>3691.4610032621899</v>
      </c>
      <c r="D80" s="1240">
        <f>((C80*DCF!$K$10)/DCF!$K$9)*DCF!$C$32+DCF!$C$36+DCF!$C$37</f>
        <v>7336.1606534054154</v>
      </c>
      <c r="E80" s="1240">
        <f>((C80*(DCF!$K$10+0.06*(B80/Members!$L$34-1)))/DCF!$K$9)*DCF!$C$32+DCF!$C$36+DCF!$C$37</f>
        <v>7336.1606534054154</v>
      </c>
      <c r="F80" s="1033">
        <f>(E80-D80)/DCF!$C$39</f>
        <v>0</v>
      </c>
      <c r="G80" s="1033">
        <f>E80/DCF!$C$39</f>
        <v>17.893074764403451</v>
      </c>
    </row>
    <row r="81" spans="1:7" ht="32" x14ac:dyDescent="0.2">
      <c r="A81" s="283" t="s">
        <v>1856</v>
      </c>
      <c r="B81" s="1032">
        <v>11.95</v>
      </c>
      <c r="C81" s="1240">
        <f>B81*DCF!$K$8/Members!$L$34</f>
        <v>4038.1291137030807</v>
      </c>
      <c r="D81" s="1240">
        <f>((C81*DCF!$K$10)/DCF!$K$9)*DCF!$C$32+DCF!$C$36+DCF!$C$37</f>
        <v>7957.5348736841115</v>
      </c>
      <c r="E81" s="1240">
        <f>((C81*(DCF!$K$10+0.06*(B81/Members!$L$34-1)))/DCF!$K$9)*DCF!$C$32+DCF!$C$36+DCF!$C$37</f>
        <v>8155.6126448750747</v>
      </c>
      <c r="F81" s="1033">
        <f>(E81-D81)/DCF!$C$39</f>
        <v>0.48311651509991016</v>
      </c>
      <c r="G81" s="1033">
        <f>E81/DCF!$C$39</f>
        <v>19.891738158231888</v>
      </c>
    </row>
    <row r="82" spans="1:7" ht="32" x14ac:dyDescent="0.2">
      <c r="A82" s="283" t="s">
        <v>1857</v>
      </c>
      <c r="B82" s="1032">
        <v>13</v>
      </c>
      <c r="C82" s="1240">
        <f>B82*DCF!$K$8/Members!$L$34</f>
        <v>4392.9438057020961</v>
      </c>
      <c r="D82" s="1240">
        <f>((C82*DCF!$K$10)/DCF!$K$9)*DCF!$C$32+DCF!$C$36+DCF!$C$37</f>
        <v>8593.5111747748506</v>
      </c>
      <c r="E82" s="1240">
        <f>((C82*(DCF!$K$10+0.06*(B82/Members!$L$34-1)))/DCF!$K$9)*DCF!$C$32+DCF!$C$36+DCF!$C$37</f>
        <v>9029.5391183622087</v>
      </c>
      <c r="F82" s="1033">
        <f>(E82-D82)/DCF!$C$39</f>
        <v>1.0634827892374588</v>
      </c>
      <c r="G82" s="1033">
        <f>E82/DCF!$C$39</f>
        <v>22.023266142346852</v>
      </c>
    </row>
    <row r="83" spans="1:7" ht="32" x14ac:dyDescent="0.2">
      <c r="A83" s="283" t="s">
        <v>1858</v>
      </c>
      <c r="B83" s="1032">
        <v>14.5</v>
      </c>
      <c r="C83" s="1240">
        <f>B83*DCF!$K$8/Members!$L$34</f>
        <v>4899.8219371292607</v>
      </c>
      <c r="D83" s="1240">
        <f>((C83*DCF!$K$10)/DCF!$K$9)*DCF!$C$32+DCF!$C$36+DCF!$C$37</f>
        <v>9502.0487477616225</v>
      </c>
      <c r="E83" s="1240">
        <f>((C83*(DCF!$K$10+0.06*(B83/Members!$L$34-1)))/DCF!$K$9)*DCF!$C$32+DCF!$C$36+DCF!$C$37</f>
        <v>10339.80681850669</v>
      </c>
      <c r="F83" s="1033">
        <f>(E83-D83)/DCF!$C$39</f>
        <v>2.0433123676708953</v>
      </c>
      <c r="G83" s="1033">
        <f>E83/DCF!$C$39</f>
        <v>25.219041020748023</v>
      </c>
    </row>
    <row r="85" spans="1:7" x14ac:dyDescent="0.2">
      <c r="A85" s="918" t="str">
        <f>"Read: Members alone (Block A) is a $"&amp;TEXT((D83-D78)/DCF!$C$39,"0.0")&amp;"/sh swing ("&amp;TEXT(B78,"0.0")&amp;"M Lens D → "&amp;TEXT(B83,"0.0")&amp;"M Bull = $"&amp;TEXT(D78/DCF!$C$39,"0.00")&amp;" → $"&amp;TEXT(D83/DCF!$C$39,"0.00")&amp;"). Coupling adds $"&amp;TEXT(F83,"0.00")&amp;"/sh at Bull, subtracts $"&amp;TEXT(-F78,"0.00")&amp;"/sh at Lens D. Coupled-bull case (G83 = $"&amp;TEXT(G83,"0.00")&amp;") is the only path that crosses Series G $24.63 — requires 14.5M+ members AND scale-margin tailwind. Live DCF base ties at G80 = $"&amp;TEXT(G80,"0.00")&amp;"."</f>
        <v>Read: Members alone (Block A) is a $9.0/sh swing (8.4M Lens D → 14.5M Bull = $14.15 → $23.18). Coupling adds $2.04/sh at Bull, subtracts $0.84/sh at Lens D. Coupled-bull case (G83 = $25.22) is the only path that crosses Series G $24.63 — requires 14.5M+ members AND scale-margin tailwind. Live DCF base ties at G80 = $17.89.</v>
      </c>
    </row>
    <row r="87" spans="1:7" x14ac:dyDescent="0.2">
      <c r="A87" s="31" t="s">
        <v>1539</v>
      </c>
    </row>
    <row r="88" spans="1:7" x14ac:dyDescent="0.2">
      <c r="A88" s="914" t="s">
        <v>1860</v>
      </c>
    </row>
  </sheetData>
  <mergeCells count="11">
    <mergeCell ref="A63:E63"/>
    <mergeCell ref="A50:E50"/>
    <mergeCell ref="A74:E74"/>
    <mergeCell ref="A42:H42"/>
    <mergeCell ref="A48:H48"/>
    <mergeCell ref="A1:H1"/>
    <mergeCell ref="A2:H2"/>
    <mergeCell ref="A4:H4"/>
    <mergeCell ref="A15:H15"/>
    <mergeCell ref="A26:H26"/>
    <mergeCell ref="A34:H34"/>
  </mergeCells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</sheetPr>
  <dimension ref="A1:N23"/>
  <sheetViews>
    <sheetView showGridLines="0" zoomScaleNormal="100" workbookViewId="0">
      <selection activeCell="C9" sqref="C9"/>
    </sheetView>
  </sheetViews>
  <sheetFormatPr baseColWidth="10" defaultColWidth="8.83203125" defaultRowHeight="15" x14ac:dyDescent="0.2"/>
  <cols>
    <col min="1" max="1" width="53.33203125" customWidth="1"/>
    <col min="2" max="4" width="15" customWidth="1"/>
    <col min="5" max="5" width="63.33203125" customWidth="1"/>
  </cols>
  <sheetData>
    <row r="1" spans="1:14" ht="28" customHeight="1" x14ac:dyDescent="0.2">
      <c r="A1" s="960" t="s">
        <v>1344</v>
      </c>
      <c r="B1" s="960"/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</row>
    <row r="2" spans="1:14" x14ac:dyDescent="0.2">
      <c r="A2" s="967" t="s">
        <v>1345</v>
      </c>
      <c r="B2" s="967"/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967"/>
      <c r="N2" s="967"/>
    </row>
    <row r="4" spans="1:14" ht="22" customHeight="1" x14ac:dyDescent="0.2">
      <c r="A4" s="674" t="s">
        <v>294</v>
      </c>
      <c r="B4" s="661" t="s">
        <v>1346</v>
      </c>
      <c r="C4" s="661" t="s">
        <v>1347</v>
      </c>
      <c r="D4" s="661" t="s">
        <v>59</v>
      </c>
      <c r="E4" s="677" t="s">
        <v>60</v>
      </c>
    </row>
    <row r="5" spans="1:14" x14ac:dyDescent="0.2">
      <c r="A5" s="675" t="s">
        <v>1348</v>
      </c>
      <c r="B5" s="662">
        <f>ABS(Members!D35*ARPU!D10/'Revenue Build'!D20-1)</f>
        <v>0</v>
      </c>
      <c r="C5" s="466" t="s">
        <v>1349</v>
      </c>
      <c r="D5" s="663" t="str">
        <f>IF(B5&lt;0.05,"PASS","FAIL")</f>
        <v>PASS</v>
      </c>
      <c r="E5" s="678" t="s">
        <v>1350</v>
      </c>
    </row>
    <row r="6" spans="1:14" x14ac:dyDescent="0.2">
      <c r="A6" s="676" t="s">
        <v>1351</v>
      </c>
      <c r="B6" s="664">
        <f>ABS('P&amp;L'!E23-Members!E46)</f>
        <v>0</v>
      </c>
      <c r="C6" s="467" t="s">
        <v>1352</v>
      </c>
      <c r="D6" s="665" t="str">
        <f>IF(B6&lt;1,"PASS","FAIL")</f>
        <v>PASS</v>
      </c>
      <c r="E6" s="679" t="s">
        <v>1353</v>
      </c>
    </row>
    <row r="7" spans="1:14" x14ac:dyDescent="0.2">
      <c r="A7" s="675" t="s">
        <v>1354</v>
      </c>
      <c r="B7" s="666">
        <f>Assumptions!$F$88</f>
        <v>1</v>
      </c>
      <c r="C7" s="667" t="s">
        <v>1355</v>
      </c>
      <c r="D7" s="663" t="str">
        <f>IF(ABS(B7-1)&lt;0.001,"PASS","FAIL")</f>
        <v>PASS</v>
      </c>
      <c r="E7" s="678" t="s">
        <v>1356</v>
      </c>
    </row>
    <row r="8" spans="1:14" x14ac:dyDescent="0.2">
      <c r="A8" s="676" t="s">
        <v>1357</v>
      </c>
      <c r="B8" s="668">
        <f>DCF!C27</f>
        <v>0.73174465662142729</v>
      </c>
      <c r="C8" s="467" t="s">
        <v>1358</v>
      </c>
      <c r="D8" s="665" t="str">
        <f>IF(B8&lt;0.75,"PASS",IF(B8&lt;0.8,"WARN","FAIL"))</f>
        <v>PASS</v>
      </c>
      <c r="E8" s="679" t="s">
        <v>1359</v>
      </c>
    </row>
    <row r="9" spans="1:14" x14ac:dyDescent="0.2">
      <c r="A9" s="675" t="s">
        <v>1360</v>
      </c>
      <c r="B9" s="669">
        <f>DCF!C24</f>
        <v>0.34522228857326348</v>
      </c>
      <c r="C9" s="466" t="s">
        <v>1361</v>
      </c>
      <c r="D9" s="663" t="str">
        <f>IF(B9&lt;0.25,"PASS",IF(B9&lt;0.35,"WARN","FAIL"))</f>
        <v>WARN</v>
      </c>
      <c r="E9" s="678" t="s">
        <v>1362</v>
      </c>
    </row>
    <row r="10" spans="1:14" ht="26" x14ac:dyDescent="0.2">
      <c r="A10" s="676" t="s">
        <v>1363</v>
      </c>
      <c r="B10" s="670">
        <f>Assumptions!$F$162</f>
        <v>1</v>
      </c>
      <c r="C10" s="671" t="s">
        <v>1355</v>
      </c>
      <c r="D10" s="665" t="str">
        <f>IF(ABS(B10-1)&lt;0.001,"PASS","FAIL")</f>
        <v>PASS</v>
      </c>
      <c r="E10" s="679" t="s">
        <v>1364</v>
      </c>
    </row>
    <row r="11" spans="1:14" x14ac:dyDescent="0.2">
      <c r="A11" s="675" t="s">
        <v>1365</v>
      </c>
      <c r="B11" s="666">
        <f>Assumptions!$F$74-Assumptions!$F$81</f>
        <v>7.8449999999999992E-2</v>
      </c>
      <c r="C11" s="466" t="s">
        <v>1366</v>
      </c>
      <c r="D11" s="663" t="str">
        <f>IF(B11&gt;0,"PASS","FAIL")</f>
        <v>PASS</v>
      </c>
      <c r="E11" s="678" t="s">
        <v>1367</v>
      </c>
    </row>
    <row r="12" spans="1:14" x14ac:dyDescent="0.2">
      <c r="A12" s="676" t="s">
        <v>1368</v>
      </c>
      <c r="B12" s="672">
        <f>MAX(Members!E31:L31)/Members!D31</f>
        <v>1.6545496832614808</v>
      </c>
      <c r="C12" s="467" t="s">
        <v>1369</v>
      </c>
      <c r="D12" s="665" t="str">
        <f>IF(B12&lt;2,"PASS",IF(B12&lt;3,"WARN","FAIL"))</f>
        <v>PASS</v>
      </c>
      <c r="E12" s="679" t="s">
        <v>1370</v>
      </c>
    </row>
    <row r="13" spans="1:14" x14ac:dyDescent="0.2">
      <c r="A13" s="675" t="s">
        <v>1371</v>
      </c>
      <c r="B13" s="673">
        <f>MIN(FCF!J22:L22)</f>
        <v>30.60850118400338</v>
      </c>
      <c r="C13" s="466" t="s">
        <v>1372</v>
      </c>
      <c r="D13" s="663" t="str">
        <f>IF(B13&gt;=20,"PASS","FAIL")</f>
        <v>PASS</v>
      </c>
      <c r="E13" s="678" t="s">
        <v>1373</v>
      </c>
    </row>
    <row r="14" spans="1:14" x14ac:dyDescent="0.2">
      <c r="A14" s="118" t="s">
        <v>1374</v>
      </c>
      <c r="B14" s="134" t="str">
        <f>ARPU!D36</f>
        <v>✓ matches year-specific build</v>
      </c>
      <c r="C14" s="134" t="s">
        <v>1375</v>
      </c>
      <c r="D14" s="680" t="str">
        <f>IF(LEFT(B14,1)="✓","PASS","WARN")</f>
        <v>PASS</v>
      </c>
      <c r="E14" s="681" t="s">
        <v>1376</v>
      </c>
    </row>
    <row r="15" spans="1:14" ht="16" thickBot="1" x14ac:dyDescent="0.25">
      <c r="A15" s="118" t="s">
        <v>1377</v>
      </c>
      <c r="B15" s="913">
        <f>MAX('P&amp;L'!J36:L36)</f>
        <v>43.854798848356332</v>
      </c>
      <c r="C15" s="134" t="s">
        <v>1378</v>
      </c>
      <c r="D15" s="680" t="str">
        <f>IF(B15&lt;=50,"PASS",IF(B15&lt;=55,"WARN","FAIL"))</f>
        <v>PASS</v>
      </c>
      <c r="E15" s="681" t="s">
        <v>1379</v>
      </c>
    </row>
    <row r="16" spans="1:14" ht="16" thickBot="1" x14ac:dyDescent="0.25">
      <c r="A16" s="1212" t="s">
        <v>1830</v>
      </c>
      <c r="B16" s="1213">
        <f>Assumptions!I2</f>
        <v>1</v>
      </c>
      <c r="C16" s="1214" t="s">
        <v>1355</v>
      </c>
      <c r="D16" s="1215" t="str">
        <f>IF(ABS(B16-1)&lt;0.001,"PASS","FAIL")</f>
        <v>PASS</v>
      </c>
      <c r="E16" s="1211"/>
    </row>
    <row r="17" spans="1:5" ht="22" customHeight="1" x14ac:dyDescent="0.2">
      <c r="A17" s="1026" t="s">
        <v>1380</v>
      </c>
      <c r="B17" s="1027"/>
      <c r="C17" s="1027"/>
      <c r="D17" s="1027"/>
      <c r="E17" s="1027"/>
    </row>
    <row r="18" spans="1:5" x14ac:dyDescent="0.2">
      <c r="A18" s="27" t="s">
        <v>1381</v>
      </c>
      <c r="B18" s="682">
        <f>COUNTA(D5:D16)</f>
        <v>12</v>
      </c>
      <c r="C18" s="27"/>
      <c r="D18" s="27"/>
      <c r="E18" s="27"/>
    </row>
    <row r="19" spans="1:5" x14ac:dyDescent="0.2">
      <c r="A19" s="27" t="s">
        <v>45</v>
      </c>
      <c r="B19" s="682">
        <f>COUNTIF(D5:D16,"PASS")</f>
        <v>11</v>
      </c>
      <c r="C19" s="27"/>
      <c r="D19" s="27"/>
      <c r="E19" s="27"/>
    </row>
    <row r="20" spans="1:5" x14ac:dyDescent="0.2">
      <c r="A20" s="27" t="s">
        <v>46</v>
      </c>
      <c r="B20" s="683">
        <f>COUNTIF(D5:D16,"WARN")</f>
        <v>1</v>
      </c>
      <c r="C20" s="27"/>
      <c r="D20" s="27"/>
      <c r="E20" s="27"/>
    </row>
    <row r="21" spans="1:5" ht="16" thickBot="1" x14ac:dyDescent="0.25">
      <c r="A21" s="27" t="s">
        <v>47</v>
      </c>
      <c r="B21" s="684">
        <f>COUNTIF(D5:D16,"FAIL")</f>
        <v>0</v>
      </c>
      <c r="C21" s="27"/>
      <c r="D21" s="27"/>
      <c r="E21" s="27"/>
    </row>
    <row r="22" spans="1:5" ht="16" thickBot="1" x14ac:dyDescent="0.25">
      <c r="A22" s="655" t="s">
        <v>48</v>
      </c>
      <c r="B22" s="655" t="str">
        <f>IF(B21&gt;0,"FAIL",IF(B20&gt;0,"WARN","PASS"))</f>
        <v>WARN</v>
      </c>
      <c r="C22" s="655"/>
      <c r="D22" s="655"/>
      <c r="E22" s="655"/>
    </row>
    <row r="23" spans="1:5" ht="16" thickTop="1" x14ac:dyDescent="0.2"/>
  </sheetData>
  <mergeCells count="3">
    <mergeCell ref="A1:N1"/>
    <mergeCell ref="A2:N2"/>
    <mergeCell ref="A17:E17"/>
  </mergeCells>
  <conditionalFormatting sqref="B22">
    <cfRule type="cellIs" dxfId="5" priority="4" operator="equal">
      <formula>"PASS"</formula>
    </cfRule>
    <cfRule type="cellIs" dxfId="4" priority="5" operator="equal">
      <formula>"FAIL"</formula>
    </cfRule>
    <cfRule type="cellIs" dxfId="3" priority="6" operator="equal">
      <formula>"WARN"</formula>
    </cfRule>
  </conditionalFormatting>
  <conditionalFormatting sqref="D5:D13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"WARN"</formula>
    </cfRule>
  </conditionalFormatting>
  <pageMargins left="0.75" right="0.75" top="1" bottom="1" header="0.5" footer="0.5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N35"/>
  <sheetViews>
    <sheetView showGridLines="0" topLeftCell="A24" workbookViewId="0">
      <selection activeCell="A20" sqref="A20:M20"/>
    </sheetView>
  </sheetViews>
  <sheetFormatPr baseColWidth="10" defaultColWidth="8.83203125" defaultRowHeight="15" x14ac:dyDescent="0.2"/>
  <cols>
    <col min="1" max="2" width="53.33203125" customWidth="1"/>
    <col min="3" max="3" width="13.33203125" customWidth="1"/>
    <col min="4" max="4" width="16.6640625" customWidth="1"/>
  </cols>
  <sheetData>
    <row r="1" spans="1:14" ht="28" customHeight="1" x14ac:dyDescent="0.25">
      <c r="A1" s="972" t="s">
        <v>1382</v>
      </c>
      <c r="B1" s="972"/>
      <c r="C1" s="972"/>
      <c r="D1" s="972"/>
      <c r="E1" s="972"/>
      <c r="F1" s="972"/>
      <c r="G1" s="972"/>
      <c r="H1" s="972"/>
      <c r="I1" s="972"/>
      <c r="J1" s="972"/>
      <c r="K1" s="972"/>
      <c r="L1" s="972"/>
      <c r="M1" s="972"/>
      <c r="N1" s="972"/>
    </row>
    <row r="2" spans="1:14" x14ac:dyDescent="0.2">
      <c r="A2" s="937"/>
      <c r="B2" s="938"/>
      <c r="C2" s="938"/>
      <c r="D2" s="938"/>
      <c r="E2" s="938"/>
      <c r="F2" s="938"/>
      <c r="G2" s="938"/>
      <c r="H2" s="938"/>
      <c r="I2" s="938"/>
      <c r="J2" s="938"/>
      <c r="K2" s="938"/>
      <c r="L2" s="938"/>
      <c r="M2" s="938"/>
      <c r="N2" s="938"/>
    </row>
    <row r="3" spans="1:14" ht="22" customHeight="1" x14ac:dyDescent="0.2">
      <c r="A3" s="633" t="s">
        <v>1383</v>
      </c>
      <c r="B3" s="633" t="s">
        <v>1384</v>
      </c>
      <c r="C3" s="633" t="s">
        <v>1385</v>
      </c>
      <c r="D3" s="907"/>
    </row>
    <row r="4" spans="1:14" x14ac:dyDescent="0.2">
      <c r="A4" s="3" t="s">
        <v>1386</v>
      </c>
      <c r="B4" s="38" t="s">
        <v>1387</v>
      </c>
      <c r="C4" s="685" t="s">
        <v>1388</v>
      </c>
      <c r="D4" s="27"/>
    </row>
    <row r="5" spans="1:14" x14ac:dyDescent="0.2">
      <c r="A5" s="255" t="s">
        <v>1389</v>
      </c>
      <c r="B5" s="372" t="s">
        <v>1390</v>
      </c>
      <c r="C5" s="686" t="s">
        <v>201</v>
      </c>
      <c r="D5" s="110"/>
    </row>
    <row r="6" spans="1:14" x14ac:dyDescent="0.2">
      <c r="A6" s="3" t="s">
        <v>1391</v>
      </c>
      <c r="B6" s="38" t="s">
        <v>1392</v>
      </c>
      <c r="C6" s="685" t="s">
        <v>201</v>
      </c>
      <c r="D6" s="27"/>
    </row>
    <row r="7" spans="1:14" x14ac:dyDescent="0.2">
      <c r="A7" s="255" t="s">
        <v>1393</v>
      </c>
      <c r="B7" s="372" t="s">
        <v>1394</v>
      </c>
      <c r="C7" s="686" t="s">
        <v>201</v>
      </c>
      <c r="D7" s="110"/>
    </row>
    <row r="8" spans="1:14" x14ac:dyDescent="0.2">
      <c r="A8" s="3" t="s">
        <v>1395</v>
      </c>
      <c r="B8" s="38" t="s">
        <v>1396</v>
      </c>
      <c r="C8" s="685" t="s">
        <v>201</v>
      </c>
      <c r="D8" s="27"/>
    </row>
    <row r="9" spans="1:14" x14ac:dyDescent="0.2">
      <c r="A9" s="255" t="s">
        <v>1397</v>
      </c>
      <c r="B9" s="372" t="s">
        <v>1398</v>
      </c>
      <c r="C9" s="686" t="s">
        <v>201</v>
      </c>
      <c r="D9" s="110"/>
    </row>
    <row r="10" spans="1:14" x14ac:dyDescent="0.2">
      <c r="A10" s="3" t="s">
        <v>1399</v>
      </c>
      <c r="B10" s="38" t="s">
        <v>1400</v>
      </c>
      <c r="C10" s="685" t="s">
        <v>201</v>
      </c>
      <c r="D10" s="27"/>
    </row>
    <row r="11" spans="1:14" x14ac:dyDescent="0.2">
      <c r="A11" s="255" t="s">
        <v>1401</v>
      </c>
      <c r="B11" s="372" t="s">
        <v>1402</v>
      </c>
      <c r="C11" s="686" t="s">
        <v>201</v>
      </c>
      <c r="D11" s="110"/>
    </row>
    <row r="12" spans="1:14" x14ac:dyDescent="0.2">
      <c r="A12" s="3" t="s">
        <v>1403</v>
      </c>
      <c r="B12" s="38" t="s">
        <v>1404</v>
      </c>
      <c r="C12" s="685" t="s">
        <v>201</v>
      </c>
      <c r="D12" s="27"/>
    </row>
    <row r="13" spans="1:14" x14ac:dyDescent="0.2">
      <c r="A13" s="255" t="s">
        <v>1405</v>
      </c>
      <c r="B13" s="372" t="s">
        <v>1406</v>
      </c>
      <c r="C13" s="686" t="s">
        <v>201</v>
      </c>
      <c r="D13" s="110"/>
    </row>
    <row r="14" spans="1:14" x14ac:dyDescent="0.2">
      <c r="A14" s="3" t="s">
        <v>1407</v>
      </c>
      <c r="B14" s="38" t="s">
        <v>1408</v>
      </c>
      <c r="C14" s="685" t="s">
        <v>204</v>
      </c>
      <c r="D14" s="27"/>
    </row>
    <row r="15" spans="1:14" x14ac:dyDescent="0.2">
      <c r="A15" s="255" t="s">
        <v>1409</v>
      </c>
      <c r="B15" s="372" t="s">
        <v>1410</v>
      </c>
      <c r="C15" s="686" t="s">
        <v>204</v>
      </c>
      <c r="D15" s="110"/>
    </row>
    <row r="16" spans="1:14" x14ac:dyDescent="0.2">
      <c r="A16" s="3" t="s">
        <v>1411</v>
      </c>
      <c r="B16" s="38" t="s">
        <v>1412</v>
      </c>
      <c r="C16" s="685" t="s">
        <v>204</v>
      </c>
      <c r="D16" s="27"/>
    </row>
    <row r="17" spans="1:4" x14ac:dyDescent="0.2">
      <c r="A17" s="255" t="s">
        <v>1413</v>
      </c>
      <c r="B17" s="372" t="s">
        <v>1414</v>
      </c>
      <c r="C17" s="686" t="s">
        <v>204</v>
      </c>
      <c r="D17" s="110"/>
    </row>
    <row r="18" spans="1:4" x14ac:dyDescent="0.2">
      <c r="A18" s="3" t="s">
        <v>1415</v>
      </c>
      <c r="B18" s="38" t="s">
        <v>1416</v>
      </c>
      <c r="C18" s="685" t="s">
        <v>204</v>
      </c>
      <c r="D18" s="27"/>
    </row>
    <row r="19" spans="1:4" x14ac:dyDescent="0.2">
      <c r="A19" s="255" t="s">
        <v>1417</v>
      </c>
      <c r="B19" s="372" t="s">
        <v>1418</v>
      </c>
      <c r="C19" s="686" t="s">
        <v>204</v>
      </c>
      <c r="D19" s="110"/>
    </row>
    <row r="20" spans="1:4" x14ac:dyDescent="0.2">
      <c r="A20" s="3" t="s">
        <v>1419</v>
      </c>
      <c r="B20" s="38" t="s">
        <v>1420</v>
      </c>
      <c r="C20" s="685" t="s">
        <v>204</v>
      </c>
      <c r="D20" s="27"/>
    </row>
    <row r="21" spans="1:4" x14ac:dyDescent="0.2">
      <c r="A21" s="255" t="s">
        <v>1421</v>
      </c>
      <c r="B21" s="372" t="s">
        <v>1422</v>
      </c>
      <c r="C21" s="686" t="s">
        <v>204</v>
      </c>
      <c r="D21" s="110"/>
    </row>
    <row r="22" spans="1:4" x14ac:dyDescent="0.2">
      <c r="A22" s="3" t="s">
        <v>1423</v>
      </c>
      <c r="B22" s="38" t="s">
        <v>1424</v>
      </c>
      <c r="C22" s="685" t="s">
        <v>204</v>
      </c>
      <c r="D22" s="27"/>
    </row>
    <row r="23" spans="1:4" x14ac:dyDescent="0.2">
      <c r="A23" s="255" t="s">
        <v>1425</v>
      </c>
      <c r="B23" s="372" t="s">
        <v>1426</v>
      </c>
      <c r="C23" s="686" t="s">
        <v>204</v>
      </c>
      <c r="D23" s="110"/>
    </row>
    <row r="24" spans="1:4" x14ac:dyDescent="0.2">
      <c r="A24" s="3" t="s">
        <v>1427</v>
      </c>
      <c r="B24" s="38" t="s">
        <v>1428</v>
      </c>
      <c r="C24" s="685" t="s">
        <v>204</v>
      </c>
      <c r="D24" s="27"/>
    </row>
    <row r="25" spans="1:4" x14ac:dyDescent="0.2">
      <c r="A25" s="255" t="s">
        <v>1429</v>
      </c>
      <c r="B25" s="372" t="s">
        <v>1430</v>
      </c>
      <c r="C25" s="686" t="s">
        <v>204</v>
      </c>
      <c r="D25" s="110"/>
    </row>
    <row r="26" spans="1:4" x14ac:dyDescent="0.2">
      <c r="A26" s="3" t="s">
        <v>1431</v>
      </c>
      <c r="B26" s="38" t="s">
        <v>1432</v>
      </c>
      <c r="C26" s="685" t="s">
        <v>204</v>
      </c>
      <c r="D26" s="27"/>
    </row>
    <row r="28" spans="1:4" ht="22" customHeight="1" x14ac:dyDescent="0.2">
      <c r="A28" s="933" t="s">
        <v>1433</v>
      </c>
      <c r="B28" s="1028"/>
      <c r="C28" s="1028"/>
      <c r="D28" s="1028"/>
    </row>
    <row r="29" spans="1:4" x14ac:dyDescent="0.2">
      <c r="A29" s="221" t="s">
        <v>1265</v>
      </c>
      <c r="B29" s="221" t="s">
        <v>1434</v>
      </c>
      <c r="C29" s="221" t="s">
        <v>1435</v>
      </c>
      <c r="D29" s="221" t="s">
        <v>1436</v>
      </c>
    </row>
    <row r="30" spans="1:4" ht="45" x14ac:dyDescent="0.2">
      <c r="A30" s="27" t="s">
        <v>1437</v>
      </c>
      <c r="B30" s="687" t="s">
        <v>1438</v>
      </c>
      <c r="C30" s="688" t="s">
        <v>1439</v>
      </c>
      <c r="D30" s="27" t="s">
        <v>1440</v>
      </c>
    </row>
    <row r="31" spans="1:4" ht="75" x14ac:dyDescent="0.2">
      <c r="A31" s="27" t="s">
        <v>1441</v>
      </c>
      <c r="B31" s="687" t="s">
        <v>1442</v>
      </c>
      <c r="C31" s="688" t="s">
        <v>1443</v>
      </c>
      <c r="D31" s="689">
        <v>46092</v>
      </c>
    </row>
    <row r="32" spans="1:4" ht="30" x14ac:dyDescent="0.2">
      <c r="A32" s="27" t="s">
        <v>1444</v>
      </c>
      <c r="B32" s="687" t="s">
        <v>1445</v>
      </c>
      <c r="C32" s="688" t="s">
        <v>1446</v>
      </c>
      <c r="D32" s="690">
        <v>46113</v>
      </c>
    </row>
    <row r="33" spans="1:4" ht="45" x14ac:dyDescent="0.2">
      <c r="A33" s="27" t="s">
        <v>1447</v>
      </c>
      <c r="B33" s="687" t="s">
        <v>1448</v>
      </c>
      <c r="C33" s="688" t="s">
        <v>1449</v>
      </c>
      <c r="D33" s="690">
        <v>46113</v>
      </c>
    </row>
    <row r="34" spans="1:4" ht="75" x14ac:dyDescent="0.2">
      <c r="A34" s="27" t="s">
        <v>1450</v>
      </c>
      <c r="B34" s="687" t="s">
        <v>1451</v>
      </c>
      <c r="C34" s="688" t="s">
        <v>1452</v>
      </c>
      <c r="D34" s="689">
        <v>45785</v>
      </c>
    </row>
    <row r="35" spans="1:4" ht="60" x14ac:dyDescent="0.2">
      <c r="A35" s="27" t="s">
        <v>1453</v>
      </c>
      <c r="B35" s="687" t="s">
        <v>1454</v>
      </c>
      <c r="C35" s="688" t="s">
        <v>1455</v>
      </c>
      <c r="D35" s="689">
        <v>45930</v>
      </c>
    </row>
  </sheetData>
  <mergeCells count="3">
    <mergeCell ref="A1:N1"/>
    <mergeCell ref="A2:N2"/>
    <mergeCell ref="A28:D2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205-03DC-47B3-A0A3-C1A9156EDCD2}">
  <sheetPr>
    <tabColor rgb="FFC00000"/>
  </sheetPr>
  <dimension ref="A1:N27"/>
  <sheetViews>
    <sheetView showGridLines="0" topLeftCell="A6" workbookViewId="0">
      <selection activeCell="A20" sqref="A20:M20"/>
    </sheetView>
  </sheetViews>
  <sheetFormatPr baseColWidth="10" defaultColWidth="8.83203125" defaultRowHeight="15" x14ac:dyDescent="0.2"/>
  <cols>
    <col min="1" max="1" width="15" style="35" customWidth="1"/>
    <col min="2" max="2" width="13.33203125" customWidth="1"/>
    <col min="3" max="4" width="46.6640625" customWidth="1"/>
    <col min="5" max="5" width="12.5" customWidth="1"/>
    <col min="6" max="6" width="15" customWidth="1"/>
  </cols>
  <sheetData>
    <row r="1" spans="1:14" ht="28" customHeight="1" x14ac:dyDescent="0.25">
      <c r="A1" s="982" t="s">
        <v>1456</v>
      </c>
      <c r="B1" s="982"/>
      <c r="C1" s="982"/>
      <c r="D1" s="982"/>
      <c r="E1" s="982"/>
      <c r="F1" s="982"/>
      <c r="G1" s="982"/>
      <c r="H1" s="982"/>
      <c r="I1" s="982"/>
      <c r="J1" s="982"/>
      <c r="K1" s="982"/>
      <c r="L1" s="982"/>
      <c r="M1" s="982"/>
      <c r="N1" s="982"/>
    </row>
    <row r="2" spans="1:14" x14ac:dyDescent="0.2">
      <c r="A2" s="1029" t="s">
        <v>1457</v>
      </c>
      <c r="B2" s="1029"/>
      <c r="C2" s="1029"/>
      <c r="D2" s="1029"/>
      <c r="E2" s="1029"/>
      <c r="F2" s="1029"/>
      <c r="G2" s="1029"/>
      <c r="H2" s="1029"/>
      <c r="I2" s="1029"/>
      <c r="J2" s="1029"/>
      <c r="K2" s="1029"/>
      <c r="L2" s="1029"/>
      <c r="M2" s="1029"/>
      <c r="N2" s="1029"/>
    </row>
    <row r="4" spans="1:14" ht="22" customHeight="1" thickBot="1" x14ac:dyDescent="0.25">
      <c r="A4" s="691" t="s">
        <v>1458</v>
      </c>
      <c r="B4" s="691" t="s">
        <v>1459</v>
      </c>
      <c r="C4" s="691" t="s">
        <v>1460</v>
      </c>
      <c r="D4" s="691" t="s">
        <v>1461</v>
      </c>
      <c r="E4" s="691" t="s">
        <v>1462</v>
      </c>
      <c r="F4" s="691" t="s">
        <v>59</v>
      </c>
    </row>
    <row r="5" spans="1:14" ht="67" customHeight="1" x14ac:dyDescent="0.2">
      <c r="A5" s="31" t="s">
        <v>1463</v>
      </c>
      <c r="B5" s="27" t="s">
        <v>1464</v>
      </c>
      <c r="C5" s="687" t="s">
        <v>1465</v>
      </c>
      <c r="D5" s="687" t="s">
        <v>1466</v>
      </c>
      <c r="E5" s="693" t="s">
        <v>65</v>
      </c>
      <c r="F5" s="130" t="s">
        <v>1467</v>
      </c>
    </row>
    <row r="6" spans="1:14" ht="59" customHeight="1" x14ac:dyDescent="0.2">
      <c r="A6" s="288" t="s">
        <v>1463</v>
      </c>
      <c r="B6" s="110" t="s">
        <v>1468</v>
      </c>
      <c r="C6" s="692" t="s">
        <v>1469</v>
      </c>
      <c r="D6" s="692" t="s">
        <v>1470</v>
      </c>
      <c r="E6" s="694" t="s">
        <v>65</v>
      </c>
      <c r="F6" s="129" t="s">
        <v>1467</v>
      </c>
    </row>
    <row r="7" spans="1:14" ht="102" customHeight="1" x14ac:dyDescent="0.2">
      <c r="A7" s="31" t="s">
        <v>1471</v>
      </c>
      <c r="B7" s="27" t="s">
        <v>1472</v>
      </c>
      <c r="C7" s="687" t="s">
        <v>1473</v>
      </c>
      <c r="D7" s="687" t="s">
        <v>1474</v>
      </c>
      <c r="E7" s="695" t="s">
        <v>1475</v>
      </c>
      <c r="F7" s="695" t="s">
        <v>1476</v>
      </c>
    </row>
    <row r="8" spans="1:14" ht="119" customHeight="1" x14ac:dyDescent="0.2">
      <c r="A8" s="288" t="s">
        <v>1471</v>
      </c>
      <c r="B8" s="110" t="s">
        <v>1477</v>
      </c>
      <c r="C8" s="692" t="s">
        <v>1478</v>
      </c>
      <c r="D8" s="692" t="s">
        <v>1479</v>
      </c>
      <c r="E8" s="696" t="s">
        <v>1475</v>
      </c>
      <c r="F8" s="696" t="s">
        <v>1476</v>
      </c>
    </row>
    <row r="9" spans="1:14" ht="105" customHeight="1" x14ac:dyDescent="0.2">
      <c r="A9" s="31" t="s">
        <v>1471</v>
      </c>
      <c r="B9" s="27" t="s">
        <v>1480</v>
      </c>
      <c r="C9" s="687" t="s">
        <v>1481</v>
      </c>
      <c r="D9" s="687" t="s">
        <v>1482</v>
      </c>
      <c r="E9" s="697" t="s">
        <v>114</v>
      </c>
      <c r="F9" s="130" t="s">
        <v>1467</v>
      </c>
    </row>
    <row r="10" spans="1:14" ht="85" customHeight="1" x14ac:dyDescent="0.2">
      <c r="A10" s="288" t="s">
        <v>1471</v>
      </c>
      <c r="B10" s="110" t="s">
        <v>1483</v>
      </c>
      <c r="C10" s="692" t="s">
        <v>1484</v>
      </c>
      <c r="D10" s="692" t="s">
        <v>1485</v>
      </c>
      <c r="E10" s="698" t="s">
        <v>114</v>
      </c>
      <c r="F10" s="129" t="s">
        <v>1467</v>
      </c>
    </row>
    <row r="11" spans="1:14" ht="139" customHeight="1" x14ac:dyDescent="0.2">
      <c r="A11" s="31" t="s">
        <v>1471</v>
      </c>
      <c r="B11" s="27" t="s">
        <v>1486</v>
      </c>
      <c r="C11" s="687" t="s">
        <v>1487</v>
      </c>
      <c r="D11" s="687" t="s">
        <v>1488</v>
      </c>
      <c r="E11" s="699" t="s">
        <v>1475</v>
      </c>
      <c r="F11" s="695" t="s">
        <v>1476</v>
      </c>
    </row>
    <row r="12" spans="1:14" ht="78" customHeight="1" x14ac:dyDescent="0.2">
      <c r="A12" s="288" t="s">
        <v>1489</v>
      </c>
      <c r="B12" s="110" t="s">
        <v>1490</v>
      </c>
      <c r="C12" s="692" t="s">
        <v>1491</v>
      </c>
      <c r="D12" s="692" t="s">
        <v>1492</v>
      </c>
      <c r="E12" s="698" t="s">
        <v>114</v>
      </c>
      <c r="F12" s="129" t="s">
        <v>1467</v>
      </c>
    </row>
    <row r="13" spans="1:14" ht="105" customHeight="1" x14ac:dyDescent="0.2">
      <c r="A13" s="31" t="s">
        <v>1493</v>
      </c>
      <c r="B13" s="27" t="s">
        <v>1494</v>
      </c>
      <c r="C13" s="687" t="s">
        <v>1495</v>
      </c>
      <c r="D13" s="687" t="s">
        <v>1496</v>
      </c>
      <c r="E13" s="700" t="s">
        <v>226</v>
      </c>
      <c r="F13" s="130" t="s">
        <v>1497</v>
      </c>
    </row>
    <row r="14" spans="1:14" ht="62" customHeight="1" x14ac:dyDescent="0.2">
      <c r="A14" s="288" t="s">
        <v>1498</v>
      </c>
      <c r="B14" s="110" t="s">
        <v>1499</v>
      </c>
      <c r="C14" s="692" t="s">
        <v>1500</v>
      </c>
      <c r="D14" s="692" t="s">
        <v>1501</v>
      </c>
      <c r="E14" s="701" t="s">
        <v>226</v>
      </c>
      <c r="F14" s="129" t="s">
        <v>1497</v>
      </c>
    </row>
    <row r="15" spans="1:14" x14ac:dyDescent="0.2">
      <c r="C15" s="283"/>
      <c r="D15" s="283"/>
    </row>
    <row r="16" spans="1:14" ht="22" customHeight="1" x14ac:dyDescent="0.2">
      <c r="A16" s="933" t="s">
        <v>1502</v>
      </c>
      <c r="B16" s="1021"/>
      <c r="C16" s="1021"/>
      <c r="D16" s="1021"/>
      <c r="E16" s="1021"/>
      <c r="F16" s="1021"/>
    </row>
    <row r="17" spans="1:6" ht="119" customHeight="1" x14ac:dyDescent="0.2">
      <c r="A17" s="31" t="s">
        <v>1503</v>
      </c>
      <c r="B17" s="27"/>
      <c r="C17" s="687" t="s">
        <v>1504</v>
      </c>
      <c r="D17" s="687"/>
      <c r="E17" s="693" t="s">
        <v>1505</v>
      </c>
      <c r="F17" s="130"/>
    </row>
    <row r="18" spans="1:6" ht="91" customHeight="1" x14ac:dyDescent="0.2">
      <c r="A18" s="288" t="s">
        <v>254</v>
      </c>
      <c r="B18" s="110"/>
      <c r="C18" s="692" t="s">
        <v>1506</v>
      </c>
      <c r="D18" s="692"/>
      <c r="E18" s="702" t="s">
        <v>1475</v>
      </c>
      <c r="F18" s="696" t="s">
        <v>1476</v>
      </c>
    </row>
    <row r="19" spans="1:6" ht="174" customHeight="1" x14ac:dyDescent="0.2">
      <c r="A19" s="31" t="s">
        <v>1507</v>
      </c>
      <c r="B19" s="27"/>
      <c r="C19" s="687" t="s">
        <v>1508</v>
      </c>
      <c r="D19" s="687" t="s">
        <v>1509</v>
      </c>
      <c r="E19" s="699" t="s">
        <v>1475</v>
      </c>
      <c r="F19" s="695" t="s">
        <v>1476</v>
      </c>
    </row>
    <row r="20" spans="1:6" ht="166" customHeight="1" x14ac:dyDescent="0.2">
      <c r="A20" s="288" t="s">
        <v>825</v>
      </c>
      <c r="B20" s="110"/>
      <c r="C20" s="692" t="s">
        <v>1510</v>
      </c>
      <c r="D20" s="692" t="s">
        <v>1511</v>
      </c>
      <c r="E20" s="702" t="s">
        <v>1475</v>
      </c>
      <c r="F20" s="703" t="s">
        <v>1512</v>
      </c>
    </row>
    <row r="21" spans="1:6" ht="112" customHeight="1" x14ac:dyDescent="0.2">
      <c r="A21" s="31" t="s">
        <v>1513</v>
      </c>
      <c r="B21" s="27"/>
      <c r="C21" s="687" t="s">
        <v>1514</v>
      </c>
      <c r="D21" s="687"/>
      <c r="E21" s="130" t="s">
        <v>1515</v>
      </c>
      <c r="F21" s="130"/>
    </row>
    <row r="22" spans="1:6" x14ac:dyDescent="0.2">
      <c r="A22" s="288" t="s">
        <v>1516</v>
      </c>
      <c r="B22" s="288" t="s">
        <v>1517</v>
      </c>
      <c r="C22" s="110" t="s">
        <v>1518</v>
      </c>
      <c r="D22" s="110" t="s">
        <v>1519</v>
      </c>
      <c r="E22" s="694" t="s">
        <v>65</v>
      </c>
      <c r="F22" s="696" t="s">
        <v>1476</v>
      </c>
    </row>
    <row r="23" spans="1:6" x14ac:dyDescent="0.2">
      <c r="A23" s="31" t="s">
        <v>1520</v>
      </c>
      <c r="B23" s="31" t="s">
        <v>1521</v>
      </c>
      <c r="C23" s="27" t="s">
        <v>1522</v>
      </c>
      <c r="D23" s="27" t="s">
        <v>1523</v>
      </c>
      <c r="E23" s="699" t="s">
        <v>1475</v>
      </c>
      <c r="F23" s="695" t="s">
        <v>1476</v>
      </c>
    </row>
    <row r="24" spans="1:6" x14ac:dyDescent="0.2">
      <c r="A24" s="288" t="s">
        <v>1524</v>
      </c>
      <c r="B24" s="288" t="s">
        <v>1525</v>
      </c>
      <c r="C24" s="110" t="s">
        <v>1526</v>
      </c>
      <c r="D24" s="110" t="s">
        <v>1527</v>
      </c>
      <c r="E24" s="698" t="s">
        <v>1528</v>
      </c>
      <c r="F24" s="703" t="s">
        <v>1529</v>
      </c>
    </row>
    <row r="26" spans="1:6" x14ac:dyDescent="0.2">
      <c r="A26" s="35" t="s">
        <v>1530</v>
      </c>
    </row>
    <row r="27" spans="1:6" x14ac:dyDescent="0.2">
      <c r="A27" s="35" t="s">
        <v>1531</v>
      </c>
      <c r="B27" t="s">
        <v>1532</v>
      </c>
      <c r="C27" t="s">
        <v>1533</v>
      </c>
      <c r="D27" t="s">
        <v>1534</v>
      </c>
      <c r="E27" t="s">
        <v>1475</v>
      </c>
      <c r="F27" t="s">
        <v>1476</v>
      </c>
    </row>
  </sheetData>
  <mergeCells count="3">
    <mergeCell ref="A1:N1"/>
    <mergeCell ref="A2:N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Claude Log</vt:lpstr>
      <vt:lpstr>Cover</vt:lpstr>
      <vt:lpstr>Assumptions</vt:lpstr>
      <vt:lpstr>Member Thesis</vt:lpstr>
      <vt:lpstr>Members</vt:lpstr>
      <vt:lpstr>ARPU</vt:lpstr>
      <vt:lpstr>Revenue Build</vt:lpstr>
      <vt:lpstr>P&amp;L</vt:lpstr>
      <vt:lpstr>FCF</vt:lpstr>
      <vt:lpstr>WC &amp; Cash</vt:lpstr>
      <vt:lpstr>WACC Bottom-Up</vt:lpstr>
      <vt:lpstr>DCF</vt:lpstr>
      <vt:lpstr>RealOptions</vt:lpstr>
      <vt:lpstr>Comps</vt:lpstr>
      <vt:lpstr>Precedents</vt:lpstr>
      <vt:lpstr>Cap Table</vt:lpstr>
      <vt:lpstr>Football Field</vt:lpstr>
      <vt:lpstr>Scenarios</vt:lpstr>
      <vt:lpstr>Sensitivity</vt:lpstr>
      <vt:lpstr>Checks</vt:lpstr>
      <vt:lpstr>Sources</vt:lpstr>
      <vt:lpstr>CalibrationLog</vt:lpstr>
      <vt:lpstr>Scenario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Landon Brice</cp:lastModifiedBy>
  <cp:revision/>
  <dcterms:created xsi:type="dcterms:W3CDTF">2026-04-17T03:03:59Z</dcterms:created>
  <dcterms:modified xsi:type="dcterms:W3CDTF">2026-05-10T13:55:36Z</dcterms:modified>
  <cp:category/>
  <cp:contentStatus/>
</cp:coreProperties>
</file>